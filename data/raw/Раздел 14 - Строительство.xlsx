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60" windowWidth="19410" windowHeight="8595" tabRatio="896"/>
  </bookViews>
  <sheets>
    <sheet name="Раздел 14" sheetId="90" r:id="rId1"/>
    <sheet name="14.1." sheetId="198" r:id="rId2"/>
    <sheet name="14.2.1." sheetId="691" r:id="rId3"/>
    <sheet name="14.2.2." sheetId="733" r:id="rId4"/>
    <sheet name="14.3.1." sheetId="734" r:id="rId5"/>
    <sheet name="14.3.2." sheetId="93" r:id="rId6"/>
    <sheet name="14.4.1." sheetId="692" r:id="rId7"/>
    <sheet name="14.4.2." sheetId="445" r:id="rId8"/>
    <sheet name="14.5." sheetId="735" r:id="rId9"/>
    <sheet name="14.6." sheetId="736" r:id="rId10"/>
    <sheet name="14.7." sheetId="737" r:id="rId11"/>
    <sheet name="14.8." sheetId="738" r:id="rId12"/>
    <sheet name="14.9." sheetId="94" r:id="rId13"/>
    <sheet name="14.10.1." sheetId="95" r:id="rId14"/>
    <sheet name="14.10.2." sheetId="693" r:id="rId15"/>
    <sheet name="14.11.1." sheetId="97" r:id="rId16"/>
    <sheet name="14.11.2." sheetId="694" r:id="rId17"/>
    <sheet name="14.12.1." sheetId="98" r:id="rId18"/>
    <sheet name="14.12.2." sheetId="695" r:id="rId19"/>
  </sheets>
  <externalReferences>
    <externalReference r:id="rId20"/>
  </externalReferences>
  <definedNames>
    <definedName name="_xlnm._FilterDatabase" localSheetId="16" hidden="1">'14.11.2.'!$A$2:$V$108</definedName>
  </definedNames>
  <calcPr calcId="162913"/>
  <fileRecoveryPr autoRecover="0"/>
</workbook>
</file>

<file path=xl/calcChain.xml><?xml version="1.0" encoding="utf-8"?>
<calcChain xmlns="http://schemas.openxmlformats.org/spreadsheetml/2006/main">
  <c r="K35" i="693" l="1"/>
  <c r="F31" i="94"/>
  <c r="E31" i="94"/>
  <c r="D31" i="94"/>
  <c r="C31" i="94"/>
  <c r="B31" i="94"/>
  <c r="F30" i="94"/>
  <c r="E30" i="94"/>
  <c r="D30" i="94"/>
  <c r="C30" i="94"/>
  <c r="B30" i="94"/>
  <c r="F29" i="94"/>
  <c r="E29" i="94"/>
  <c r="D29" i="94"/>
  <c r="C29" i="94"/>
  <c r="B29" i="94"/>
  <c r="F28" i="94"/>
  <c r="E28" i="94"/>
  <c r="D28" i="94"/>
  <c r="C28" i="94"/>
  <c r="B28" i="94"/>
  <c r="F26" i="94"/>
  <c r="E26" i="94"/>
  <c r="D26" i="94"/>
  <c r="C26" i="94"/>
  <c r="B26" i="94"/>
  <c r="F25" i="94"/>
  <c r="E25" i="94"/>
  <c r="D25" i="94"/>
  <c r="C25" i="94"/>
  <c r="B25" i="94"/>
  <c r="F24" i="94"/>
  <c r="E24" i="94"/>
  <c r="D24" i="94"/>
  <c r="C24" i="94"/>
  <c r="B24" i="94"/>
  <c r="F23" i="94"/>
  <c r="E23" i="94"/>
  <c r="D23" i="94"/>
  <c r="C23" i="94"/>
  <c r="B23" i="94"/>
  <c r="F22" i="94"/>
  <c r="E22" i="94"/>
  <c r="D22" i="94"/>
  <c r="C22" i="94"/>
  <c r="B22" i="94"/>
  <c r="F21" i="94"/>
  <c r="E21" i="94"/>
  <c r="D21" i="94"/>
  <c r="C21" i="94"/>
  <c r="B21" i="94"/>
  <c r="F20" i="94"/>
  <c r="E20" i="94"/>
  <c r="D20" i="94"/>
  <c r="C20" i="94"/>
  <c r="B20" i="94"/>
  <c r="F19" i="94"/>
  <c r="E19" i="94"/>
  <c r="D19" i="94"/>
  <c r="C19" i="94"/>
  <c r="B19" i="94"/>
  <c r="F18" i="94"/>
  <c r="E18" i="94"/>
  <c r="D18" i="94"/>
  <c r="C18" i="94"/>
  <c r="B18" i="94"/>
  <c r="F17" i="94"/>
  <c r="E17" i="94"/>
  <c r="D17" i="94"/>
  <c r="C17" i="94"/>
  <c r="B17" i="94"/>
  <c r="F16" i="94"/>
  <c r="E16" i="94"/>
  <c r="D16" i="94"/>
  <c r="C16" i="94"/>
  <c r="B16" i="94"/>
  <c r="F15" i="94"/>
  <c r="E15" i="94"/>
  <c r="D15" i="94"/>
  <c r="C15" i="94"/>
  <c r="B15" i="94"/>
  <c r="F14" i="94"/>
  <c r="E14" i="94"/>
  <c r="D14" i="94"/>
  <c r="C14" i="94"/>
  <c r="B14" i="94"/>
  <c r="F13" i="94"/>
  <c r="E13" i="94"/>
  <c r="D13" i="94"/>
  <c r="C13" i="94"/>
  <c r="B13" i="94"/>
  <c r="F12" i="94"/>
  <c r="E12" i="94"/>
  <c r="D12" i="94"/>
  <c r="C12" i="94"/>
  <c r="B12" i="94"/>
  <c r="F11" i="94"/>
  <c r="E11" i="94"/>
  <c r="D11" i="94"/>
  <c r="C11" i="94"/>
  <c r="B11" i="94"/>
  <c r="F10" i="94"/>
  <c r="E10" i="94"/>
  <c r="D10" i="94"/>
  <c r="C10" i="94"/>
  <c r="B10" i="94"/>
  <c r="F9" i="94"/>
  <c r="E9" i="94"/>
  <c r="D9" i="94"/>
  <c r="C9" i="94"/>
  <c r="B9" i="94"/>
  <c r="F8" i="94"/>
  <c r="E8" i="94"/>
  <c r="D8" i="94"/>
  <c r="C8" i="94"/>
  <c r="B8" i="94"/>
  <c r="H74" i="736"/>
  <c r="H59" i="736"/>
  <c r="K51" i="736"/>
  <c r="J51" i="736"/>
  <c r="I51" i="736"/>
  <c r="H51" i="736"/>
  <c r="F51" i="736"/>
  <c r="E51" i="736"/>
  <c r="D51" i="736"/>
  <c r="C51" i="736"/>
  <c r="K42" i="736"/>
  <c r="J42" i="736"/>
  <c r="I42" i="736"/>
  <c r="H42" i="736"/>
  <c r="F42" i="736"/>
  <c r="E42" i="736"/>
  <c r="D42" i="736"/>
  <c r="C42" i="736"/>
  <c r="H28" i="736"/>
  <c r="H9" i="736"/>
  <c r="B84" i="734"/>
  <c r="K52" i="734"/>
  <c r="J52" i="734"/>
  <c r="I52" i="734"/>
  <c r="H52" i="734"/>
  <c r="F52" i="734"/>
  <c r="E52" i="734"/>
  <c r="D52" i="734"/>
  <c r="C52" i="734"/>
  <c r="K43" i="734"/>
  <c r="J43" i="734"/>
  <c r="I43" i="734"/>
  <c r="H43" i="734"/>
  <c r="F43" i="734"/>
  <c r="E43" i="734"/>
  <c r="D43" i="734"/>
  <c r="C43" i="734"/>
  <c r="K95" i="733"/>
  <c r="K84" i="733"/>
  <c r="D35" i="733"/>
  <c r="C35" i="733"/>
  <c r="K94" i="691"/>
  <c r="K83" i="691"/>
  <c r="D81" i="691"/>
  <c r="E34" i="691"/>
  <c r="D34" i="691"/>
  <c r="C34" i="691"/>
  <c r="F94" i="198"/>
  <c r="E94" i="198"/>
  <c r="D94" i="198"/>
  <c r="C94" i="198"/>
  <c r="B94" i="198"/>
  <c r="F83" i="198"/>
  <c r="E83" i="198"/>
  <c r="D83" i="198"/>
  <c r="C83" i="198"/>
  <c r="B83" i="198"/>
  <c r="F81" i="198"/>
  <c r="E81" i="198"/>
  <c r="D81" i="198"/>
  <c r="C81" i="198"/>
  <c r="B81" i="198"/>
  <c r="F74" i="198"/>
  <c r="E74" i="198"/>
  <c r="D74" i="198"/>
  <c r="C74" i="198"/>
  <c r="B74" i="198"/>
  <c r="F59" i="198"/>
  <c r="E59" i="198"/>
  <c r="D59" i="198"/>
  <c r="C59" i="198"/>
  <c r="B59" i="198"/>
  <c r="F51" i="198"/>
  <c r="E51" i="198"/>
  <c r="D51" i="198"/>
  <c r="C51" i="198"/>
  <c r="B51" i="198"/>
  <c r="F42" i="198"/>
  <c r="E42" i="198"/>
  <c r="D42" i="198"/>
  <c r="C42" i="198"/>
  <c r="B42" i="198"/>
  <c r="K34" i="198"/>
  <c r="J34" i="198"/>
  <c r="I34" i="198"/>
  <c r="H34" i="198"/>
  <c r="F34" i="198"/>
  <c r="E34" i="198"/>
  <c r="D34" i="198"/>
  <c r="C34" i="198"/>
  <c r="B34" i="198"/>
  <c r="F28" i="198"/>
  <c r="E28" i="198"/>
  <c r="D28" i="198"/>
  <c r="C28" i="198"/>
  <c r="B28" i="198"/>
  <c r="F9" i="198"/>
  <c r="E9" i="198"/>
  <c r="D9" i="198"/>
  <c r="C9" i="198"/>
  <c r="B9" i="198"/>
</calcChain>
</file>

<file path=xl/sharedStrings.xml><?xml version="1.0" encoding="utf-8"?>
<sst xmlns="http://schemas.openxmlformats.org/spreadsheetml/2006/main" count="8516" uniqueCount="275">
  <si>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</si>
  <si>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</si>
  <si>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</si>
  <si>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</si>
  <si>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</si>
  <si>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</si>
  <si>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</si>
  <si>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</si>
  <si>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</si>
  <si>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</si>
  <si>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</si>
  <si>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</si>
  <si>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</si>
  <si>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</si>
  <si>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</si>
  <si>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</si>
  <si>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</si>
  <si>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</si>
  <si>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</si>
  <si>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</si>
  <si>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</si>
  <si>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</si>
  <si>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</si>
  <si>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</si>
  <si>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</si>
  <si>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</si>
  <si>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</si>
  <si>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</si>
  <si>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</si>
  <si>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</si>
  <si>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</si>
  <si>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</si>
  <si>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</si>
  <si>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</si>
  <si>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</si>
  <si>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</si>
  <si>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</si>
  <si>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</si>
  <si>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</si>
  <si>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</si>
  <si>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</si>
  <si>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</si>
  <si>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</si>
  <si>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</si>
  <si>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</si>
  <si>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</si>
  <si>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</si>
  <si>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</si>
  <si>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</si>
  <si>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</si>
  <si>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</si>
  <si>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</si>
  <si>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</si>
  <si>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</si>
  <si>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</si>
  <si>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</si>
  <si>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</si>
  <si>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</si>
  <si>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</si>
  <si>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</si>
  <si>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</si>
  <si>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</si>
  <si>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</si>
  <si>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</si>
  <si>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</si>
  <si>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</si>
  <si>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</si>
  <si>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</si>
  <si>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</si>
  <si>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</si>
  <si>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</si>
  <si>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</si>
  <si>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</si>
  <si>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</si>
  <si>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</si>
  <si>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</si>
  <si>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</si>
  <si>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</si>
  <si>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</si>
  <si>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</si>
  <si>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</si>
  <si>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</si>
  <si>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</si>
  <si>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</si>
  <si>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</si>
  <si>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</si>
  <si>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</si>
  <si>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</si>
  <si>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</si>
  <si>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</si>
  <si>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</si>
  <si>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</si>
  <si>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</si>
  <si>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</si>
  <si>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Республика Северная Осетия - Алания</t>
  </si>
  <si>
    <t>Северо-Западный федеральный округ</t>
  </si>
  <si>
    <t>-</t>
  </si>
  <si>
    <t>Чеченская Республика</t>
  </si>
  <si>
    <t>…</t>
  </si>
  <si>
    <t>Республика Ингушетия</t>
  </si>
  <si>
    <t>Сибирский        федеральный округ</t>
  </si>
  <si>
    <t>Уральский            федеральный округ</t>
  </si>
  <si>
    <t>Ханты-Мансийский автономный округ –Югра</t>
  </si>
  <si>
    <t>Сибирский         федеральный округ</t>
  </si>
  <si>
    <t>Ханты-Мансийский автономный   округ – Югра</t>
  </si>
  <si>
    <t>Уральский      федеральный округ</t>
  </si>
  <si>
    <t>Сибирский     федеральный округ</t>
  </si>
  <si>
    <t>Уральский          федеральный округ</t>
  </si>
  <si>
    <t>Дальневосточный    федеральный округ</t>
  </si>
  <si>
    <t>Центральный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</si>
  <si>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</si>
  <si>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</si>
  <si>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</si>
  <si>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</si>
  <si>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</si>
  <si>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Северо-Кавказский     федеральный округ</t>
  </si>
  <si>
    <t>Сибирский           федеральный округ</t>
  </si>
  <si>
    <t>СТРОИТЕЛЬНАЯ ДЕЯТЕЛЬНОСТЬ</t>
  </si>
  <si>
    <t xml:space="preserve">Объем работ, выполненных по виду экономической деятельности «Строительство» </t>
  </si>
  <si>
    <t>ЖИЛИЩНОЕ И СОЦИАЛЬНО-КУЛЬТУРНОЕ СТРОИТЕЛЬСТВО</t>
  </si>
  <si>
    <t xml:space="preserve">Ввод в действие жилых домов  </t>
  </si>
  <si>
    <t xml:space="preserve">Ввод в действие квартир  </t>
  </si>
  <si>
    <t xml:space="preserve">Ввод в действие мощностей больничных организаций  </t>
  </si>
  <si>
    <t xml:space="preserve">Ввод в действие мощностей  амбулаторно-поликлинических организаций  </t>
  </si>
  <si>
    <t xml:space="preserve">Удельный вес жилых домов, построенных населением за счет собственных и привлеченных средств, в общем вводе жилья  </t>
  </si>
  <si>
    <t>(в процентах)</t>
  </si>
  <si>
    <t>Сибирский    федеральный округ</t>
  </si>
  <si>
    <t>Уральский        федеральный округ</t>
  </si>
  <si>
    <t>Северо-Западный    федеральный округ</t>
  </si>
  <si>
    <t>Северо-Западный  федеральный округ</t>
  </si>
  <si>
    <t>Хабаровский край</t>
  </si>
  <si>
    <t>Центральный  федеральный округ</t>
  </si>
  <si>
    <t>Северо-Кавказский  федеральный округ</t>
  </si>
  <si>
    <t>Уральский  федеральный округ</t>
  </si>
  <si>
    <t>Приволжский   федеральный округ</t>
  </si>
  <si>
    <t>Ямало-Ненецкий  автономный округ</t>
  </si>
  <si>
    <t>Уральский    федеральный округ</t>
  </si>
  <si>
    <t>Ханты-Мансийский   автономный округ – Югра</t>
  </si>
  <si>
    <t>Архангельская область  без автономного округа</t>
  </si>
  <si>
    <t>Дальневосточный  федеральный округ</t>
  </si>
  <si>
    <t>Северо-Кавказский      федеральный округ</t>
  </si>
  <si>
    <t>Приволжский     федеральный округ</t>
  </si>
  <si>
    <t>Республика Северная   Осетия - Алания</t>
  </si>
  <si>
    <t>Карачаево-Черкесская    Республика</t>
  </si>
  <si>
    <t>Дальневосточный     федеральный округ</t>
  </si>
  <si>
    <t>Кабардино-Балкарская    Республика</t>
  </si>
  <si>
    <t>Дальневосточный   федеральный округ</t>
  </si>
  <si>
    <t>Ханты-Мансийский автономный     округ – Югра</t>
  </si>
  <si>
    <t>(в фактически действовавших ценах; миллионов рублей)</t>
  </si>
  <si>
    <t>Всего</t>
  </si>
  <si>
    <t>Республика  Крым</t>
  </si>
  <si>
    <t>Тюменская область     без автономных округов</t>
  </si>
  <si>
    <t>Ненецкий автономный   округ</t>
  </si>
  <si>
    <t>Тюменская область без  автономных округов</t>
  </si>
  <si>
    <t>Карачаево-Черкесская   Республика</t>
  </si>
  <si>
    <t>(коек)</t>
  </si>
  <si>
    <t>(посещений в смену)</t>
  </si>
  <si>
    <t>Кабардино-Балкарская  Республика</t>
  </si>
  <si>
    <t>Ямало-Ненецкий      автономный округ</t>
  </si>
  <si>
    <t>Ханты-Мансийский     автономный округ – Югра</t>
  </si>
  <si>
    <t>Тюменская область   без автономных округов</t>
  </si>
  <si>
    <t>Республика Северная Осетия-Алания</t>
  </si>
  <si>
    <t>Карачаево-Черкесская      Республика</t>
  </si>
  <si>
    <t>Ямало-Ненецкий    автономный округ</t>
  </si>
  <si>
    <t>(ученических мест)</t>
  </si>
  <si>
    <t>(мест)</t>
  </si>
  <si>
    <t xml:space="preserve">    в том числе:</t>
  </si>
  <si>
    <t>_________</t>
  </si>
  <si>
    <t xml:space="preserve"> Всего</t>
  </si>
  <si>
    <t>Ввод в действие зданий жилого и нежилого назначения</t>
  </si>
  <si>
    <t>Число зданий</t>
  </si>
  <si>
    <t>Общая площадь зданий</t>
  </si>
  <si>
    <t xml:space="preserve">Всего </t>
  </si>
  <si>
    <t>Ввод в действие жилых домов, построенных жилищно-строительными кооперативами</t>
  </si>
  <si>
    <t>Южный                                  федеральный округ</t>
  </si>
  <si>
    <t>Уральский                                 федеральный округ</t>
  </si>
  <si>
    <t>Сибирский                   федеральный округ</t>
  </si>
  <si>
    <t>Ввод в действие жилых домов, построенных населением за счет собственных и привлеченных средств</t>
  </si>
  <si>
    <t>Общеобразовательные организации</t>
  </si>
  <si>
    <t>Дошкольные образовательные организации</t>
  </si>
  <si>
    <t>Социально-экономические показатели по субъектам Российской Федерации</t>
  </si>
  <si>
    <t xml:space="preserve">Дальневосточный     федеральный округ </t>
  </si>
  <si>
    <r>
      <t>(тысяч м</t>
    </r>
    <r>
      <rPr>
        <vertAlign val="superscript"/>
        <sz val="7"/>
        <rFont val="Arial"/>
        <family val="2"/>
        <charset val="204"/>
      </rPr>
      <t>2</t>
    </r>
    <r>
      <rPr>
        <sz val="7"/>
        <rFont val="Arial"/>
        <family val="2"/>
        <charset val="204"/>
      </rPr>
      <t xml:space="preserve"> общей площади жилых помещений)</t>
    </r>
  </si>
  <si>
    <t xml:space="preserve">Ввод в действие мощностей общеобразовательных организаций </t>
  </si>
  <si>
    <r>
      <t>Российская Федерация</t>
    </r>
    <r>
      <rPr>
        <sz val="7"/>
        <rFont val="Arial"/>
        <family val="2"/>
        <charset val="204"/>
      </rPr>
      <t xml:space="preserve"> </t>
    </r>
  </si>
  <si>
    <t>(квадратных метров общей площади жилых помещений)</t>
  </si>
  <si>
    <t>(тысяч квадратных метров)</t>
  </si>
  <si>
    <t>(тысяч квадратных метров общей площади жилых помещений)</t>
  </si>
  <si>
    <t xml:space="preserve">      в том числе:</t>
  </si>
  <si>
    <t>___________</t>
  </si>
  <si>
    <t>____________________________________</t>
  </si>
  <si>
    <t>14. СТРОИТЕЛЬСТВО</t>
  </si>
  <si>
    <t>14.1.</t>
  </si>
  <si>
    <t>14.2.</t>
  </si>
  <si>
    <t>14.3.</t>
  </si>
  <si>
    <t>14.3.1.</t>
  </si>
  <si>
    <t>14.3.2.</t>
  </si>
  <si>
    <t>14.4.</t>
  </si>
  <si>
    <t>14.4.1.</t>
  </si>
  <si>
    <t>14.4.2.</t>
  </si>
  <si>
    <t>14.5.</t>
  </si>
  <si>
    <t>14.6.</t>
  </si>
  <si>
    <t>14.7.</t>
  </si>
  <si>
    <t>14.8.</t>
  </si>
  <si>
    <t>14.9.</t>
  </si>
  <si>
    <t>14.10.</t>
  </si>
  <si>
    <t>14.10.1.</t>
  </si>
  <si>
    <t>14.10.2.</t>
  </si>
  <si>
    <t>14.2.1.</t>
  </si>
  <si>
    <t>14.2.2.</t>
  </si>
  <si>
    <t xml:space="preserve"> 14.2. ВВОД В ДЕЙСТВИЕ ЗДАНИЙ ЖИЛОГО И НЕЖИЛОГО НАЗНАЧЕНИЯ</t>
  </si>
  <si>
    <t>14.2.1. Число зданий</t>
  </si>
  <si>
    <t>14.2.  ВВОД В ДЕЙСТВИЕ ЗДАНИЙ ЖИЛОГО И НЕЖИЛОГО НАЗНАЧЕНИЯ</t>
  </si>
  <si>
    <t>14.3. ВВОД В ДЕЙСТВИЕ ЖИЛЫХ ДОМОВ</t>
  </si>
  <si>
    <t xml:space="preserve">14.3.1.  Всего </t>
  </si>
  <si>
    <t xml:space="preserve"> 14.4. ВВОД В ДЕЙСТВИЕ КВАРТИР</t>
  </si>
  <si>
    <t>14.4.1. Всего</t>
  </si>
  <si>
    <t>14.5. ВВОД В ДЕЙСТВИЕ ЖИЛЫХ ДОМОВ, ПОСТРОЕННЫХ ЖИЛИЩНО-СТРОИТЕЛЬНЫМИ КООПЕРАТИВАМИ</t>
  </si>
  <si>
    <t>14.6. ВВОД В ДЕЙСТВИЕ ЖИЛЫХ ДОМОВ, ПОСТРОЕННЫХ НАСЕЛЕНИЕМ ЗА СЧЕТ СОБСТВЕННЫХ И ПРИВЛЕЧЕННЫХ СРЕДСТВ</t>
  </si>
  <si>
    <r>
      <t>14.1. ОБЪЕМ РАБОТ, ВЫПОЛНЕННЫХ ПО ВИДУ ЭКОНОМИЧЕСКОЙ ДЕЯТЕЛЬНОСТИ «СТРОИТЕЛЬСТВО»</t>
    </r>
    <r>
      <rPr>
        <b/>
        <vertAlign val="superscript"/>
        <sz val="8"/>
        <rFont val="Arial"/>
        <family val="2"/>
        <charset val="204"/>
      </rPr>
      <t>1)</t>
    </r>
  </si>
  <si>
    <t>Южный федеральный округ</t>
  </si>
  <si>
    <t>(на конец года)</t>
  </si>
  <si>
    <t>Число жилых домов</t>
  </si>
  <si>
    <t xml:space="preserve">Число зданий и сооружений, находящихся в незавершенном строительстве </t>
  </si>
  <si>
    <t xml:space="preserve">Жилые дома, находящиеся в незавершенном строительстве </t>
  </si>
  <si>
    <t>14.11.</t>
  </si>
  <si>
    <t>14.11.1.</t>
  </si>
  <si>
    <t>14.11.2.</t>
  </si>
  <si>
    <t>14.12.</t>
  </si>
  <si>
    <t>14.12.1.</t>
  </si>
  <si>
    <t>14.12.2.</t>
  </si>
  <si>
    <t xml:space="preserve"> 14.12. ВВОД В ДЕЙСТВИЕ МОЩНОСТЕЙ АМБУЛАТОРНО-ПОЛИКЛИНИЧЕСКИХ ОРГАНИЗАЦИЙ </t>
  </si>
  <si>
    <t xml:space="preserve">14.12.1. Всего </t>
  </si>
  <si>
    <t xml:space="preserve"> 14.12. ВВОД В ДЕЙСТВИЕ МОЩНОСТЕЙ АМБУЛАТОРНО-ПОЛИКЛИНИЧЕСКИХ ОРГАНИЗАЦИЙ</t>
  </si>
  <si>
    <t>14.11.1. Всего</t>
  </si>
  <si>
    <t>14.11. ВВОД В ДЕЙСТВИЕ МОЩНОСТЕЙ БОЛЬНИЧНЫХ ОРГАНИЗАЦИЙ</t>
  </si>
  <si>
    <t>14.10.2. Ввод в действие мощностей дошкольных образовательных организаций</t>
  </si>
  <si>
    <t xml:space="preserve"> 14.10. ВВОД В ДЕЙСТВИЕ МОЩНОСТЕЙ ОБЩЕОБРАЗОВАТЕЛЬНЫХ И ДОШКОЛЬНЫХ ОБРАЗОВАТЕЛЬНЫХ ОРГАНИЗАЦИЙ</t>
  </si>
  <si>
    <t>14.10.1. Ввод в действие мощностей общеобразовательных организаций</t>
  </si>
  <si>
    <t xml:space="preserve"> 14.10. ВВОД В ДЕЙСТВИЕ МОЩНОСТЕЙ ОБЩЕОБРАЗОВАТЕЛЬНЫХ  ОРГАНИЗАЦИЙ</t>
  </si>
  <si>
    <t>14.9. УДЕЛЬНЫЙ ВЕС ЖИЛЫХ ДОМОВ, ПОСТРОЕННЫХ НАСЕЛЕНИЕМ ЗА СЧЕТ СОБСТВЕННЫХ И ПРИВЛЕЧЕННЫХ СРЕДСТВ, В ОБЩЕМ ВВОДЕ ЖИЛЬЯ</t>
  </si>
  <si>
    <t xml:space="preserve">14.8. ЖИЛЫЕ ДОМА, НАХОДЯЩИЕСЯ В НЕЗАВЕРШЕННОМ СТРОИТЕЛЬСТВЕ </t>
  </si>
  <si>
    <t xml:space="preserve">14.7. ЧИСЛО ЗДАНИЙ И СООРУЖЕНИЙ, НАХОДЯЩИХСЯ В НЕЗАВЕРШЕННОМ СТРОИТЕЛЬСТВЕ </t>
  </si>
  <si>
    <r>
      <t>Общая площадь жилых помещений, тыс. м</t>
    </r>
    <r>
      <rPr>
        <vertAlign val="superscript"/>
        <sz val="7"/>
        <rFont val="Arial"/>
        <family val="2"/>
        <charset val="204"/>
      </rPr>
      <t xml:space="preserve">2 </t>
    </r>
  </si>
  <si>
    <t xml:space="preserve">14.11. ВВОД В ДЕЙСТВИЕ МОЩНОСТЕЙ БОЛЬНИЧНЫХ ОРГАНИЗАЦИЙ </t>
  </si>
  <si>
    <t>На 1000 человек населения</t>
  </si>
  <si>
    <t xml:space="preserve"> На 1000 человек населения</t>
  </si>
  <si>
    <t>Центральный 
федеральный округ</t>
  </si>
  <si>
    <t>Сибирский 
федеральный округ</t>
  </si>
  <si>
    <t>Северо-Западный 
федеральный округ</t>
  </si>
  <si>
    <t>Южный 
федеральный округ</t>
  </si>
  <si>
    <t>Приволжский 
федеральный округ</t>
  </si>
  <si>
    <t>Уральский 
федеральный округ</t>
  </si>
  <si>
    <t>Дальневосточный 
федеральный округ</t>
  </si>
  <si>
    <t>Северо-Кавказский 
федеральный округ</t>
  </si>
  <si>
    <t>14.2.2. Общая площадь зданий</t>
  </si>
  <si>
    <t xml:space="preserve"> На 100000 человек населения</t>
  </si>
  <si>
    <t>На 100000 человек населения</t>
  </si>
  <si>
    <t/>
  </si>
  <si>
    <t>Сибирский федеральный округ</t>
  </si>
  <si>
    <t>Южный  федеральный округ</t>
  </si>
  <si>
    <t>Архангельская область 
без автономного округа</t>
  </si>
  <si>
    <t>Архангельская область  
без автономного округа</t>
  </si>
  <si>
    <t>Уральский    
федеральный округ</t>
  </si>
  <si>
    <t>Сибирский    
федеральный округ</t>
  </si>
  <si>
    <t>Тюменская область    
без автономных округов</t>
  </si>
  <si>
    <t>Уральский          
федеральный округ</t>
  </si>
  <si>
    <t>14.3.2.  На 1000 человек населения</t>
  </si>
  <si>
    <t>14.4.2. На 1000 человек населения</t>
  </si>
  <si>
    <t>14.11.2. На 100000 человек населения</t>
  </si>
  <si>
    <r>
      <t>Чукотский автономный округ</t>
    </r>
    <r>
      <rPr>
        <vertAlign val="superscript"/>
        <sz val="7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</si>
  <si>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На 10 000 человек населения.</t>
    </r>
  </si>
  <si>
    <r>
      <t>Ненецкий автономный округ</t>
    </r>
    <r>
      <rPr>
        <vertAlign val="superscript"/>
        <sz val="7"/>
        <rFont val="Arial"/>
        <family val="2"/>
        <charset val="204"/>
      </rPr>
      <t>1)</t>
    </r>
  </si>
  <si>
    <r>
      <t>14.12.2. На 100000 человек населения</t>
    </r>
    <r>
      <rPr>
        <b/>
        <vertAlign val="superscript"/>
        <sz val="8"/>
        <rFont val="Arial"/>
        <family val="2"/>
        <charset val="204"/>
      </rPr>
      <t xml:space="preserve"> 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</si>
  <si>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2024 г. - сводные итоги по Российской Федерации включают уточнение на федеральном уровне объема работ, не наблюдаемых прямыми статистическими методами без распредления по субъектам Российской Федерации.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</si>
</sst>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.00_р_._-;\-* #,##0.00_р_._-;_-* &quot;-&quot;??_р_._-;_-@_-"/>
    <numFmt numFmtId="165" formatCode="0.0"/>
    <numFmt numFmtId="166" formatCode="[=99999]&quot; &quot;\ ;General"/>
    <numFmt numFmtId="167" formatCode="[=100]&quot; &quot;;[=99999]&quot; &quot;\ ;0.0"/>
    <numFmt numFmtId="168" formatCode="_-* #,##0.0_р_._-;\-* #,##0.0_р_._-;_-* &quot;-&quot;??_р_._-;_-@_-"/>
    <numFmt numFmtId="169" formatCode="[=-99999]&quot; &quot;;##0"/>
    <numFmt numFmtId="170" formatCode="0.0;[Red]0.0"/>
    <numFmt numFmtId="171" formatCode="#,##0.0"/>
    <numFmt numFmtId="172" formatCode="0;[Red]0"/>
  </numFmts>
  <fonts count="31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vertAlign val="superscript"/>
      <sz val="6"/>
      <name val="Arial"/>
      <family val="2"/>
      <charset val="204"/>
    </font>
    <font>
      <b/>
      <sz val="8"/>
      <name val="Arial"/>
      <family val="2"/>
      <charset val="204"/>
    </font>
    <font>
      <sz val="7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9"/>
      <name val="Arial"/>
      <family val="2"/>
      <charset val="204"/>
    </font>
    <font>
      <sz val="7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sz val="7"/>
      <name val="Calibri"/>
      <family val="2"/>
      <charset val="204"/>
    </font>
    <font>
      <sz val="10"/>
      <name val="Calibri"/>
      <family val="2"/>
      <charset val="204"/>
      <scheme val="minor"/>
    </font>
    <font>
      <sz val="7"/>
      <name val="Arial Cyr"/>
      <charset val="204"/>
    </font>
    <font>
      <strike/>
      <sz val="7"/>
      <name val="Arial"/>
      <family val="2"/>
      <charset val="204"/>
    </font>
    <font>
      <strike/>
      <sz val="8"/>
      <name val="Arial"/>
      <family val="2"/>
      <charset val="204"/>
    </font>
    <font>
      <b/>
      <sz val="7"/>
      <name val="Arial Cyr"/>
      <charset val="204"/>
    </font>
    <font>
      <b/>
      <strike/>
      <sz val="8"/>
      <name val="Arial"/>
      <family val="2"/>
      <charset val="204"/>
    </font>
    <font>
      <sz val="11"/>
      <color theme="1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trike/>
      <sz val="11"/>
      <name val="Arial"/>
      <family val="2"/>
      <charset val="204"/>
    </font>
    <font>
      <sz val="12"/>
      <name val="Arial"/>
      <family val="2"/>
      <charset val="204"/>
    </font>
    <font>
      <sz val="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2" fillId="0" borderId="0"/>
    <xf numFmtId="164" fontId="16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0" fontId="16" fillId="0" borderId="0"/>
    <xf numFmtId="164" fontId="12" fillId="0" borderId="0" applyFont="0" applyFill="0" applyBorder="0" applyAlignment="0" applyProtection="0"/>
    <xf numFmtId="0" fontId="9" fillId="0" borderId="0"/>
  </cellStyleXfs>
  <cellXfs count="218">
    <xf numFmtId="0" fontId="0" fillId="0" borderId="0" xfId="0"/>
    <xf numFmtId="0" fontId="3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14" fillId="0" borderId="0" xfId="0" applyFont="1"/>
    <xf numFmtId="0" fontId="2" fillId="0" borderId="3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righ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/>
    <xf numFmtId="0" fontId="1" fillId="0" borderId="10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right" inden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wrapText="1"/>
    </xf>
    <xf numFmtId="0" fontId="1" fillId="0" borderId="3" xfId="0" applyFont="1" applyFill="1" applyBorder="1" applyAlignment="1">
      <alignment vertical="center" wrapText="1"/>
    </xf>
    <xf numFmtId="1" fontId="2" fillId="0" borderId="0" xfId="0" applyNumberFormat="1" applyFont="1" applyFill="1" applyAlignment="1">
      <alignment horizontal="right" indent="1"/>
    </xf>
    <xf numFmtId="1" fontId="2" fillId="0" borderId="0" xfId="0" applyNumberFormat="1" applyFont="1" applyFill="1" applyBorder="1" applyAlignment="1">
      <alignment horizontal="right" indent="1"/>
    </xf>
    <xf numFmtId="1" fontId="1" fillId="0" borderId="0" xfId="0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3" fillId="0" borderId="5" xfId="0" applyFont="1" applyFill="1" applyBorder="1"/>
    <xf numFmtId="1" fontId="1" fillId="0" borderId="0" xfId="0" applyNumberFormat="1" applyFont="1" applyFill="1" applyAlignment="1">
      <alignment horizontal="right" indent="1"/>
    </xf>
    <xf numFmtId="1" fontId="1" fillId="0" borderId="6" xfId="0" applyNumberFormat="1" applyFont="1" applyFill="1" applyBorder="1" applyAlignment="1">
      <alignment horizontal="right" indent="1"/>
    </xf>
    <xf numFmtId="0" fontId="1" fillId="0" borderId="9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166" fontId="1" fillId="0" borderId="6" xfId="0" applyNumberFormat="1" applyFont="1" applyFill="1" applyBorder="1" applyAlignment="1">
      <alignment horizontal="right" indent="1"/>
    </xf>
    <xf numFmtId="166" fontId="1" fillId="0" borderId="0" xfId="0" applyNumberFormat="1" applyFont="1" applyFill="1" applyBorder="1" applyAlignment="1">
      <alignment horizontal="right" indent="1"/>
    </xf>
    <xf numFmtId="166" fontId="2" fillId="0" borderId="0" xfId="0" applyNumberFormat="1" applyFont="1" applyFill="1" applyBorder="1" applyAlignment="1">
      <alignment horizontal="right" indent="1"/>
    </xf>
    <xf numFmtId="166" fontId="2" fillId="0" borderId="5" xfId="0" applyNumberFormat="1" applyFont="1" applyFill="1" applyBorder="1" applyAlignment="1">
      <alignment horizontal="right" indent="1"/>
    </xf>
    <xf numFmtId="0" fontId="10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0" fillId="0" borderId="0" xfId="0" applyFont="1" applyFill="1" applyAlignment="1">
      <alignment horizontal="left"/>
    </xf>
    <xf numFmtId="0" fontId="1" fillId="0" borderId="3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wrapText="1"/>
    </xf>
    <xf numFmtId="1" fontId="1" fillId="0" borderId="0" xfId="0" applyNumberFormat="1" applyFont="1" applyFill="1" applyBorder="1" applyAlignment="1" applyProtection="1">
      <alignment horizontal="right" indent="1"/>
      <protection locked="0"/>
    </xf>
    <xf numFmtId="0" fontId="2" fillId="0" borderId="0" xfId="0" applyFont="1" applyFill="1" applyBorder="1" applyAlignment="1" applyProtection="1">
      <alignment horizontal="right" indent="1"/>
      <protection locked="0"/>
    </xf>
    <xf numFmtId="1" fontId="2" fillId="0" borderId="0" xfId="0" applyNumberFormat="1" applyFont="1" applyFill="1" applyBorder="1" applyAlignment="1" applyProtection="1">
      <alignment horizontal="right" indent="1"/>
      <protection locked="0"/>
    </xf>
    <xf numFmtId="0" fontId="6" fillId="0" borderId="5" xfId="0" applyFont="1" applyFill="1" applyBorder="1" applyAlignment="1">
      <alignment horizontal="left" vertical="center"/>
    </xf>
    <xf numFmtId="165" fontId="1" fillId="0" borderId="0" xfId="0" applyNumberFormat="1" applyFont="1" applyFill="1" applyBorder="1" applyAlignment="1" applyProtection="1">
      <alignment horizontal="right" indent="1"/>
      <protection locked="0"/>
    </xf>
    <xf numFmtId="165" fontId="2" fillId="0" borderId="0" xfId="0" applyNumberFormat="1" applyFont="1" applyFill="1" applyBorder="1" applyAlignment="1" applyProtection="1">
      <alignment horizontal="right" indent="1"/>
      <protection locked="0"/>
    </xf>
    <xf numFmtId="0" fontId="1" fillId="0" borderId="10" xfId="0" applyFont="1" applyFill="1" applyBorder="1" applyAlignment="1">
      <alignment horizontal="left" vertical="center" wrapText="1"/>
    </xf>
    <xf numFmtId="168" fontId="2" fillId="0" borderId="0" xfId="2" applyNumberFormat="1" applyFont="1" applyFill="1" applyBorder="1" applyAlignment="1">
      <alignment horizontal="right" indent="1"/>
    </xf>
    <xf numFmtId="1" fontId="2" fillId="0" borderId="5" xfId="0" applyNumberFormat="1" applyFont="1" applyFill="1" applyBorder="1" applyAlignment="1" applyProtection="1">
      <alignment horizontal="right" indent="1"/>
      <protection locked="0"/>
    </xf>
    <xf numFmtId="0" fontId="13" fillId="0" borderId="0" xfId="0" applyFont="1"/>
    <xf numFmtId="0" fontId="13" fillId="0" borderId="0" xfId="0" applyFont="1" applyFill="1"/>
    <xf numFmtId="0" fontId="13" fillId="0" borderId="0" xfId="0" applyFont="1" applyBorder="1"/>
    <xf numFmtId="0" fontId="23" fillId="0" borderId="0" xfId="0" applyFont="1" applyFill="1"/>
    <xf numFmtId="165" fontId="9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right" indent="1"/>
    </xf>
    <xf numFmtId="167" fontId="2" fillId="0" borderId="5" xfId="0" applyNumberFormat="1" applyFont="1" applyFill="1" applyBorder="1" applyAlignment="1">
      <alignment horizontal="right" indent="1"/>
    </xf>
    <xf numFmtId="0" fontId="2" fillId="0" borderId="0" xfId="0" applyFont="1" applyFill="1"/>
    <xf numFmtId="167" fontId="1" fillId="0" borderId="0" xfId="0" applyNumberFormat="1" applyFont="1" applyFill="1" applyBorder="1" applyAlignment="1">
      <alignment horizontal="right" indent="1"/>
    </xf>
    <xf numFmtId="167" fontId="2" fillId="0" borderId="0" xfId="0" applyNumberFormat="1" applyFont="1" applyFill="1" applyBorder="1" applyAlignment="1">
      <alignment horizontal="right" indent="1"/>
    </xf>
    <xf numFmtId="0" fontId="7" fillId="0" borderId="0" xfId="0" applyFont="1"/>
    <xf numFmtId="1" fontId="2" fillId="0" borderId="5" xfId="0" applyNumberFormat="1" applyFont="1" applyFill="1" applyBorder="1" applyAlignment="1">
      <alignment horizontal="right" indent="1"/>
    </xf>
    <xf numFmtId="169" fontId="1" fillId="0" borderId="0" xfId="0" applyNumberFormat="1" applyFont="1" applyFill="1" applyBorder="1" applyAlignment="1">
      <alignment horizontal="right" indent="1"/>
    </xf>
    <xf numFmtId="169" fontId="2" fillId="0" borderId="0" xfId="0" applyNumberFormat="1" applyFont="1" applyFill="1" applyBorder="1" applyAlignment="1">
      <alignment horizontal="right" indent="1"/>
    </xf>
    <xf numFmtId="169" fontId="2" fillId="0" borderId="5" xfId="0" applyNumberFormat="1" applyFont="1" applyFill="1" applyBorder="1" applyAlignment="1">
      <alignment horizontal="right" indent="1"/>
    </xf>
    <xf numFmtId="0" fontId="2" fillId="0" borderId="5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right" vertical="center" wrapText="1"/>
    </xf>
    <xf numFmtId="1" fontId="9" fillId="0" borderId="0" xfId="0" applyNumberFormat="1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right" indent="1"/>
    </xf>
    <xf numFmtId="49" fontId="2" fillId="0" borderId="2" xfId="0" applyNumberFormat="1" applyFont="1" applyFill="1" applyBorder="1" applyAlignment="1">
      <alignment horizontal="center" vertical="center" wrapText="1"/>
    </xf>
    <xf numFmtId="170" fontId="1" fillId="0" borderId="6" xfId="0" applyNumberFormat="1" applyFont="1" applyFill="1" applyBorder="1" applyAlignment="1">
      <alignment horizontal="right" indent="1"/>
    </xf>
    <xf numFmtId="170" fontId="1" fillId="0" borderId="0" xfId="0" applyNumberFormat="1" applyFont="1" applyFill="1" applyBorder="1" applyAlignment="1">
      <alignment horizontal="right" indent="1"/>
    </xf>
    <xf numFmtId="170" fontId="2" fillId="0" borderId="0" xfId="0" applyNumberFormat="1" applyFont="1" applyFill="1" applyBorder="1" applyAlignment="1">
      <alignment horizontal="right" indent="1"/>
    </xf>
    <xf numFmtId="170" fontId="2" fillId="0" borderId="5" xfId="0" applyNumberFormat="1" applyFont="1" applyFill="1" applyBorder="1" applyAlignment="1">
      <alignment horizontal="right" indent="1"/>
    </xf>
    <xf numFmtId="0" fontId="14" fillId="0" borderId="0" xfId="0" applyFont="1" applyFill="1" applyBorder="1" applyAlignment="1">
      <alignment horizontal="right" indent="1"/>
    </xf>
    <xf numFmtId="0" fontId="21" fillId="0" borderId="0" xfId="0" applyFont="1" applyFill="1" applyBorder="1" applyAlignment="1">
      <alignment horizontal="right" indent="1"/>
    </xf>
    <xf numFmtId="0" fontId="21" fillId="0" borderId="5" xfId="0" applyFont="1" applyFill="1" applyBorder="1" applyAlignment="1">
      <alignment horizontal="right" indent="1"/>
    </xf>
    <xf numFmtId="165" fontId="1" fillId="0" borderId="0" xfId="0" applyNumberFormat="1" applyFont="1" applyFill="1" applyBorder="1" applyAlignment="1">
      <alignment horizontal="right" vertical="center" wrapText="1" indent="1"/>
    </xf>
    <xf numFmtId="0" fontId="3" fillId="0" borderId="5" xfId="0" applyFont="1" applyFill="1" applyBorder="1" applyAlignment="1">
      <alignment horizontal="right" indent="1"/>
    </xf>
    <xf numFmtId="0" fontId="22" fillId="0" borderId="0" xfId="0" applyFont="1" applyFill="1" applyBorder="1" applyAlignment="1">
      <alignment horizontal="right" indent="1"/>
    </xf>
    <xf numFmtId="165" fontId="22" fillId="0" borderId="0" xfId="0" applyNumberFormat="1" applyFont="1" applyFill="1" applyBorder="1" applyAlignment="1">
      <alignment horizontal="right" indent="1"/>
    </xf>
    <xf numFmtId="0" fontId="2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0" xfId="0" applyFont="1" applyFill="1" applyBorder="1"/>
    <xf numFmtId="0" fontId="11" fillId="0" borderId="0" xfId="0" applyFont="1"/>
    <xf numFmtId="0" fontId="3" fillId="0" borderId="0" xfId="0" applyFont="1" applyBorder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Fill="1" applyAlignment="1">
      <alignment vertical="center"/>
    </xf>
    <xf numFmtId="0" fontId="11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1" fontId="1" fillId="0" borderId="0" xfId="0" applyNumberFormat="1" applyFont="1" applyFill="1" applyBorder="1" applyAlignment="1">
      <alignment horizontal="right" wrapText="1" indent="1"/>
    </xf>
    <xf numFmtId="0" fontId="2" fillId="0" borderId="3" xfId="0" applyFont="1" applyFill="1" applyBorder="1" applyAlignment="1">
      <alignment vertical="top" wrapText="1"/>
    </xf>
    <xf numFmtId="16" fontId="11" fillId="0" borderId="0" xfId="0" applyNumberFormat="1" applyFont="1" applyFill="1" applyAlignment="1">
      <alignment horizontal="right" vertical="center"/>
    </xf>
    <xf numFmtId="0" fontId="11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right"/>
    </xf>
    <xf numFmtId="0" fontId="11" fillId="0" borderId="0" xfId="4" applyFont="1"/>
    <xf numFmtId="0" fontId="11" fillId="0" borderId="0" xfId="4" applyFont="1" applyAlignment="1">
      <alignment horizontal="left" vertical="center" wrapText="1" indent="2"/>
    </xf>
    <xf numFmtId="0" fontId="11" fillId="0" borderId="0" xfId="0" applyNumberFormat="1" applyFont="1" applyFill="1" applyAlignment="1">
      <alignment horizontal="right" vertical="center"/>
    </xf>
    <xf numFmtId="0" fontId="1" fillId="0" borderId="6" xfId="0" applyFont="1" applyFill="1" applyBorder="1" applyAlignment="1">
      <alignment horizontal="right" wrapText="1" indent="1"/>
    </xf>
    <xf numFmtId="165" fontId="1" fillId="0" borderId="6" xfId="0" applyNumberFormat="1" applyFont="1" applyFill="1" applyBorder="1" applyAlignment="1">
      <alignment horizontal="right" wrapText="1" indent="1"/>
    </xf>
    <xf numFmtId="1" fontId="1" fillId="0" borderId="6" xfId="0" applyNumberFormat="1" applyFont="1" applyFill="1" applyBorder="1" applyAlignment="1">
      <alignment horizontal="right" wrapText="1" indent="1"/>
    </xf>
    <xf numFmtId="0" fontId="1" fillId="0" borderId="0" xfId="0" applyFont="1" applyFill="1" applyAlignment="1">
      <alignment horizontal="right" wrapText="1" indent="1"/>
    </xf>
    <xf numFmtId="0" fontId="2" fillId="0" borderId="0" xfId="0" applyFont="1" applyFill="1" applyAlignment="1">
      <alignment horizontal="right" indent="1"/>
    </xf>
    <xf numFmtId="0" fontId="2" fillId="0" borderId="0" xfId="0" applyFont="1" applyFill="1" applyBorder="1" applyAlignment="1">
      <alignment horizontal="right" indent="1"/>
    </xf>
    <xf numFmtId="165" fontId="1" fillId="0" borderId="6" xfId="0" applyNumberFormat="1" applyFont="1" applyFill="1" applyBorder="1" applyAlignment="1">
      <alignment horizontal="right" indent="1"/>
    </xf>
    <xf numFmtId="0" fontId="1" fillId="0" borderId="0" xfId="0" applyFont="1" applyFill="1" applyBorder="1" applyAlignment="1">
      <alignment horizontal="right" indent="1"/>
    </xf>
    <xf numFmtId="0" fontId="1" fillId="0" borderId="0" xfId="0" applyFont="1" applyFill="1" applyAlignment="1">
      <alignment horizontal="right" indent="1"/>
    </xf>
    <xf numFmtId="165" fontId="2" fillId="0" borderId="0" xfId="0" applyNumberFormat="1" applyFont="1" applyFill="1" applyAlignment="1">
      <alignment horizontal="right" indent="1"/>
    </xf>
    <xf numFmtId="165" fontId="1" fillId="0" borderId="0" xfId="0" applyNumberFormat="1" applyFont="1" applyFill="1" applyBorder="1" applyAlignment="1">
      <alignment horizontal="right" indent="1"/>
    </xf>
    <xf numFmtId="165" fontId="1" fillId="0" borderId="0" xfId="0" applyNumberFormat="1" applyFont="1" applyFill="1" applyAlignment="1">
      <alignment horizontal="right" indent="1"/>
    </xf>
    <xf numFmtId="165" fontId="3" fillId="0" borderId="0" xfId="0" applyNumberFormat="1" applyFont="1" applyFill="1" applyAlignment="1">
      <alignment horizontal="right" indent="1"/>
    </xf>
    <xf numFmtId="0" fontId="1" fillId="0" borderId="6" xfId="0" applyFont="1" applyFill="1" applyBorder="1" applyAlignment="1">
      <alignment horizontal="right" indent="1"/>
    </xf>
    <xf numFmtId="0" fontId="2" fillId="0" borderId="5" xfId="0" applyFont="1" applyFill="1" applyBorder="1" applyAlignment="1">
      <alignment horizontal="right" indent="1"/>
    </xf>
    <xf numFmtId="165" fontId="2" fillId="0" borderId="5" xfId="0" applyNumberFormat="1" applyFont="1" applyFill="1" applyBorder="1" applyAlignment="1">
      <alignment horizontal="right" indent="1"/>
    </xf>
    <xf numFmtId="165" fontId="2" fillId="0" borderId="0" xfId="0" applyNumberFormat="1" applyFont="1" applyFill="1" applyBorder="1" applyAlignment="1">
      <alignment horizontal="right" indent="1"/>
    </xf>
    <xf numFmtId="165" fontId="1" fillId="0" borderId="0" xfId="0" applyNumberFormat="1" applyFont="1" applyFill="1" applyBorder="1" applyAlignment="1">
      <alignment horizontal="right" wrapText="1" indent="1"/>
    </xf>
    <xf numFmtId="165" fontId="2" fillId="0" borderId="0" xfId="0" applyNumberFormat="1" applyFont="1" applyFill="1" applyBorder="1" applyAlignment="1">
      <alignment horizontal="right" wrapText="1" indent="1"/>
    </xf>
    <xf numFmtId="165" fontId="2" fillId="0" borderId="5" xfId="0" applyNumberFormat="1" applyFont="1" applyFill="1" applyBorder="1" applyAlignment="1">
      <alignment horizontal="right" wrapText="1" indent="1"/>
    </xf>
    <xf numFmtId="0" fontId="1" fillId="0" borderId="0" xfId="0" applyFont="1" applyFill="1" applyBorder="1" applyAlignment="1">
      <alignment horizontal="right" wrapText="1" indent="1"/>
    </xf>
    <xf numFmtId="0" fontId="2" fillId="0" borderId="0" xfId="0" applyFont="1" applyFill="1" applyBorder="1" applyAlignment="1">
      <alignment horizontal="right" wrapText="1" indent="1"/>
    </xf>
    <xf numFmtId="0" fontId="2" fillId="0" borderId="5" xfId="0" applyFont="1" applyFill="1" applyBorder="1" applyAlignment="1">
      <alignment horizontal="right" wrapText="1" indent="1"/>
    </xf>
    <xf numFmtId="0" fontId="3" fillId="0" borderId="0" xfId="0" applyFont="1" applyFill="1" applyAlignment="1">
      <alignment horizontal="right" indent="1"/>
    </xf>
    <xf numFmtId="165" fontId="14" fillId="0" borderId="0" xfId="0" applyNumberFormat="1" applyFont="1" applyFill="1" applyAlignment="1">
      <alignment horizontal="right" indent="1"/>
    </xf>
    <xf numFmtId="0" fontId="2" fillId="0" borderId="0" xfId="0" quotePrefix="1" applyFont="1" applyFill="1" applyBorder="1" applyAlignment="1">
      <alignment horizontal="right" indent="1"/>
    </xf>
    <xf numFmtId="1" fontId="2" fillId="0" borderId="0" xfId="0" applyNumberFormat="1" applyFont="1" applyFill="1" applyBorder="1" applyAlignment="1">
      <alignment horizontal="right" wrapText="1" indent="1"/>
    </xf>
    <xf numFmtId="1" fontId="1" fillId="0" borderId="0" xfId="0" applyNumberFormat="1" applyFont="1" applyFill="1" applyAlignment="1">
      <alignment horizontal="right" wrapText="1" indent="1"/>
    </xf>
    <xf numFmtId="0" fontId="14" fillId="0" borderId="0" xfId="0" applyFont="1" applyFill="1"/>
    <xf numFmtId="1" fontId="2" fillId="0" borderId="0" xfId="0" applyNumberFormat="1" applyFont="1" applyFill="1" applyAlignment="1">
      <alignment horizontal="right" wrapText="1" indent="1"/>
    </xf>
    <xf numFmtId="0" fontId="2" fillId="0" borderId="0" xfId="0" applyFont="1" applyFill="1" applyAlignment="1">
      <alignment horizontal="right" wrapText="1" indent="1"/>
    </xf>
    <xf numFmtId="1" fontId="2" fillId="0" borderId="5" xfId="0" applyNumberFormat="1" applyFont="1" applyFill="1" applyBorder="1" applyAlignment="1">
      <alignment horizontal="right" wrapText="1" indent="1"/>
    </xf>
    <xf numFmtId="0" fontId="11" fillId="0" borderId="0" xfId="0" applyFont="1" applyFill="1"/>
    <xf numFmtId="171" fontId="1" fillId="0" borderId="0" xfId="0" applyNumberFormat="1" applyFont="1" applyFill="1" applyBorder="1" applyAlignment="1">
      <alignment horizontal="right" wrapText="1" indent="1"/>
    </xf>
    <xf numFmtId="171" fontId="2" fillId="0" borderId="0" xfId="0" applyNumberFormat="1" applyFont="1" applyFill="1" applyBorder="1" applyAlignment="1">
      <alignment horizontal="right" wrapText="1" indent="1"/>
    </xf>
    <xf numFmtId="0" fontId="28" fillId="0" borderId="0" xfId="0" applyFont="1" applyFill="1"/>
    <xf numFmtId="165" fontId="2" fillId="0" borderId="0" xfId="0" applyNumberFormat="1" applyFont="1" applyFill="1" applyAlignment="1">
      <alignment horizontal="right"/>
    </xf>
    <xf numFmtId="0" fontId="30" fillId="0" borderId="0" xfId="0" applyFont="1" applyFill="1"/>
    <xf numFmtId="0" fontId="2" fillId="0" borderId="0" xfId="0" applyFont="1" applyFill="1" applyBorder="1"/>
    <xf numFmtId="0" fontId="3" fillId="0" borderId="5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 vertical="center"/>
    </xf>
    <xf numFmtId="172" fontId="1" fillId="0" borderId="0" xfId="0" applyNumberFormat="1" applyFont="1" applyFill="1" applyBorder="1" applyAlignment="1">
      <alignment horizontal="right" indent="1"/>
    </xf>
    <xf numFmtId="172" fontId="2" fillId="0" borderId="0" xfId="0" applyNumberFormat="1" applyFont="1" applyFill="1" applyBorder="1" applyAlignment="1">
      <alignment horizontal="right" indent="1"/>
    </xf>
    <xf numFmtId="1" fontId="24" fillId="0" borderId="0" xfId="0" applyNumberFormat="1" applyFont="1" applyFill="1" applyAlignment="1">
      <alignment horizontal="right" indent="1"/>
    </xf>
    <xf numFmtId="1" fontId="21" fillId="0" borderId="0" xfId="0" applyNumberFormat="1" applyFont="1" applyFill="1" applyAlignment="1">
      <alignment horizontal="right" indent="1"/>
    </xf>
    <xf numFmtId="165" fontId="21" fillId="0" borderId="0" xfId="0" applyNumberFormat="1" applyFont="1" applyFill="1" applyAlignment="1">
      <alignment horizontal="right" indent="1"/>
    </xf>
    <xf numFmtId="1" fontId="3" fillId="0" borderId="0" xfId="0" applyNumberFormat="1" applyFont="1" applyFill="1" applyAlignment="1">
      <alignment horizontal="right" indent="1"/>
    </xf>
    <xf numFmtId="165" fontId="2" fillId="0" borderId="5" xfId="0" applyNumberFormat="1" applyFont="1" applyFill="1" applyBorder="1" applyAlignment="1" applyProtection="1">
      <alignment horizontal="right" indent="1"/>
      <protection locked="0"/>
    </xf>
    <xf numFmtId="171" fontId="2" fillId="0" borderId="5" xfId="0" applyNumberFormat="1" applyFont="1" applyFill="1" applyBorder="1" applyAlignment="1">
      <alignment horizontal="right" wrapText="1" indent="1"/>
    </xf>
    <xf numFmtId="1" fontId="3" fillId="0" borderId="0" xfId="0" applyNumberFormat="1" applyFont="1"/>
    <xf numFmtId="1" fontId="6" fillId="0" borderId="0" xfId="0" applyNumberFormat="1" applyFont="1" applyFill="1"/>
    <xf numFmtId="1" fontId="2" fillId="0" borderId="0" xfId="0" applyNumberFormat="1" applyFont="1" applyFill="1"/>
    <xf numFmtId="171" fontId="1" fillId="0" borderId="0" xfId="0" applyNumberFormat="1" applyFont="1" applyFill="1" applyBorder="1" applyAlignment="1">
      <alignment horizontal="right" inden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/>
    </xf>
    <xf numFmtId="166" fontId="2" fillId="0" borderId="0" xfId="0" applyNumberFormat="1" applyFont="1" applyFill="1" applyBorder="1" applyAlignment="1">
      <alignment vertical="center" wrapText="1"/>
    </xf>
    <xf numFmtId="166" fontId="2" fillId="0" borderId="0" xfId="0" applyNumberFormat="1" applyFont="1" applyFill="1" applyBorder="1" applyAlignment="1">
      <alignment wrapText="1"/>
    </xf>
    <xf numFmtId="1" fontId="24" fillId="0" borderId="0" xfId="0" applyNumberFormat="1" applyFont="1" applyFill="1" applyBorder="1" applyAlignment="1">
      <alignment horizontal="right" indent="1"/>
    </xf>
    <xf numFmtId="1" fontId="21" fillId="0" borderId="0" xfId="0" applyNumberFormat="1" applyFont="1" applyFill="1" applyBorder="1" applyAlignment="1">
      <alignment horizontal="right" indent="1"/>
    </xf>
    <xf numFmtId="1" fontId="21" fillId="0" borderId="5" xfId="0" applyNumberFormat="1" applyFont="1" applyFill="1" applyBorder="1" applyAlignment="1">
      <alignment horizontal="right" indent="1"/>
    </xf>
    <xf numFmtId="1" fontId="14" fillId="0" borderId="0" xfId="0" applyNumberFormat="1" applyFont="1" applyFill="1"/>
    <xf numFmtId="165" fontId="3" fillId="0" borderId="0" xfId="0" applyNumberFormat="1" applyFont="1" applyFill="1" applyBorder="1" applyAlignment="1">
      <alignment horizontal="right" indent="1"/>
    </xf>
    <xf numFmtId="1" fontId="2" fillId="0" borderId="0" xfId="0" quotePrefix="1" applyNumberFormat="1" applyFont="1" applyFill="1" applyAlignment="1">
      <alignment horizontal="right" indent="1"/>
    </xf>
    <xf numFmtId="0" fontId="2" fillId="0" borderId="0" xfId="0" applyFont="1" applyFill="1" applyBorder="1" applyAlignment="1">
      <alignment horizontal="left" vertical="center" wrapText="1" indent="3"/>
    </xf>
    <xf numFmtId="0" fontId="2" fillId="0" borderId="8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/>
    <xf numFmtId="0" fontId="25" fillId="0" borderId="0" xfId="0" applyFont="1" applyFill="1" applyAlignment="1">
      <alignment horizontal="left" vertical="center"/>
    </xf>
    <xf numFmtId="0" fontId="2" fillId="0" borderId="6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right" wrapText="1" indent="1"/>
    </xf>
    <xf numFmtId="0" fontId="11" fillId="0" borderId="5" xfId="0" applyFont="1" applyFill="1" applyBorder="1"/>
    <xf numFmtId="0" fontId="29" fillId="2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5" xfId="0" applyFont="1" applyFill="1" applyBorder="1" applyAlignment="1"/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9" fillId="0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justify" vertical="top" wrapText="1"/>
    </xf>
    <xf numFmtId="0" fontId="2" fillId="0" borderId="0" xfId="0" applyFont="1" applyFill="1" applyBorder="1" applyAlignment="1">
      <alignment horizontal="justify" vertical="top" wrapText="1"/>
    </xf>
  </cellXfs>
  <cellStyles count="8">
    <cellStyle name="Normal" xfId="1"/>
    <cellStyle name="Normal 2" xfId="5"/>
    <cellStyle name="Гиперссылка" xfId="4" builtinId="8"/>
    <cellStyle name="Обычный" xfId="0" builtinId="0"/>
    <cellStyle name="Обычный 2" xfId="3"/>
    <cellStyle name="Обычный 4" xfId="7"/>
    <cellStyle name="Финансовый" xfId="2" builtinId="3"/>
    <cellStyle name="Финансовый 2" xfId="6"/>
  </cellStyles>
  <dxfs count="0"/>
  <tableStyles count="0" defaultTableStyle="TableStyleMedium2" defaultPivotStyle="PivotStyleLight16"/>
  <colors>
    <mruColors>
      <color rgb="FFC7E6A4"/>
      <color rgb="FF92D050"/>
      <color rgb="FF78B832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6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4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14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4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1</xdr:row>
      <xdr:rowOff>9525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4286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rasenko_E/Documents/&#1044;&#1080;&#1085;&#1072;&#1084;&#1080;&#1082;&#1072;/&#1044;&#1080;&#1085;&#1072;&#1084;&#1080;&#1082;&#1072;/&#1044;&#1080;&#1085;&#1072;&#1084;&#1080;&#1082;&#1072;%20&#1060;&#1054;&#1050;&#1080;%202000-2017&#1075;&#1075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жил"/>
      <sheetName val="жил целые"/>
      <sheetName val="%жвсего"/>
      <sheetName val="ижс"/>
      <sheetName val="ижсЦ"/>
      <sheetName val="жск"/>
      <sheetName val="насел"/>
      <sheetName val="квм1000"/>
      <sheetName val="удвижс"/>
      <sheetName val="квартиры"/>
      <sheetName val="квар1000"/>
      <sheetName val="селжл"/>
      <sheetName val="%село"/>
      <sheetName val="селижс"/>
      <sheetName val="стоимость"/>
      <sheetName val="Лист1"/>
    </sheetNames>
    <sheetDataSet>
      <sheetData sheetId="0" refreshError="1">
        <row r="5">
          <cell r="B5">
            <v>30295.8</v>
          </cell>
          <cell r="C5">
            <v>31703.200000000001</v>
          </cell>
          <cell r="D5">
            <v>33832.199999999997</v>
          </cell>
          <cell r="E5">
            <v>36449.300000000003</v>
          </cell>
          <cell r="F5">
            <v>41040.1</v>
          </cell>
        </row>
        <row r="6">
          <cell r="B6">
            <v>10180.1</v>
          </cell>
          <cell r="C6">
            <v>10611.2</v>
          </cell>
          <cell r="D6">
            <v>11929.5</v>
          </cell>
          <cell r="E6">
            <v>13297.3</v>
          </cell>
          <cell r="F6">
            <v>15297.1</v>
          </cell>
        </row>
        <row r="7">
          <cell r="B7">
            <v>703.7</v>
          </cell>
          <cell r="C7">
            <v>595.4</v>
          </cell>
          <cell r="D7">
            <v>663.1</v>
          </cell>
          <cell r="E7">
            <v>671.2</v>
          </cell>
          <cell r="F7">
            <v>807.4</v>
          </cell>
        </row>
        <row r="8">
          <cell r="B8">
            <v>225.3</v>
          </cell>
          <cell r="C8">
            <v>236.9</v>
          </cell>
          <cell r="D8">
            <v>241.7</v>
          </cell>
          <cell r="E8">
            <v>221.8</v>
          </cell>
          <cell r="F8">
            <v>229</v>
          </cell>
        </row>
        <row r="9">
          <cell r="B9">
            <v>280.60000000000002</v>
          </cell>
          <cell r="C9">
            <v>246</v>
          </cell>
          <cell r="D9">
            <v>253.3</v>
          </cell>
          <cell r="E9">
            <v>279.39999999999998</v>
          </cell>
          <cell r="F9">
            <v>324.3</v>
          </cell>
        </row>
        <row r="10">
          <cell r="B10">
            <v>568.70000000000005</v>
          </cell>
          <cell r="C10">
            <v>584.6</v>
          </cell>
          <cell r="D10">
            <v>652.79999999999995</v>
          </cell>
          <cell r="E10">
            <v>750.2</v>
          </cell>
          <cell r="F10">
            <v>702.5</v>
          </cell>
        </row>
        <row r="11">
          <cell r="B11">
            <v>105.5</v>
          </cell>
          <cell r="C11">
            <v>91.6</v>
          </cell>
          <cell r="D11">
            <v>98.7</v>
          </cell>
          <cell r="E11">
            <v>119.7</v>
          </cell>
          <cell r="F11">
            <v>90.1</v>
          </cell>
        </row>
        <row r="12">
          <cell r="B12">
            <v>178.4</v>
          </cell>
          <cell r="C12">
            <v>194</v>
          </cell>
          <cell r="D12">
            <v>198.2</v>
          </cell>
          <cell r="E12">
            <v>216.7</v>
          </cell>
          <cell r="F12">
            <v>214.8</v>
          </cell>
        </row>
        <row r="13">
          <cell r="B13">
            <v>157.1</v>
          </cell>
          <cell r="C13">
            <v>185</v>
          </cell>
          <cell r="D13">
            <v>112.2</v>
          </cell>
          <cell r="E13">
            <v>105</v>
          </cell>
          <cell r="F13">
            <v>81.7</v>
          </cell>
        </row>
        <row r="14">
          <cell r="B14">
            <v>175.7</v>
          </cell>
          <cell r="C14">
            <v>192.7</v>
          </cell>
          <cell r="D14">
            <v>191.6</v>
          </cell>
          <cell r="E14">
            <v>275.89999999999998</v>
          </cell>
          <cell r="F14">
            <v>285.60000000000002</v>
          </cell>
        </row>
        <row r="15">
          <cell r="B15">
            <v>321.2</v>
          </cell>
          <cell r="C15">
            <v>385.9</v>
          </cell>
          <cell r="D15">
            <v>304</v>
          </cell>
          <cell r="E15">
            <v>347.5</v>
          </cell>
          <cell r="F15">
            <v>421.2</v>
          </cell>
        </row>
        <row r="16">
          <cell r="B16">
            <v>2610.9</v>
          </cell>
          <cell r="C16">
            <v>2827.8</v>
          </cell>
          <cell r="D16">
            <v>3414.8</v>
          </cell>
          <cell r="E16">
            <v>4114.8</v>
          </cell>
          <cell r="F16">
            <v>5720.1</v>
          </cell>
        </row>
        <row r="17">
          <cell r="B17">
            <v>245.1</v>
          </cell>
          <cell r="C17">
            <v>246.2</v>
          </cell>
          <cell r="D17">
            <v>233.3</v>
          </cell>
          <cell r="E17">
            <v>239.4</v>
          </cell>
          <cell r="F17">
            <v>241.6</v>
          </cell>
        </row>
        <row r="18">
          <cell r="B18">
            <v>255.3</v>
          </cell>
          <cell r="C18">
            <v>183.9</v>
          </cell>
          <cell r="D18">
            <v>221.8</v>
          </cell>
          <cell r="E18">
            <v>263.60000000000002</v>
          </cell>
          <cell r="F18">
            <v>270.60000000000002</v>
          </cell>
        </row>
        <row r="19">
          <cell r="B19">
            <v>169.6</v>
          </cell>
          <cell r="C19">
            <v>180.2</v>
          </cell>
          <cell r="D19">
            <v>195.6</v>
          </cell>
          <cell r="E19">
            <v>260</v>
          </cell>
          <cell r="F19">
            <v>263.60000000000002</v>
          </cell>
        </row>
        <row r="20">
          <cell r="B20">
            <v>241.1</v>
          </cell>
          <cell r="C20">
            <v>220.7</v>
          </cell>
          <cell r="D20">
            <v>248.2</v>
          </cell>
          <cell r="E20">
            <v>258.7</v>
          </cell>
          <cell r="F20">
            <v>311.10000000000002</v>
          </cell>
        </row>
        <row r="21">
          <cell r="B21">
            <v>217.7</v>
          </cell>
          <cell r="C21">
            <v>259.2</v>
          </cell>
          <cell r="D21">
            <v>259</v>
          </cell>
          <cell r="E21">
            <v>292.5</v>
          </cell>
          <cell r="F21">
            <v>321.39999999999998</v>
          </cell>
        </row>
        <row r="22">
          <cell r="B22">
            <v>251.1</v>
          </cell>
          <cell r="C22">
            <v>128</v>
          </cell>
          <cell r="D22">
            <v>192.3</v>
          </cell>
          <cell r="E22">
            <v>223.2</v>
          </cell>
          <cell r="F22">
            <v>215.9</v>
          </cell>
        </row>
        <row r="23">
          <cell r="B23">
            <v>130.9</v>
          </cell>
          <cell r="C23">
            <v>162.6</v>
          </cell>
          <cell r="D23">
            <v>174.7</v>
          </cell>
          <cell r="E23">
            <v>214.8</v>
          </cell>
          <cell r="F23">
            <v>217.5</v>
          </cell>
        </row>
        <row r="25">
          <cell r="B25">
            <v>2450.5</v>
          </cell>
          <cell r="C25">
            <v>2436.1</v>
          </cell>
          <cell r="D25">
            <v>2610.4</v>
          </cell>
          <cell r="E25">
            <v>3254.8</v>
          </cell>
          <cell r="F25">
            <v>3715.3</v>
          </cell>
        </row>
        <row r="26">
          <cell r="B26">
            <v>62.5</v>
          </cell>
          <cell r="C26">
            <v>78.400000000000006</v>
          </cell>
          <cell r="D26">
            <v>69.099999999999994</v>
          </cell>
          <cell r="E26">
            <v>83.6</v>
          </cell>
          <cell r="F26">
            <v>94.9</v>
          </cell>
        </row>
        <row r="27">
          <cell r="B27">
            <v>262.7</v>
          </cell>
          <cell r="C27">
            <v>115.9</v>
          </cell>
          <cell r="D27">
            <v>148.80000000000001</v>
          </cell>
          <cell r="E27">
            <v>159.5</v>
          </cell>
          <cell r="F27">
            <v>140.5</v>
          </cell>
        </row>
        <row r="28">
          <cell r="B28">
            <v>77.8</v>
          </cell>
          <cell r="C28">
            <v>99.8</v>
          </cell>
          <cell r="D28">
            <v>106.7</v>
          </cell>
          <cell r="E28">
            <v>94.1</v>
          </cell>
          <cell r="F28">
            <v>105</v>
          </cell>
        </row>
      </sheetData>
      <sheetData sheetId="1" refreshError="1"/>
      <sheetData sheetId="2" refreshError="1"/>
      <sheetData sheetId="3" refreshError="1">
        <row r="8">
          <cell r="B8">
            <v>12609.1</v>
          </cell>
          <cell r="C8">
            <v>13059.8</v>
          </cell>
          <cell r="D8">
            <v>14177.1</v>
          </cell>
          <cell r="E8">
            <v>15165.8</v>
          </cell>
          <cell r="F8">
            <v>16092.9</v>
          </cell>
        </row>
        <row r="11">
          <cell r="B11">
            <v>3244.4</v>
          </cell>
          <cell r="C11">
            <v>3201.3</v>
          </cell>
          <cell r="D11">
            <v>3622.6</v>
          </cell>
          <cell r="E11">
            <v>4267.8</v>
          </cell>
          <cell r="F11">
            <v>4728.6000000000004</v>
          </cell>
        </row>
        <row r="12">
          <cell r="B12">
            <v>360.5</v>
          </cell>
          <cell r="C12">
            <v>375.3</v>
          </cell>
          <cell r="D12">
            <v>325.39999999999998</v>
          </cell>
          <cell r="E12">
            <v>355.1</v>
          </cell>
          <cell r="F12">
            <v>386.2</v>
          </cell>
        </row>
        <row r="13">
          <cell r="B13">
            <v>90</v>
          </cell>
          <cell r="C13">
            <v>118.6</v>
          </cell>
          <cell r="D13">
            <v>119.7</v>
          </cell>
          <cell r="E13">
            <v>115</v>
          </cell>
          <cell r="F13">
            <v>113.7</v>
          </cell>
        </row>
        <row r="14">
          <cell r="B14">
            <v>81.900000000000006</v>
          </cell>
          <cell r="C14">
            <v>94.3</v>
          </cell>
          <cell r="D14">
            <v>103.7</v>
          </cell>
          <cell r="E14">
            <v>111.9</v>
          </cell>
          <cell r="F14">
            <v>144.80000000000001</v>
          </cell>
        </row>
        <row r="15">
          <cell r="B15">
            <v>209.8</v>
          </cell>
          <cell r="C15">
            <v>253</v>
          </cell>
          <cell r="D15">
            <v>314.2</v>
          </cell>
          <cell r="E15">
            <v>274.7</v>
          </cell>
          <cell r="F15">
            <v>255.7</v>
          </cell>
        </row>
        <row r="16">
          <cell r="B16">
            <v>36.4</v>
          </cell>
          <cell r="C16">
            <v>34.200000000000003</v>
          </cell>
          <cell r="D16">
            <v>41.5</v>
          </cell>
          <cell r="E16">
            <v>46.4</v>
          </cell>
          <cell r="F16">
            <v>49.9</v>
          </cell>
        </row>
        <row r="17">
          <cell r="B17">
            <v>55.4</v>
          </cell>
          <cell r="C17">
            <v>68.7</v>
          </cell>
          <cell r="D17">
            <v>73.599999999999994</v>
          </cell>
          <cell r="E17">
            <v>115.8</v>
          </cell>
          <cell r="F17">
            <v>123.5</v>
          </cell>
        </row>
        <row r="18">
          <cell r="B18">
            <v>33.700000000000003</v>
          </cell>
          <cell r="C18">
            <v>48.4</v>
          </cell>
          <cell r="D18">
            <v>41.9</v>
          </cell>
          <cell r="E18">
            <v>55.5</v>
          </cell>
          <cell r="F18">
            <v>55.2</v>
          </cell>
        </row>
        <row r="19">
          <cell r="B19">
            <v>60.6</v>
          </cell>
          <cell r="C19">
            <v>68.3</v>
          </cell>
          <cell r="D19">
            <v>69.8</v>
          </cell>
          <cell r="E19">
            <v>75.400000000000006</v>
          </cell>
          <cell r="F19">
            <v>102.5</v>
          </cell>
        </row>
        <row r="20">
          <cell r="B20">
            <v>131.9</v>
          </cell>
          <cell r="C20">
            <v>174.9</v>
          </cell>
          <cell r="D20">
            <v>159.9</v>
          </cell>
          <cell r="E20">
            <v>175.4</v>
          </cell>
          <cell r="F20">
            <v>196.5</v>
          </cell>
        </row>
        <row r="21">
          <cell r="B21">
            <v>1550.5</v>
          </cell>
          <cell r="C21">
            <v>1315.2</v>
          </cell>
          <cell r="D21">
            <v>1630.8</v>
          </cell>
          <cell r="E21">
            <v>2113.8000000000002</v>
          </cell>
          <cell r="F21">
            <v>2473.9</v>
          </cell>
        </row>
        <row r="22">
          <cell r="B22">
            <v>151.80000000000001</v>
          </cell>
          <cell r="C22">
            <v>151</v>
          </cell>
          <cell r="D22">
            <v>131.4</v>
          </cell>
          <cell r="E22">
            <v>122.1</v>
          </cell>
          <cell r="F22">
            <v>119.2</v>
          </cell>
        </row>
        <row r="23">
          <cell r="B23">
            <v>76.2</v>
          </cell>
          <cell r="C23">
            <v>94.6</v>
          </cell>
          <cell r="D23">
            <v>95</v>
          </cell>
          <cell r="E23">
            <v>116.2</v>
          </cell>
          <cell r="F23">
            <v>103.3</v>
          </cell>
        </row>
        <row r="24">
          <cell r="B24">
            <v>45.1</v>
          </cell>
          <cell r="C24">
            <v>70</v>
          </cell>
          <cell r="D24">
            <v>55.5</v>
          </cell>
          <cell r="E24">
            <v>100.6</v>
          </cell>
          <cell r="F24">
            <v>88.9</v>
          </cell>
        </row>
        <row r="25">
          <cell r="B25">
            <v>114.1</v>
          </cell>
          <cell r="C25">
            <v>125.4</v>
          </cell>
          <cell r="D25">
            <v>167.8</v>
          </cell>
          <cell r="E25">
            <v>149.5</v>
          </cell>
          <cell r="F25">
            <v>161.69999999999999</v>
          </cell>
        </row>
        <row r="26">
          <cell r="B26">
            <v>93.6</v>
          </cell>
          <cell r="C26">
            <v>99.3</v>
          </cell>
          <cell r="D26">
            <v>131.19999999999999</v>
          </cell>
          <cell r="E26">
            <v>170.7</v>
          </cell>
          <cell r="F26">
            <v>182.1</v>
          </cell>
        </row>
        <row r="27">
          <cell r="B27">
            <v>99.3</v>
          </cell>
          <cell r="C27">
            <v>62.1</v>
          </cell>
          <cell r="D27">
            <v>105.6</v>
          </cell>
          <cell r="E27">
            <v>111.8</v>
          </cell>
          <cell r="F27">
            <v>93.1</v>
          </cell>
        </row>
        <row r="28">
          <cell r="B28">
            <v>53.6</v>
          </cell>
          <cell r="C28">
            <v>48</v>
          </cell>
          <cell r="D28">
            <v>55.6</v>
          </cell>
          <cell r="E28">
            <v>58.1</v>
          </cell>
          <cell r="F28">
            <v>78.5</v>
          </cell>
        </row>
        <row r="30">
          <cell r="B30">
            <v>565.20000000000005</v>
          </cell>
          <cell r="C30">
            <v>577.4</v>
          </cell>
          <cell r="D30">
            <v>705.1</v>
          </cell>
          <cell r="E30">
            <v>817</v>
          </cell>
          <cell r="F30">
            <v>824.1</v>
          </cell>
        </row>
        <row r="31">
          <cell r="B31">
            <v>19.3</v>
          </cell>
          <cell r="C31">
            <v>30.7</v>
          </cell>
          <cell r="D31">
            <v>31.5</v>
          </cell>
          <cell r="E31">
            <v>29</v>
          </cell>
          <cell r="F31">
            <v>33.5</v>
          </cell>
        </row>
        <row r="32">
          <cell r="B32">
            <v>96.7</v>
          </cell>
          <cell r="C32">
            <v>39.6</v>
          </cell>
          <cell r="D32">
            <v>36.200000000000003</v>
          </cell>
          <cell r="E32">
            <v>46.5</v>
          </cell>
          <cell r="F32">
            <v>41.7</v>
          </cell>
        </row>
        <row r="33">
          <cell r="B33">
            <v>49.3</v>
          </cell>
          <cell r="C33">
            <v>54.9</v>
          </cell>
          <cell r="D33">
            <v>52.6</v>
          </cell>
          <cell r="E33">
            <v>51.8</v>
          </cell>
          <cell r="F33">
            <v>51.7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88">
    <tabColor rgb="FF74B230"/>
  </sheetPr>
  <dimension ref="A1:C29"/>
  <sheetViews>
    <sheetView tabSelected="1" workbookViewId="0">
      <pane ySplit="3" topLeftCell="A4" activePane="bottomLeft" state="frozen"/>
      <selection sqref="A1:T1"/>
      <selection pane="bottomLeft"/>
    </sheetView>
  </sheetViews>
  <sheetFormatPr defaultColWidth="9.140625" defaultRowHeight="14.25" x14ac:dyDescent="0.2"/>
  <cols>
    <col min="1" max="1" width="10.140625" style="95" bestFit="1" customWidth="1"/>
    <col min="2" max="2" width="69.140625" style="95" customWidth="1"/>
    <col min="3" max="16384" width="9.140625" style="95"/>
  </cols>
  <sheetData>
    <row r="1" spans="1:3" ht="30" customHeight="1" x14ac:dyDescent="0.2"/>
    <row r="2" spans="1:3" ht="15" x14ac:dyDescent="0.2">
      <c r="A2" s="192" t="s">
        <v>180</v>
      </c>
      <c r="B2" s="192"/>
      <c r="C2" s="192"/>
    </row>
    <row r="3" spans="1:3" ht="18.75" customHeight="1" x14ac:dyDescent="0.2">
      <c r="A3" s="193" t="s">
        <v>191</v>
      </c>
      <c r="B3" s="193"/>
      <c r="C3" s="193"/>
    </row>
    <row r="4" spans="1:3" x14ac:dyDescent="0.2">
      <c r="B4" s="97" t="s">
        <v>117</v>
      </c>
    </row>
    <row r="5" spans="1:3" x14ac:dyDescent="0.2">
      <c r="A5" s="98" t="s">
        <v>192</v>
      </c>
      <c r="B5" s="110" t="s">
        <v>118</v>
      </c>
    </row>
    <row r="6" spans="1:3" x14ac:dyDescent="0.2">
      <c r="A6" s="99" t="s">
        <v>193</v>
      </c>
      <c r="B6" s="110" t="s">
        <v>169</v>
      </c>
    </row>
    <row r="7" spans="1:3" x14ac:dyDescent="0.2">
      <c r="A7" s="99" t="s">
        <v>208</v>
      </c>
      <c r="B7" s="111" t="s">
        <v>170</v>
      </c>
    </row>
    <row r="8" spans="1:3" x14ac:dyDescent="0.2">
      <c r="A8" s="99" t="s">
        <v>209</v>
      </c>
      <c r="B8" s="111" t="s">
        <v>171</v>
      </c>
    </row>
    <row r="9" spans="1:3" x14ac:dyDescent="0.2">
      <c r="A9" s="98"/>
      <c r="B9" s="100" t="s">
        <v>119</v>
      </c>
    </row>
    <row r="10" spans="1:3" x14ac:dyDescent="0.2">
      <c r="A10" s="98" t="s">
        <v>194</v>
      </c>
      <c r="B10" s="110" t="s">
        <v>120</v>
      </c>
    </row>
    <row r="11" spans="1:3" x14ac:dyDescent="0.2">
      <c r="A11" s="98" t="s">
        <v>195</v>
      </c>
      <c r="B11" s="111" t="s">
        <v>172</v>
      </c>
    </row>
    <row r="12" spans="1:3" ht="16.5" customHeight="1" x14ac:dyDescent="0.2">
      <c r="A12" s="108" t="s">
        <v>196</v>
      </c>
      <c r="B12" s="111" t="s">
        <v>245</v>
      </c>
    </row>
    <row r="13" spans="1:3" x14ac:dyDescent="0.2">
      <c r="A13" s="109" t="s">
        <v>197</v>
      </c>
      <c r="B13" s="110" t="s">
        <v>121</v>
      </c>
    </row>
    <row r="14" spans="1:3" x14ac:dyDescent="0.2">
      <c r="A14" s="112" t="s">
        <v>198</v>
      </c>
      <c r="B14" s="111" t="s">
        <v>149</v>
      </c>
    </row>
    <row r="15" spans="1:3" x14ac:dyDescent="0.2">
      <c r="A15" s="109" t="s">
        <v>199</v>
      </c>
      <c r="B15" s="111" t="s">
        <v>246</v>
      </c>
    </row>
    <row r="16" spans="1:3" x14ac:dyDescent="0.2">
      <c r="A16" s="99" t="s">
        <v>200</v>
      </c>
      <c r="B16" s="110" t="s">
        <v>173</v>
      </c>
    </row>
    <row r="17" spans="1:2" x14ac:dyDescent="0.2">
      <c r="A17" s="99" t="s">
        <v>201</v>
      </c>
      <c r="B17" s="110" t="s">
        <v>177</v>
      </c>
    </row>
    <row r="18" spans="1:2" x14ac:dyDescent="0.2">
      <c r="A18" s="107" t="s">
        <v>202</v>
      </c>
      <c r="B18" s="110" t="s">
        <v>223</v>
      </c>
    </row>
    <row r="19" spans="1:2" x14ac:dyDescent="0.2">
      <c r="A19" s="108" t="s">
        <v>203</v>
      </c>
      <c r="B19" s="110" t="s">
        <v>224</v>
      </c>
    </row>
    <row r="20" spans="1:2" ht="15.75" customHeight="1" x14ac:dyDescent="0.2">
      <c r="A20" s="108" t="s">
        <v>204</v>
      </c>
      <c r="B20" s="110" t="s">
        <v>124</v>
      </c>
    </row>
    <row r="21" spans="1:2" x14ac:dyDescent="0.2">
      <c r="A21" s="108" t="s">
        <v>205</v>
      </c>
      <c r="B21" s="110" t="s">
        <v>183</v>
      </c>
    </row>
    <row r="22" spans="1:2" x14ac:dyDescent="0.2">
      <c r="A22" s="109" t="s">
        <v>206</v>
      </c>
      <c r="B22" s="111" t="s">
        <v>178</v>
      </c>
    </row>
    <row r="23" spans="1:2" x14ac:dyDescent="0.2">
      <c r="A23" s="108" t="s">
        <v>207</v>
      </c>
      <c r="B23" s="111" t="s">
        <v>179</v>
      </c>
    </row>
    <row r="24" spans="1:2" x14ac:dyDescent="0.2">
      <c r="A24" s="109" t="s">
        <v>225</v>
      </c>
      <c r="B24" s="110" t="s">
        <v>122</v>
      </c>
    </row>
    <row r="25" spans="1:2" x14ac:dyDescent="0.2">
      <c r="A25" s="108" t="s">
        <v>226</v>
      </c>
      <c r="B25" s="111" t="s">
        <v>168</v>
      </c>
    </row>
    <row r="26" spans="1:2" x14ac:dyDescent="0.2">
      <c r="A26" s="109" t="s">
        <v>227</v>
      </c>
      <c r="B26" s="111" t="s">
        <v>256</v>
      </c>
    </row>
    <row r="27" spans="1:2" ht="15.75" customHeight="1" x14ac:dyDescent="0.2">
      <c r="A27" s="108" t="s">
        <v>228</v>
      </c>
      <c r="B27" s="110" t="s">
        <v>123</v>
      </c>
    </row>
    <row r="28" spans="1:2" x14ac:dyDescent="0.2">
      <c r="A28" s="109" t="s">
        <v>229</v>
      </c>
      <c r="B28" s="111" t="s">
        <v>149</v>
      </c>
    </row>
    <row r="29" spans="1:2" x14ac:dyDescent="0.2">
      <c r="A29" s="108" t="s">
        <v>230</v>
      </c>
      <c r="B29" s="111" t="s">
        <v>257</v>
      </c>
    </row>
  </sheetData>
  <mergeCells count="2">
    <mergeCell ref="A2:C2"/>
    <mergeCell ref="A3:C3"/>
  </mergeCells>
  <hyperlinks>
    <hyperlink ref="B5" location="'14.1.'!A1" display="Объем работ, выполненных по виду экономической деятельности «Строительство» "/>
    <hyperlink ref="B7" location="'14.2.1.'!A1" display="Число зданий"/>
    <hyperlink ref="B8" location="'14.2.2.'!A1" display="Общая площадь зданий"/>
    <hyperlink ref="B10" location="'14.3.1.'!A1" display="Ввод в действие жилых домов  "/>
    <hyperlink ref="B11" location="'14.3.1.'!A1" display="Всего "/>
    <hyperlink ref="B12" location="'14.3.2.'!A1" display="На 1000 человек населения"/>
    <hyperlink ref="B13" location="'14.4.1.'!A1" display="Ввод в действие квартир  "/>
    <hyperlink ref="B14" location="'14.4.1.'!A1" display="Всего"/>
    <hyperlink ref="B15" location="'14.4.2.'!A1" display=" На 1000 человек населения"/>
    <hyperlink ref="B16" location="'14.5.'!A1" display="Ввод в действие жилых домов, построенных жилищно-строительными кооперативами"/>
    <hyperlink ref="B17" location="'14.6.'!A1" display="Ввод в действие жилых домов, построенных населением за счет собственных и привлеченных средств"/>
    <hyperlink ref="B20" location="'14.9.'!A1" display="Удельный вес жилых домов, построенных населением за счет собственных и привлеченных средств, в общем вводе жилья  "/>
    <hyperlink ref="B21" location="'14.10.1.'!A1" display="Ввод в действие мощностей общеобразовательных организаций "/>
    <hyperlink ref="B22" location="'14.10.1.'!A1" display="Общеобразовательные организации"/>
    <hyperlink ref="B23" location="'14.10.2.'!A1" display="Дошкольные образовательные организации"/>
    <hyperlink ref="B24" location="'14.11.1.'!A1" display="Ввод в действие мощностей больничных организаций  "/>
    <hyperlink ref="B25" location="'14.11.1.'!A1" display=" Всего"/>
    <hyperlink ref="B26" location="'14.11.2.'!A1" display=" На 100000 человек населения"/>
    <hyperlink ref="B27" location="'14.12.1.'!A1" display="Ввод в действие мощностей  амбулаторно-поликлинических организаций  "/>
    <hyperlink ref="B28" location="'14.12.1.'!A1" display="Всего"/>
    <hyperlink ref="B29" location="'14.12.2.'!A1" display="На 100000 человек населения"/>
    <hyperlink ref="B18" location="'14.7.'!A1" display="Число зданий и сооружений, находящихся в незавершенном строительстве "/>
    <hyperlink ref="B19" location="'14.8.'!A1" display="Жилые дома, находящиеся в незавершенном строительстве "/>
    <hyperlink ref="B6" location="'14.2.1.'!A1" display="Ввод в действие зданий жилого и нежилого назначения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0">
    <tabColor rgb="FFC7E6A4"/>
    <pageSetUpPr fitToPage="1"/>
  </sheetPr>
  <dimension ref="A1:Z109"/>
  <sheetViews>
    <sheetView zoomScaleNormal="100" workbookViewId="0">
      <pane xSplit="1" ySplit="7" topLeftCell="G8" activePane="bottomRight" state="frozen"/>
      <selection pane="topRight" activeCell="B1" sqref="B1"/>
      <selection pane="bottomLeft" activeCell="A8" sqref="A8"/>
      <selection pane="bottomRight" activeCell="C1" sqref="C1"/>
    </sheetView>
  </sheetViews>
  <sheetFormatPr defaultColWidth="9.140625" defaultRowHeight="15" x14ac:dyDescent="0.25"/>
  <cols>
    <col min="1" max="1" width="18.5703125" style="1" customWidth="1"/>
    <col min="2" max="17" width="9.140625" style="1" customWidth="1"/>
    <col min="18" max="23" width="9.140625" style="1"/>
    <col min="24" max="26" width="9.140625" style="12"/>
    <col min="27" max="16384" width="9.140625" style="1"/>
  </cols>
  <sheetData>
    <row r="1" spans="1:26" ht="29.25" customHeight="1" x14ac:dyDescent="0.25"/>
    <row r="2" spans="1:26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ht="15" customHeight="1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5">
      <c r="A4" s="197" t="s">
        <v>117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5">
      <c r="A5" s="11" t="s">
        <v>219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6" ht="15.75" thickBot="1" x14ac:dyDescent="0.3">
      <c r="A6" s="24" t="s">
        <v>148</v>
      </c>
      <c r="B6" s="24"/>
      <c r="C6" s="24"/>
      <c r="D6" s="169"/>
      <c r="E6" s="24"/>
      <c r="F6" s="24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6" ht="15.75" thickBot="1" x14ac:dyDescent="0.3">
      <c r="A7" s="2"/>
      <c r="B7" s="167">
        <v>2000</v>
      </c>
      <c r="C7" s="167">
        <v>2001</v>
      </c>
      <c r="D7" s="167">
        <v>2002</v>
      </c>
      <c r="E7" s="167">
        <v>2003</v>
      </c>
      <c r="F7" s="167">
        <v>2004</v>
      </c>
      <c r="G7" s="167">
        <v>2005</v>
      </c>
      <c r="H7" s="167">
        <v>2006</v>
      </c>
      <c r="I7" s="167">
        <v>2007</v>
      </c>
      <c r="J7" s="167">
        <v>2008</v>
      </c>
      <c r="K7" s="167">
        <v>2009</v>
      </c>
      <c r="L7" s="167">
        <v>2010</v>
      </c>
      <c r="M7" s="167">
        <v>2011</v>
      </c>
      <c r="N7" s="167">
        <v>2012</v>
      </c>
      <c r="O7" s="167">
        <v>2013</v>
      </c>
      <c r="P7" s="167">
        <v>2014</v>
      </c>
      <c r="Q7" s="167">
        <v>2015</v>
      </c>
      <c r="R7" s="167">
        <v>2016</v>
      </c>
      <c r="S7" s="167">
        <v>2017</v>
      </c>
      <c r="T7" s="2">
        <v>2018</v>
      </c>
      <c r="U7" s="2">
        <v>2019</v>
      </c>
      <c r="V7" s="2">
        <v>2020</v>
      </c>
      <c r="W7" s="2">
        <v>2021</v>
      </c>
      <c r="X7" s="2">
        <v>2022</v>
      </c>
      <c r="Y7" s="2">
        <v>2023</v>
      </c>
      <c r="Z7" s="2">
        <v>2024</v>
      </c>
    </row>
    <row r="8" spans="1:26" x14ac:dyDescent="0.25">
      <c r="A8" s="170" t="s">
        <v>0</v>
      </c>
      <c r="B8" s="119">
        <v>503836.8</v>
      </c>
      <c r="C8" s="119">
        <v>703831.3</v>
      </c>
      <c r="D8" s="119">
        <v>830995.5</v>
      </c>
      <c r="E8" s="119">
        <v>1042720.8</v>
      </c>
      <c r="F8" s="119">
        <v>1313550.5</v>
      </c>
      <c r="G8" s="119">
        <v>1754406.2</v>
      </c>
      <c r="H8" s="119">
        <v>2350840.4</v>
      </c>
      <c r="I8" s="119">
        <v>3293323.4</v>
      </c>
      <c r="J8" s="119">
        <v>4528144.7</v>
      </c>
      <c r="K8" s="119">
        <v>3998342</v>
      </c>
      <c r="L8" s="119">
        <v>4454156.0999999996</v>
      </c>
      <c r="M8" s="119">
        <v>5140309.9000000004</v>
      </c>
      <c r="N8" s="119">
        <v>5714109.2999999998</v>
      </c>
      <c r="O8" s="119">
        <v>6019464.7000000002</v>
      </c>
      <c r="P8" s="119">
        <v>6125191.2000000002</v>
      </c>
      <c r="Q8" s="119">
        <v>7010355.7000000002</v>
      </c>
      <c r="R8" s="119">
        <v>7213464.2460000003</v>
      </c>
      <c r="S8" s="123">
        <v>7579837.9000000004</v>
      </c>
      <c r="T8" s="123">
        <v>8470580.4666009527</v>
      </c>
      <c r="U8" s="123">
        <v>9132153.1279803794</v>
      </c>
      <c r="V8" s="123">
        <v>9686256.5999999996</v>
      </c>
      <c r="W8" s="123">
        <v>11047948.199999999</v>
      </c>
      <c r="X8" s="123">
        <v>13149369.5</v>
      </c>
      <c r="Y8" s="123">
        <v>15244342.9</v>
      </c>
      <c r="Z8" s="123">
        <v>16780080.100000001</v>
      </c>
    </row>
    <row r="9" spans="1:26" ht="18" x14ac:dyDescent="0.25">
      <c r="A9" s="7" t="s">
        <v>92</v>
      </c>
      <c r="B9" s="123">
        <f>SUM(B10:B27)</f>
        <v>144969.19999999998</v>
      </c>
      <c r="C9" s="123">
        <f>SUM(C10:C27)</f>
        <v>191698</v>
      </c>
      <c r="D9" s="123">
        <f>SUM(D10:D27)</f>
        <v>224018.2</v>
      </c>
      <c r="E9" s="123">
        <f>SUM(E10:E27)</f>
        <v>299631.40000000002</v>
      </c>
      <c r="F9" s="123">
        <f>SUM(F10:F27)</f>
        <v>391465.4</v>
      </c>
      <c r="G9" s="123">
        <v>517238.7</v>
      </c>
      <c r="H9" s="123">
        <v>706807.5</v>
      </c>
      <c r="I9" s="123">
        <v>942811.1</v>
      </c>
      <c r="J9" s="123">
        <v>1214848.3</v>
      </c>
      <c r="K9" s="123">
        <v>1068106.7</v>
      </c>
      <c r="L9" s="123">
        <v>1159676.1000000001</v>
      </c>
      <c r="M9" s="123">
        <v>1270451.8</v>
      </c>
      <c r="N9" s="123">
        <v>1417953.4</v>
      </c>
      <c r="O9" s="123">
        <v>1492522.7</v>
      </c>
      <c r="P9" s="123">
        <v>1593876.3</v>
      </c>
      <c r="Q9" s="123">
        <v>1780675.5</v>
      </c>
      <c r="R9" s="123">
        <v>1842119.0490000001</v>
      </c>
      <c r="S9" s="123">
        <v>1984091.3076246548</v>
      </c>
      <c r="T9" s="123">
        <v>2157211.5974113001</v>
      </c>
      <c r="U9" s="123">
        <v>2356914.3539999998</v>
      </c>
      <c r="V9" s="123">
        <v>2626914.7999999998</v>
      </c>
      <c r="W9" s="123">
        <v>2914419.4</v>
      </c>
      <c r="X9" s="123">
        <v>3545934.1</v>
      </c>
      <c r="Y9" s="123">
        <v>4054701.7</v>
      </c>
      <c r="Z9" s="123">
        <v>4256126.7</v>
      </c>
    </row>
    <row r="10" spans="1:26" x14ac:dyDescent="0.25">
      <c r="A10" s="72" t="s">
        <v>1</v>
      </c>
      <c r="B10" s="129">
        <v>4572.6000000000004</v>
      </c>
      <c r="C10" s="129">
        <v>4581.7</v>
      </c>
      <c r="D10" s="129">
        <v>5356</v>
      </c>
      <c r="E10" s="129">
        <v>7383.4</v>
      </c>
      <c r="F10" s="129">
        <v>11636.6</v>
      </c>
      <c r="G10" s="129">
        <v>14760.7</v>
      </c>
      <c r="H10" s="129">
        <v>18543.5</v>
      </c>
      <c r="I10" s="122">
        <v>32723.9</v>
      </c>
      <c r="J10" s="122">
        <v>43588.6</v>
      </c>
      <c r="K10" s="122">
        <v>29832.400000000001</v>
      </c>
      <c r="L10" s="129">
        <v>41302.699999999997</v>
      </c>
      <c r="M10" s="129">
        <v>70808</v>
      </c>
      <c r="N10" s="129">
        <v>80017.7</v>
      </c>
      <c r="O10" s="129">
        <v>71282.399999999994</v>
      </c>
      <c r="P10" s="129">
        <v>63342.7</v>
      </c>
      <c r="Q10" s="129">
        <v>76726.100000000006</v>
      </c>
      <c r="R10" s="129">
        <v>70984.847999999998</v>
      </c>
      <c r="S10" s="129">
        <v>88591.816093143701</v>
      </c>
      <c r="T10" s="129">
        <v>92638.305932520831</v>
      </c>
      <c r="U10" s="129">
        <v>118522.03599999998</v>
      </c>
      <c r="V10" s="129">
        <v>127125</v>
      </c>
      <c r="W10" s="129">
        <v>123674.3</v>
      </c>
      <c r="X10" s="129">
        <v>146082.5</v>
      </c>
      <c r="Y10" s="129">
        <v>174327.4</v>
      </c>
      <c r="Z10" s="129">
        <v>200579.20000000001</v>
      </c>
    </row>
    <row r="11" spans="1:26" x14ac:dyDescent="0.25">
      <c r="A11" s="72" t="s">
        <v>2</v>
      </c>
      <c r="B11" s="129">
        <v>2191.1</v>
      </c>
      <c r="C11" s="129">
        <v>2263.4</v>
      </c>
      <c r="D11" s="129">
        <v>2496.5</v>
      </c>
      <c r="E11" s="129">
        <v>2707.4</v>
      </c>
      <c r="F11" s="129">
        <v>3778.8</v>
      </c>
      <c r="G11" s="129">
        <v>4122.8999999999996</v>
      </c>
      <c r="H11" s="129">
        <v>4963.5</v>
      </c>
      <c r="I11" s="122">
        <v>8145.5</v>
      </c>
      <c r="J11" s="122">
        <v>11862</v>
      </c>
      <c r="K11" s="122">
        <v>11499</v>
      </c>
      <c r="L11" s="129">
        <v>13900.9</v>
      </c>
      <c r="M11" s="129">
        <v>16941.900000000001</v>
      </c>
      <c r="N11" s="129">
        <v>18018.5</v>
      </c>
      <c r="O11" s="129">
        <v>22496.7</v>
      </c>
      <c r="P11" s="129">
        <v>23973.599999999999</v>
      </c>
      <c r="Q11" s="129">
        <v>24983.8</v>
      </c>
      <c r="R11" s="129">
        <v>27764.391</v>
      </c>
      <c r="S11" s="129">
        <v>28564.571411977442</v>
      </c>
      <c r="T11" s="129">
        <v>25316.515710864001</v>
      </c>
      <c r="U11" s="129">
        <v>30334.971000000005</v>
      </c>
      <c r="V11" s="129">
        <v>40518.5</v>
      </c>
      <c r="W11" s="129">
        <v>46429.599999999999</v>
      </c>
      <c r="X11" s="129">
        <v>46223.4</v>
      </c>
      <c r="Y11" s="129">
        <v>47647.6</v>
      </c>
      <c r="Z11" s="129">
        <v>43405.2</v>
      </c>
    </row>
    <row r="12" spans="1:26" x14ac:dyDescent="0.25">
      <c r="A12" s="72" t="s">
        <v>3</v>
      </c>
      <c r="B12" s="129">
        <v>2736.4</v>
      </c>
      <c r="C12" s="129">
        <v>3141.4</v>
      </c>
      <c r="D12" s="129">
        <v>3317.3</v>
      </c>
      <c r="E12" s="129">
        <v>3226.8</v>
      </c>
      <c r="F12" s="129">
        <v>4373.7</v>
      </c>
      <c r="G12" s="129">
        <v>6446.5</v>
      </c>
      <c r="H12" s="129">
        <v>8876.5</v>
      </c>
      <c r="I12" s="122">
        <v>16250.7</v>
      </c>
      <c r="J12" s="122">
        <v>20594.400000000001</v>
      </c>
      <c r="K12" s="122">
        <v>20069</v>
      </c>
      <c r="L12" s="129">
        <v>21308.9</v>
      </c>
      <c r="M12" s="129">
        <v>23311.599999999999</v>
      </c>
      <c r="N12" s="129">
        <v>27075.8</v>
      </c>
      <c r="O12" s="129">
        <v>30211.5</v>
      </c>
      <c r="P12" s="129">
        <v>32305.5</v>
      </c>
      <c r="Q12" s="129">
        <v>30576.2</v>
      </c>
      <c r="R12" s="129">
        <v>34277.68</v>
      </c>
      <c r="S12" s="129">
        <v>37927.042680581973</v>
      </c>
      <c r="T12" s="129">
        <v>40515.001728158997</v>
      </c>
      <c r="U12" s="129">
        <v>42923.932999999997</v>
      </c>
      <c r="V12" s="129">
        <v>43864.7</v>
      </c>
      <c r="W12" s="129">
        <v>64536</v>
      </c>
      <c r="X12" s="129">
        <v>96585.7</v>
      </c>
      <c r="Y12" s="129">
        <v>110230.6</v>
      </c>
      <c r="Z12" s="129">
        <v>90497.7</v>
      </c>
    </row>
    <row r="13" spans="1:26" x14ac:dyDescent="0.25">
      <c r="A13" s="72" t="s">
        <v>4</v>
      </c>
      <c r="B13" s="129">
        <v>3627.7</v>
      </c>
      <c r="C13" s="129">
        <v>4893.8</v>
      </c>
      <c r="D13" s="129">
        <v>6552.8</v>
      </c>
      <c r="E13" s="129">
        <v>8210.5</v>
      </c>
      <c r="F13" s="129">
        <v>9494.5</v>
      </c>
      <c r="G13" s="129">
        <v>11125.2</v>
      </c>
      <c r="H13" s="129">
        <v>14915.6</v>
      </c>
      <c r="I13" s="122">
        <v>23289.200000000001</v>
      </c>
      <c r="J13" s="122">
        <v>32482.400000000001</v>
      </c>
      <c r="K13" s="122">
        <v>31139.4</v>
      </c>
      <c r="L13" s="129">
        <v>40755.1</v>
      </c>
      <c r="M13" s="129">
        <v>49766.9</v>
      </c>
      <c r="N13" s="129">
        <v>61988</v>
      </c>
      <c r="O13" s="129">
        <v>68720</v>
      </c>
      <c r="P13" s="129">
        <v>74643.199999999997</v>
      </c>
      <c r="Q13" s="129">
        <v>107591.4</v>
      </c>
      <c r="R13" s="129">
        <v>100403.64599999999</v>
      </c>
      <c r="S13" s="129">
        <v>107531.14007828596</v>
      </c>
      <c r="T13" s="129">
        <v>128660.7500043616</v>
      </c>
      <c r="U13" s="129">
        <v>136924.60999999999</v>
      </c>
      <c r="V13" s="129">
        <v>133017.79999999999</v>
      </c>
      <c r="W13" s="129">
        <v>122778.5</v>
      </c>
      <c r="X13" s="129">
        <v>138126.70000000001</v>
      </c>
      <c r="Y13" s="129">
        <v>177850.3</v>
      </c>
      <c r="Z13" s="129">
        <v>209777</v>
      </c>
    </row>
    <row r="14" spans="1:26" x14ac:dyDescent="0.25">
      <c r="A14" s="72" t="s">
        <v>5</v>
      </c>
      <c r="B14" s="129">
        <v>1282.0999999999999</v>
      </c>
      <c r="C14" s="129">
        <v>1371.9</v>
      </c>
      <c r="D14" s="129">
        <v>1638.1</v>
      </c>
      <c r="E14" s="129">
        <v>2245.5</v>
      </c>
      <c r="F14" s="129">
        <v>3164.4</v>
      </c>
      <c r="G14" s="129">
        <v>3620</v>
      </c>
      <c r="H14" s="129">
        <v>6900.4</v>
      </c>
      <c r="I14" s="122">
        <v>10403.700000000001</v>
      </c>
      <c r="J14" s="122">
        <v>12064.7</v>
      </c>
      <c r="K14" s="122">
        <v>15007.8</v>
      </c>
      <c r="L14" s="129">
        <v>12800.8</v>
      </c>
      <c r="M14" s="129">
        <v>16221.5</v>
      </c>
      <c r="N14" s="129">
        <v>16234.7</v>
      </c>
      <c r="O14" s="129">
        <v>18578.8</v>
      </c>
      <c r="P14" s="129">
        <v>20923</v>
      </c>
      <c r="Q14" s="129">
        <v>21859.1</v>
      </c>
      <c r="R14" s="129">
        <v>20848.696</v>
      </c>
      <c r="S14" s="129">
        <v>27843.498046753768</v>
      </c>
      <c r="T14" s="129">
        <v>31998.421146383203</v>
      </c>
      <c r="U14" s="129">
        <v>40053.673999999999</v>
      </c>
      <c r="V14" s="129">
        <v>43805.1</v>
      </c>
      <c r="W14" s="129">
        <v>52942.400000000001</v>
      </c>
      <c r="X14" s="129">
        <v>59798</v>
      </c>
      <c r="Y14" s="129">
        <v>68921.5</v>
      </c>
      <c r="Z14" s="129">
        <v>53529.8</v>
      </c>
    </row>
    <row r="15" spans="1:26" x14ac:dyDescent="0.25">
      <c r="A15" s="72" t="s">
        <v>6</v>
      </c>
      <c r="B15" s="129">
        <v>2556.5</v>
      </c>
      <c r="C15" s="129">
        <v>3231.4</v>
      </c>
      <c r="D15" s="129">
        <v>3745.2</v>
      </c>
      <c r="E15" s="129">
        <v>4375.5</v>
      </c>
      <c r="F15" s="129">
        <v>5917.9</v>
      </c>
      <c r="G15" s="129">
        <v>7622.6</v>
      </c>
      <c r="H15" s="129">
        <v>10933.6</v>
      </c>
      <c r="I15" s="122">
        <v>15433.7</v>
      </c>
      <c r="J15" s="122">
        <v>24283.7</v>
      </c>
      <c r="K15" s="122">
        <v>23378.799999999999</v>
      </c>
      <c r="L15" s="129">
        <v>26812.400000000001</v>
      </c>
      <c r="M15" s="129">
        <v>33775.300000000003</v>
      </c>
      <c r="N15" s="129">
        <v>42733.8</v>
      </c>
      <c r="O15" s="129">
        <v>42436.3</v>
      </c>
      <c r="P15" s="129">
        <v>44969.3</v>
      </c>
      <c r="Q15" s="129">
        <v>59763</v>
      </c>
      <c r="R15" s="129">
        <v>53878.887000000002</v>
      </c>
      <c r="S15" s="129">
        <v>66936.243836730122</v>
      </c>
      <c r="T15" s="129">
        <v>67997.410112686499</v>
      </c>
      <c r="U15" s="129">
        <v>67111.998999999996</v>
      </c>
      <c r="V15" s="129">
        <v>74857</v>
      </c>
      <c r="W15" s="129">
        <v>77177.3</v>
      </c>
      <c r="X15" s="129">
        <v>81566.100000000006</v>
      </c>
      <c r="Y15" s="129">
        <v>94653.2</v>
      </c>
      <c r="Z15" s="129">
        <v>90512.8</v>
      </c>
    </row>
    <row r="16" spans="1:26" x14ac:dyDescent="0.25">
      <c r="A16" s="72" t="s">
        <v>7</v>
      </c>
      <c r="B16" s="129">
        <v>1758.5</v>
      </c>
      <c r="C16" s="129">
        <v>1730.4</v>
      </c>
      <c r="D16" s="129">
        <v>2446.8000000000002</v>
      </c>
      <c r="E16" s="129">
        <v>2901.3</v>
      </c>
      <c r="F16" s="129">
        <v>2885.2</v>
      </c>
      <c r="G16" s="129">
        <v>3916</v>
      </c>
      <c r="H16" s="129">
        <v>5327.9</v>
      </c>
      <c r="I16" s="122">
        <v>7991.2</v>
      </c>
      <c r="J16" s="122">
        <v>9680.4</v>
      </c>
      <c r="K16" s="122">
        <v>8416.9</v>
      </c>
      <c r="L16" s="129">
        <v>8960.5</v>
      </c>
      <c r="M16" s="129">
        <v>8045.9</v>
      </c>
      <c r="N16" s="129">
        <v>8485.2000000000007</v>
      </c>
      <c r="O16" s="129">
        <v>8307.4</v>
      </c>
      <c r="P16" s="129">
        <v>8663.1</v>
      </c>
      <c r="Q16" s="129">
        <v>13498.7</v>
      </c>
      <c r="R16" s="129">
        <v>10949.745000000001</v>
      </c>
      <c r="S16" s="129">
        <v>9020.135581003593</v>
      </c>
      <c r="T16" s="129">
        <v>11780.177002297736</v>
      </c>
      <c r="U16" s="129">
        <v>12591.933999999997</v>
      </c>
      <c r="V16" s="129">
        <v>16057.8</v>
      </c>
      <c r="W16" s="129">
        <v>16885.5</v>
      </c>
      <c r="X16" s="129">
        <v>21026.2</v>
      </c>
      <c r="Y16" s="129">
        <v>22770.400000000001</v>
      </c>
      <c r="Z16" s="129">
        <v>17111.099999999999</v>
      </c>
    </row>
    <row r="17" spans="1:26" x14ac:dyDescent="0.25">
      <c r="A17" s="72" t="s">
        <v>8</v>
      </c>
      <c r="B17" s="129">
        <v>2202.3000000000002</v>
      </c>
      <c r="C17" s="129">
        <v>3325.4</v>
      </c>
      <c r="D17" s="129">
        <v>3298.8</v>
      </c>
      <c r="E17" s="129">
        <v>4372.5</v>
      </c>
      <c r="F17" s="129">
        <v>6041.2</v>
      </c>
      <c r="G17" s="129">
        <v>7125.6</v>
      </c>
      <c r="H17" s="129">
        <v>10257.200000000001</v>
      </c>
      <c r="I17" s="122">
        <v>14665.9</v>
      </c>
      <c r="J17" s="122">
        <v>20444.900000000001</v>
      </c>
      <c r="K17" s="122">
        <v>19970</v>
      </c>
      <c r="L17" s="129">
        <v>23305.9</v>
      </c>
      <c r="M17" s="129">
        <v>29581.8</v>
      </c>
      <c r="N17" s="129">
        <v>33648.1</v>
      </c>
      <c r="O17" s="129">
        <v>36918.300000000003</v>
      </c>
      <c r="P17" s="129">
        <v>42060.5</v>
      </c>
      <c r="Q17" s="129">
        <v>43495.9</v>
      </c>
      <c r="R17" s="129">
        <v>44911.462</v>
      </c>
      <c r="S17" s="129">
        <v>50200.473673161076</v>
      </c>
      <c r="T17" s="129">
        <v>57125.950299999997</v>
      </c>
      <c r="U17" s="129">
        <v>77081.02</v>
      </c>
      <c r="V17" s="129">
        <v>82453</v>
      </c>
      <c r="W17" s="129">
        <v>112268</v>
      </c>
      <c r="X17" s="129">
        <v>148635.79999999999</v>
      </c>
      <c r="Y17" s="129">
        <v>176490</v>
      </c>
      <c r="Z17" s="129">
        <v>212428.79999999999</v>
      </c>
    </row>
    <row r="18" spans="1:26" x14ac:dyDescent="0.25">
      <c r="A18" s="72" t="s">
        <v>9</v>
      </c>
      <c r="B18" s="129">
        <v>2945.4</v>
      </c>
      <c r="C18" s="129">
        <v>3213.4</v>
      </c>
      <c r="D18" s="129">
        <v>3692.2</v>
      </c>
      <c r="E18" s="129">
        <v>5372.7</v>
      </c>
      <c r="F18" s="129">
        <v>8009.5</v>
      </c>
      <c r="G18" s="129">
        <v>12255.4</v>
      </c>
      <c r="H18" s="129">
        <v>15182.2</v>
      </c>
      <c r="I18" s="122">
        <v>19994</v>
      </c>
      <c r="J18" s="122">
        <v>23378.1</v>
      </c>
      <c r="K18" s="122">
        <v>25591.1</v>
      </c>
      <c r="L18" s="129">
        <v>25716.5</v>
      </c>
      <c r="M18" s="129">
        <v>28464.799999999999</v>
      </c>
      <c r="N18" s="129">
        <v>31372.2</v>
      </c>
      <c r="O18" s="129">
        <v>34266.800000000003</v>
      </c>
      <c r="P18" s="129">
        <v>36690.400000000001</v>
      </c>
      <c r="Q18" s="129">
        <v>40838</v>
      </c>
      <c r="R18" s="129">
        <v>42387.857000000004</v>
      </c>
      <c r="S18" s="129">
        <v>48597.179264623082</v>
      </c>
      <c r="T18" s="129">
        <v>56015.195999592273</v>
      </c>
      <c r="U18" s="129">
        <v>67817.606</v>
      </c>
      <c r="V18" s="129">
        <v>77019.899999999994</v>
      </c>
      <c r="W18" s="129">
        <v>75787</v>
      </c>
      <c r="X18" s="129">
        <v>91059</v>
      </c>
      <c r="Y18" s="129">
        <v>105405</v>
      </c>
      <c r="Z18" s="129">
        <v>153180.1</v>
      </c>
    </row>
    <row r="19" spans="1:26" x14ac:dyDescent="0.25">
      <c r="A19" s="72" t="s">
        <v>10</v>
      </c>
      <c r="B19" s="129">
        <v>21675.1</v>
      </c>
      <c r="C19" s="129">
        <v>30301.8</v>
      </c>
      <c r="D19" s="129">
        <v>33301.699999999997</v>
      </c>
      <c r="E19" s="129">
        <v>41590</v>
      </c>
      <c r="F19" s="129">
        <v>74889.8</v>
      </c>
      <c r="G19" s="129">
        <v>120237.3</v>
      </c>
      <c r="H19" s="129">
        <v>161798.9</v>
      </c>
      <c r="I19" s="122">
        <v>217631.9</v>
      </c>
      <c r="J19" s="122">
        <v>271169.09999999998</v>
      </c>
      <c r="K19" s="122">
        <v>210355.6</v>
      </c>
      <c r="L19" s="129">
        <v>230771.3</v>
      </c>
      <c r="M19" s="129">
        <v>265066</v>
      </c>
      <c r="N19" s="129">
        <v>303071.59999999998</v>
      </c>
      <c r="O19" s="129">
        <v>289351.40000000002</v>
      </c>
      <c r="P19" s="129">
        <v>314325.8</v>
      </c>
      <c r="Q19" s="129">
        <v>320716.2</v>
      </c>
      <c r="R19" s="129">
        <v>328467.97200000001</v>
      </c>
      <c r="S19" s="129">
        <v>357555.04834090843</v>
      </c>
      <c r="T19" s="129">
        <v>469584.00799866545</v>
      </c>
      <c r="U19" s="129">
        <v>520116.576</v>
      </c>
      <c r="V19" s="129">
        <v>572893.80000000005</v>
      </c>
      <c r="W19" s="129">
        <v>536546.19999999995</v>
      </c>
      <c r="X19" s="129">
        <v>712509.4</v>
      </c>
      <c r="Y19" s="129">
        <v>719436.6</v>
      </c>
      <c r="Z19" s="129">
        <v>745700.9</v>
      </c>
    </row>
    <row r="20" spans="1:26" x14ac:dyDescent="0.25">
      <c r="A20" s="72" t="s">
        <v>11</v>
      </c>
      <c r="B20" s="129">
        <v>2219.6999999999998</v>
      </c>
      <c r="C20" s="129">
        <v>2832.3</v>
      </c>
      <c r="D20" s="129">
        <v>2676.5</v>
      </c>
      <c r="E20" s="129">
        <v>3352.1</v>
      </c>
      <c r="F20" s="129">
        <v>3827.2</v>
      </c>
      <c r="G20" s="129">
        <v>4255.2</v>
      </c>
      <c r="H20" s="129">
        <v>5796</v>
      </c>
      <c r="I20" s="122">
        <v>7981.4</v>
      </c>
      <c r="J20" s="122">
        <v>10923.4</v>
      </c>
      <c r="K20" s="122">
        <v>7988.3</v>
      </c>
      <c r="L20" s="129">
        <v>7859.7</v>
      </c>
      <c r="M20" s="129">
        <v>9497.9</v>
      </c>
      <c r="N20" s="129">
        <v>14687</v>
      </c>
      <c r="O20" s="129">
        <v>15796.6</v>
      </c>
      <c r="P20" s="129">
        <v>16861.400000000001</v>
      </c>
      <c r="Q20" s="129">
        <v>23677.4</v>
      </c>
      <c r="R20" s="129">
        <v>19544.066999999999</v>
      </c>
      <c r="S20" s="129">
        <v>21215.075875604303</v>
      </c>
      <c r="T20" s="129">
        <v>22747.384981019335</v>
      </c>
      <c r="U20" s="129">
        <v>27027.475999999999</v>
      </c>
      <c r="V20" s="129">
        <v>29405.8</v>
      </c>
      <c r="W20" s="129">
        <v>32846.1</v>
      </c>
      <c r="X20" s="129">
        <v>35517.4</v>
      </c>
      <c r="Y20" s="129">
        <v>38655.9</v>
      </c>
      <c r="Z20" s="129">
        <v>36415.599999999999</v>
      </c>
    </row>
    <row r="21" spans="1:26" x14ac:dyDescent="0.25">
      <c r="A21" s="72" t="s">
        <v>12</v>
      </c>
      <c r="B21" s="129">
        <v>2565.8000000000002</v>
      </c>
      <c r="C21" s="129">
        <v>3928.2</v>
      </c>
      <c r="D21" s="129">
        <v>3983.2</v>
      </c>
      <c r="E21" s="129">
        <v>6488.8</v>
      </c>
      <c r="F21" s="129">
        <v>7804.6</v>
      </c>
      <c r="G21" s="129">
        <v>12164.9</v>
      </c>
      <c r="H21" s="129">
        <v>13986.3</v>
      </c>
      <c r="I21" s="122">
        <v>22072</v>
      </c>
      <c r="J21" s="122">
        <v>28061.5</v>
      </c>
      <c r="K21" s="122">
        <v>18685.099999999999</v>
      </c>
      <c r="L21" s="129">
        <v>25768.3</v>
      </c>
      <c r="M21" s="129">
        <v>31881.5</v>
      </c>
      <c r="N21" s="129">
        <v>36509.599999999999</v>
      </c>
      <c r="O21" s="129">
        <v>42200.2</v>
      </c>
      <c r="P21" s="129">
        <v>33091.199999999997</v>
      </c>
      <c r="Q21" s="129">
        <v>43439.9</v>
      </c>
      <c r="R21" s="129">
        <v>40195.739000000001</v>
      </c>
      <c r="S21" s="129">
        <v>45602.227292830139</v>
      </c>
      <c r="T21" s="129">
        <v>49224.850495054467</v>
      </c>
      <c r="U21" s="129">
        <v>54701.750999999997</v>
      </c>
      <c r="V21" s="129">
        <v>50453.599999999999</v>
      </c>
      <c r="W21" s="129">
        <v>54902.3</v>
      </c>
      <c r="X21" s="129">
        <v>61546.400000000001</v>
      </c>
      <c r="Y21" s="129">
        <v>74586.5</v>
      </c>
      <c r="Z21" s="129">
        <v>93654.1</v>
      </c>
    </row>
    <row r="22" spans="1:26" x14ac:dyDescent="0.25">
      <c r="A22" s="72" t="s">
        <v>13</v>
      </c>
      <c r="B22" s="129">
        <v>3655.2</v>
      </c>
      <c r="C22" s="129">
        <v>4941.8</v>
      </c>
      <c r="D22" s="129">
        <v>5203.7</v>
      </c>
      <c r="E22" s="129">
        <v>6501.2</v>
      </c>
      <c r="F22" s="129">
        <v>6381.1</v>
      </c>
      <c r="G22" s="129">
        <v>7214.4</v>
      </c>
      <c r="H22" s="129">
        <v>8472.5</v>
      </c>
      <c r="I22" s="122">
        <v>10895.5</v>
      </c>
      <c r="J22" s="122">
        <v>15704.4</v>
      </c>
      <c r="K22" s="122">
        <v>15609.3</v>
      </c>
      <c r="L22" s="129">
        <v>19341.400000000001</v>
      </c>
      <c r="M22" s="129">
        <v>25566.2</v>
      </c>
      <c r="N22" s="129">
        <v>26524.3</v>
      </c>
      <c r="O22" s="129">
        <v>25343.7</v>
      </c>
      <c r="P22" s="129">
        <v>25761.8</v>
      </c>
      <c r="Q22" s="129">
        <v>23570.1</v>
      </c>
      <c r="R22" s="129">
        <v>23923.624</v>
      </c>
      <c r="S22" s="129">
        <v>25175.552930444119</v>
      </c>
      <c r="T22" s="129">
        <v>24446.532100000004</v>
      </c>
      <c r="U22" s="129">
        <v>26401.894</v>
      </c>
      <c r="V22" s="129">
        <v>27229.599999999999</v>
      </c>
      <c r="W22" s="129">
        <v>29513.5</v>
      </c>
      <c r="X22" s="129">
        <v>31936.7</v>
      </c>
      <c r="Y22" s="129">
        <v>32405.9</v>
      </c>
      <c r="Z22" s="129">
        <v>42740.4</v>
      </c>
    </row>
    <row r="23" spans="1:26" x14ac:dyDescent="0.25">
      <c r="A23" s="72" t="s">
        <v>14</v>
      </c>
      <c r="B23" s="129">
        <v>1336.3</v>
      </c>
      <c r="C23" s="129">
        <v>1945.7</v>
      </c>
      <c r="D23" s="129">
        <v>2710.3</v>
      </c>
      <c r="E23" s="129">
        <v>3511.5</v>
      </c>
      <c r="F23" s="129">
        <v>4839.2</v>
      </c>
      <c r="G23" s="129">
        <v>6583.3</v>
      </c>
      <c r="H23" s="129">
        <v>8562.9</v>
      </c>
      <c r="I23" s="122">
        <v>12142.3</v>
      </c>
      <c r="J23" s="122">
        <v>16551.3</v>
      </c>
      <c r="K23" s="122">
        <v>17793.5</v>
      </c>
      <c r="L23" s="129">
        <v>17560.099999999999</v>
      </c>
      <c r="M23" s="129">
        <v>20470.3</v>
      </c>
      <c r="N23" s="129">
        <v>24209.599999999999</v>
      </c>
      <c r="O23" s="129">
        <v>27398.799999999999</v>
      </c>
      <c r="P23" s="129">
        <v>30552.400000000001</v>
      </c>
      <c r="Q23" s="129">
        <v>33188.800000000003</v>
      </c>
      <c r="R23" s="129">
        <v>32733.167000000001</v>
      </c>
      <c r="S23" s="129">
        <v>33295.915590166049</v>
      </c>
      <c r="T23" s="129">
        <v>29865.535</v>
      </c>
      <c r="U23" s="129">
        <v>30797.878000000001</v>
      </c>
      <c r="V23" s="129">
        <v>32248.5</v>
      </c>
      <c r="W23" s="129">
        <v>37264.9</v>
      </c>
      <c r="X23" s="129">
        <v>36623.300000000003</v>
      </c>
      <c r="Y23" s="129">
        <v>39981</v>
      </c>
      <c r="Z23" s="129">
        <v>43123.7</v>
      </c>
    </row>
    <row r="24" spans="1:26" x14ac:dyDescent="0.25">
      <c r="A24" s="72" t="s">
        <v>15</v>
      </c>
      <c r="B24" s="129">
        <v>2770.2</v>
      </c>
      <c r="C24" s="129">
        <v>5075</v>
      </c>
      <c r="D24" s="129">
        <v>6668.6</v>
      </c>
      <c r="E24" s="129">
        <v>9963.5</v>
      </c>
      <c r="F24" s="129">
        <v>12857.7</v>
      </c>
      <c r="G24" s="129">
        <v>13597.9</v>
      </c>
      <c r="H24" s="129">
        <v>10963</v>
      </c>
      <c r="I24" s="122">
        <v>12154</v>
      </c>
      <c r="J24" s="122">
        <v>19999.5</v>
      </c>
      <c r="K24" s="122">
        <v>25974.7</v>
      </c>
      <c r="L24" s="129">
        <v>27771.4</v>
      </c>
      <c r="M24" s="129">
        <v>32534.6</v>
      </c>
      <c r="N24" s="129">
        <v>19866.3</v>
      </c>
      <c r="O24" s="129">
        <v>16457.3</v>
      </c>
      <c r="P24" s="129">
        <v>18108.599999999999</v>
      </c>
      <c r="Q24" s="129">
        <v>30067.9</v>
      </c>
      <c r="R24" s="129">
        <v>26126.809000000001</v>
      </c>
      <c r="S24" s="129">
        <v>31217.740114319047</v>
      </c>
      <c r="T24" s="129">
        <v>24268.674999695832</v>
      </c>
      <c r="U24" s="129">
        <v>29032.493999999999</v>
      </c>
      <c r="V24" s="129">
        <v>37166.699999999997</v>
      </c>
      <c r="W24" s="129">
        <v>38359.300000000003</v>
      </c>
      <c r="X24" s="129">
        <v>42709.3</v>
      </c>
      <c r="Y24" s="129">
        <v>72234.5</v>
      </c>
      <c r="Z24" s="129">
        <v>79741</v>
      </c>
    </row>
    <row r="25" spans="1:26" x14ac:dyDescent="0.25">
      <c r="A25" s="72" t="s">
        <v>16</v>
      </c>
      <c r="B25" s="129">
        <v>3536.4</v>
      </c>
      <c r="C25" s="129">
        <v>3837</v>
      </c>
      <c r="D25" s="129">
        <v>4147.8</v>
      </c>
      <c r="E25" s="129">
        <v>5626.6</v>
      </c>
      <c r="F25" s="129">
        <v>6516.7</v>
      </c>
      <c r="G25" s="129">
        <v>9851.5</v>
      </c>
      <c r="H25" s="129">
        <v>12945.1</v>
      </c>
      <c r="I25" s="122">
        <v>18243.599999999999</v>
      </c>
      <c r="J25" s="122">
        <v>23377.1</v>
      </c>
      <c r="K25" s="122">
        <v>31454</v>
      </c>
      <c r="L25" s="129">
        <v>25041.599999999999</v>
      </c>
      <c r="M25" s="129">
        <v>19624.900000000001</v>
      </c>
      <c r="N25" s="129">
        <v>22284.9</v>
      </c>
      <c r="O25" s="129">
        <v>24984.5</v>
      </c>
      <c r="P25" s="129">
        <v>26773.599999999999</v>
      </c>
      <c r="Q25" s="129">
        <v>39502.199999999997</v>
      </c>
      <c r="R25" s="129">
        <v>41727.08</v>
      </c>
      <c r="S25" s="129">
        <v>42264.084774065093</v>
      </c>
      <c r="T25" s="129">
        <v>50147.319000000003</v>
      </c>
      <c r="U25" s="129">
        <v>82340.142000000007</v>
      </c>
      <c r="V25" s="129">
        <v>91350.3</v>
      </c>
      <c r="W25" s="129">
        <v>106271.1</v>
      </c>
      <c r="X25" s="129">
        <v>108407.5</v>
      </c>
      <c r="Y25" s="129">
        <v>129350.2</v>
      </c>
      <c r="Z25" s="129">
        <v>95182.8</v>
      </c>
    </row>
    <row r="26" spans="1:26" x14ac:dyDescent="0.25">
      <c r="A26" s="72" t="s">
        <v>17</v>
      </c>
      <c r="B26" s="129">
        <v>3523.2</v>
      </c>
      <c r="C26" s="129">
        <v>4530.8</v>
      </c>
      <c r="D26" s="129">
        <v>6198.2</v>
      </c>
      <c r="E26" s="129">
        <v>7661.8</v>
      </c>
      <c r="F26" s="129">
        <v>10828.3</v>
      </c>
      <c r="G26" s="129">
        <v>20124</v>
      </c>
      <c r="H26" s="129">
        <v>23537.5</v>
      </c>
      <c r="I26" s="122">
        <v>24620.1</v>
      </c>
      <c r="J26" s="122">
        <v>33269.199999999997</v>
      </c>
      <c r="K26" s="122">
        <v>32400.2</v>
      </c>
      <c r="L26" s="129">
        <v>36823.699999999997</v>
      </c>
      <c r="M26" s="129">
        <v>39816.9</v>
      </c>
      <c r="N26" s="129">
        <v>41496.800000000003</v>
      </c>
      <c r="O26" s="129">
        <v>43495.3</v>
      </c>
      <c r="P26" s="129">
        <v>46132.7</v>
      </c>
      <c r="Q26" s="129">
        <v>40965.4</v>
      </c>
      <c r="R26" s="129">
        <v>46224.83</v>
      </c>
      <c r="S26" s="129">
        <v>51456.168476646562</v>
      </c>
      <c r="T26" s="129">
        <v>59309.807999999997</v>
      </c>
      <c r="U26" s="129">
        <v>41706.353000000003</v>
      </c>
      <c r="V26" s="129">
        <v>52632.800000000003</v>
      </c>
      <c r="W26" s="129">
        <v>75075</v>
      </c>
      <c r="X26" s="129">
        <v>81415.3</v>
      </c>
      <c r="Y26" s="129">
        <v>90629.6</v>
      </c>
      <c r="Z26" s="129">
        <v>72623.3</v>
      </c>
    </row>
    <row r="27" spans="1:26" x14ac:dyDescent="0.25">
      <c r="A27" s="72" t="s">
        <v>18</v>
      </c>
      <c r="B27" s="129">
        <v>79814.7</v>
      </c>
      <c r="C27" s="129">
        <v>106552.6</v>
      </c>
      <c r="D27" s="129">
        <v>126584.5</v>
      </c>
      <c r="E27" s="129">
        <v>174140.3</v>
      </c>
      <c r="F27" s="129">
        <v>208219</v>
      </c>
      <c r="G27" s="129">
        <v>252215.5</v>
      </c>
      <c r="H27" s="129">
        <v>364844.79999999999</v>
      </c>
      <c r="I27" s="122">
        <v>468172.7</v>
      </c>
      <c r="J27" s="122">
        <v>597413.4</v>
      </c>
      <c r="K27" s="122">
        <v>522941.7</v>
      </c>
      <c r="L27" s="129">
        <v>553874.9</v>
      </c>
      <c r="M27" s="129">
        <v>549075.80000000005</v>
      </c>
      <c r="N27" s="129">
        <v>609729.30000000005</v>
      </c>
      <c r="O27" s="129">
        <v>674276.8</v>
      </c>
      <c r="P27" s="129">
        <v>734697.6</v>
      </c>
      <c r="Q27" s="129">
        <v>806215.3</v>
      </c>
      <c r="R27" s="129">
        <v>876768.549</v>
      </c>
      <c r="S27" s="129">
        <v>911097.39356341027</v>
      </c>
      <c r="T27" s="129">
        <v>915569.75689999992</v>
      </c>
      <c r="U27" s="129">
        <v>951428.0070000001</v>
      </c>
      <c r="V27" s="129">
        <v>1094815.1000000001</v>
      </c>
      <c r="W27" s="129">
        <v>1311162.6000000001</v>
      </c>
      <c r="X27" s="129">
        <v>1606165.4</v>
      </c>
      <c r="Y27" s="129">
        <v>1879125.4</v>
      </c>
      <c r="Z27" s="129">
        <v>1975923.2</v>
      </c>
    </row>
    <row r="28" spans="1:26" ht="18" x14ac:dyDescent="0.25">
      <c r="A28" s="7" t="s">
        <v>128</v>
      </c>
      <c r="B28" s="123">
        <f>B29+B30+B31+B35+B36+B37+B38+B39+B40+B41</f>
        <v>52281.200000000004</v>
      </c>
      <c r="C28" s="123">
        <f>C29+C30+C31+C35+C36+C37+C38+C39+C40+C41</f>
        <v>69913.3</v>
      </c>
      <c r="D28" s="123">
        <f>D29+D30+D31+D35+D36+D37+D38+D39+D40+D41</f>
        <v>90753.3</v>
      </c>
      <c r="E28" s="123">
        <f>E29+E30+E31+E35+E36+E37+E38+E39+E40+E41</f>
        <v>126037</v>
      </c>
      <c r="F28" s="123">
        <f>F29+F30+F31+F35+F36+F37+F38+F39+F40+F41</f>
        <v>159533.09999999998</v>
      </c>
      <c r="G28" s="123">
        <v>229684.3</v>
      </c>
      <c r="H28" s="123">
        <v>360459.1</v>
      </c>
      <c r="I28" s="124">
        <v>451384.6</v>
      </c>
      <c r="J28" s="124">
        <v>630934</v>
      </c>
      <c r="K28" s="124">
        <v>587744.30000000005</v>
      </c>
      <c r="L28" s="123">
        <v>679920.5</v>
      </c>
      <c r="M28" s="123">
        <v>730884.9</v>
      </c>
      <c r="N28" s="123">
        <v>783443.9</v>
      </c>
      <c r="O28" s="123">
        <v>771037.2</v>
      </c>
      <c r="P28" s="123">
        <v>817509.7</v>
      </c>
      <c r="Q28" s="123">
        <v>1048125.7</v>
      </c>
      <c r="R28" s="123">
        <v>1154849.081</v>
      </c>
      <c r="S28" s="123">
        <v>1067078.7429320235</v>
      </c>
      <c r="T28" s="123">
        <v>1198579.0504115366</v>
      </c>
      <c r="U28" s="123">
        <v>1164599.8430000001</v>
      </c>
      <c r="V28" s="123">
        <v>1122401.8</v>
      </c>
      <c r="W28" s="123">
        <v>1250155.7</v>
      </c>
      <c r="X28" s="123">
        <v>1323868.6000000001</v>
      </c>
      <c r="Y28" s="123">
        <v>1493897.5</v>
      </c>
      <c r="Z28" s="123">
        <v>1682760.6</v>
      </c>
    </row>
    <row r="29" spans="1:26" x14ac:dyDescent="0.25">
      <c r="A29" s="72" t="s">
        <v>19</v>
      </c>
      <c r="B29" s="129">
        <v>2213.5</v>
      </c>
      <c r="C29" s="129">
        <v>4055.2</v>
      </c>
      <c r="D29" s="129">
        <v>3994.4</v>
      </c>
      <c r="E29" s="129">
        <v>3812.4</v>
      </c>
      <c r="F29" s="129">
        <v>3827.4</v>
      </c>
      <c r="G29" s="129">
        <v>4892.8</v>
      </c>
      <c r="H29" s="129">
        <v>6222.2</v>
      </c>
      <c r="I29" s="122">
        <v>7395.5</v>
      </c>
      <c r="J29" s="122">
        <v>9729.1</v>
      </c>
      <c r="K29" s="122">
        <v>8457.5</v>
      </c>
      <c r="L29" s="129">
        <v>12343</v>
      </c>
      <c r="M29" s="129">
        <v>10910.7</v>
      </c>
      <c r="N29" s="129">
        <v>12182.6</v>
      </c>
      <c r="O29" s="129">
        <v>16459.2</v>
      </c>
      <c r="P29" s="129">
        <v>14003.3</v>
      </c>
      <c r="Q29" s="129">
        <v>19128.900000000001</v>
      </c>
      <c r="R29" s="129">
        <v>16957.151000000002</v>
      </c>
      <c r="S29" s="129">
        <v>21720.47470236582</v>
      </c>
      <c r="T29" s="129">
        <v>31662.457000000006</v>
      </c>
      <c r="U29" s="129">
        <v>30041.046999999999</v>
      </c>
      <c r="V29" s="129">
        <v>28171.599999999999</v>
      </c>
      <c r="W29" s="129">
        <v>31332.799999999999</v>
      </c>
      <c r="X29" s="129">
        <v>46255.1</v>
      </c>
      <c r="Y29" s="129">
        <v>58437.4</v>
      </c>
      <c r="Z29" s="129">
        <v>40997.699999999997</v>
      </c>
    </row>
    <row r="30" spans="1:26" x14ac:dyDescent="0.25">
      <c r="A30" s="72" t="s">
        <v>20</v>
      </c>
      <c r="B30" s="129">
        <v>4764</v>
      </c>
      <c r="C30" s="129">
        <v>7851.1</v>
      </c>
      <c r="D30" s="129">
        <v>8651.9</v>
      </c>
      <c r="E30" s="129">
        <v>10805.9</v>
      </c>
      <c r="F30" s="129">
        <v>13395.5</v>
      </c>
      <c r="G30" s="129">
        <v>22773.8</v>
      </c>
      <c r="H30" s="129">
        <v>34669</v>
      </c>
      <c r="I30" s="122">
        <v>34517.5</v>
      </c>
      <c r="J30" s="122">
        <v>41550.9</v>
      </c>
      <c r="K30" s="122">
        <v>45628.6</v>
      </c>
      <c r="L30" s="129">
        <v>56608.9</v>
      </c>
      <c r="M30" s="129">
        <v>67662</v>
      </c>
      <c r="N30" s="129">
        <v>104123</v>
      </c>
      <c r="O30" s="129">
        <v>92221.8</v>
      </c>
      <c r="P30" s="129">
        <v>81184</v>
      </c>
      <c r="Q30" s="129">
        <v>77330.399999999994</v>
      </c>
      <c r="R30" s="129">
        <v>105320.826</v>
      </c>
      <c r="S30" s="129">
        <v>45160.657965782433</v>
      </c>
      <c r="T30" s="129">
        <v>47645.959086909046</v>
      </c>
      <c r="U30" s="129">
        <v>44864.695000000007</v>
      </c>
      <c r="V30" s="129">
        <v>60036.7</v>
      </c>
      <c r="W30" s="129">
        <v>54314.5</v>
      </c>
      <c r="X30" s="129">
        <v>50010.9</v>
      </c>
      <c r="Y30" s="129">
        <v>47221.4</v>
      </c>
      <c r="Z30" s="129">
        <v>57443</v>
      </c>
    </row>
    <row r="31" spans="1:26" x14ac:dyDescent="0.25">
      <c r="A31" s="72" t="s">
        <v>21</v>
      </c>
      <c r="B31" s="129">
        <v>3895.1</v>
      </c>
      <c r="C31" s="129">
        <v>5795.9</v>
      </c>
      <c r="D31" s="129">
        <v>7494.1</v>
      </c>
      <c r="E31" s="129">
        <v>8065.4</v>
      </c>
      <c r="F31" s="129">
        <v>12210.1</v>
      </c>
      <c r="G31" s="129">
        <v>23218.400000000001</v>
      </c>
      <c r="H31" s="129">
        <v>37479.1</v>
      </c>
      <c r="I31" s="122">
        <v>39707.1</v>
      </c>
      <c r="J31" s="122">
        <v>39780.800000000003</v>
      </c>
      <c r="K31" s="122">
        <v>22279.7</v>
      </c>
      <c r="L31" s="129">
        <v>32936.5</v>
      </c>
      <c r="M31" s="129">
        <v>39207.5</v>
      </c>
      <c r="N31" s="129">
        <v>35476.1</v>
      </c>
      <c r="O31" s="129">
        <v>52319.9</v>
      </c>
      <c r="P31" s="129">
        <v>39997.599999999999</v>
      </c>
      <c r="Q31" s="129">
        <v>45903.8</v>
      </c>
      <c r="R31" s="129">
        <v>56707.303999999996</v>
      </c>
      <c r="S31" s="129">
        <v>71549.197707349362</v>
      </c>
      <c r="T31" s="129">
        <v>95862.170128985163</v>
      </c>
      <c r="U31" s="129">
        <v>84314.165999999997</v>
      </c>
      <c r="V31" s="129">
        <v>71182.2</v>
      </c>
      <c r="W31" s="129">
        <v>105934</v>
      </c>
      <c r="X31" s="129">
        <v>88112.1</v>
      </c>
      <c r="Y31" s="129">
        <v>105098.3</v>
      </c>
      <c r="Z31" s="129">
        <v>72654.5</v>
      </c>
    </row>
    <row r="32" spans="1:26" x14ac:dyDescent="0.25">
      <c r="A32" s="171" t="s">
        <v>63</v>
      </c>
      <c r="B32" s="12"/>
      <c r="C32" s="129"/>
      <c r="D32" s="129"/>
      <c r="E32" s="129"/>
      <c r="F32" s="129"/>
      <c r="G32" s="129"/>
      <c r="H32" s="125"/>
      <c r="I32" s="122"/>
      <c r="J32" s="122"/>
      <c r="K32" s="122"/>
      <c r="L32" s="129"/>
      <c r="M32" s="129"/>
      <c r="N32" s="129"/>
      <c r="O32" s="129"/>
      <c r="P32" s="129"/>
      <c r="Q32" s="129"/>
      <c r="R32" s="129"/>
      <c r="S32" s="129"/>
      <c r="T32" s="129"/>
      <c r="U32" s="12"/>
      <c r="V32" s="12"/>
      <c r="W32" s="129"/>
      <c r="X32" s="129"/>
      <c r="Y32" s="129"/>
    </row>
    <row r="33" spans="1:26" ht="19.5" x14ac:dyDescent="0.25">
      <c r="A33" s="172" t="s">
        <v>23</v>
      </c>
      <c r="B33" s="129">
        <v>588.9</v>
      </c>
      <c r="C33" s="129">
        <v>2368.1</v>
      </c>
      <c r="D33" s="129">
        <v>4816.8</v>
      </c>
      <c r="E33" s="129">
        <v>3821.4</v>
      </c>
      <c r="F33" s="129">
        <v>6224.9</v>
      </c>
      <c r="G33" s="129">
        <v>8893.5</v>
      </c>
      <c r="H33" s="129">
        <v>12203.5</v>
      </c>
      <c r="I33" s="122">
        <v>25013.1</v>
      </c>
      <c r="J33" s="122">
        <v>12831.7</v>
      </c>
      <c r="K33" s="122">
        <v>6798.1</v>
      </c>
      <c r="L33" s="129">
        <v>11264.8</v>
      </c>
      <c r="M33" s="129">
        <v>11883.5</v>
      </c>
      <c r="N33" s="129">
        <v>6285.3</v>
      </c>
      <c r="O33" s="129">
        <v>8392.9</v>
      </c>
      <c r="P33" s="129">
        <v>8574.2999999999993</v>
      </c>
      <c r="Q33" s="129">
        <v>9962.1</v>
      </c>
      <c r="R33" s="129">
        <v>8720.1890000000003</v>
      </c>
      <c r="S33" s="129">
        <v>12207.71997927942</v>
      </c>
      <c r="T33" s="129">
        <v>40650.26265723609</v>
      </c>
      <c r="U33" s="129">
        <v>25996.494000000002</v>
      </c>
      <c r="V33" s="129">
        <v>20479.5</v>
      </c>
      <c r="W33" s="129">
        <v>20724.599999999999</v>
      </c>
      <c r="X33" s="129">
        <v>24326.2</v>
      </c>
      <c r="Y33" s="129">
        <v>18896</v>
      </c>
      <c r="Z33" s="129">
        <v>16878.099999999999</v>
      </c>
    </row>
    <row r="34" spans="1:26" ht="19.5" x14ac:dyDescent="0.25">
      <c r="A34" s="172" t="s">
        <v>110</v>
      </c>
      <c r="B34" s="129">
        <f>B31-B33</f>
        <v>3306.2</v>
      </c>
      <c r="C34" s="129">
        <f>C31-C33</f>
        <v>3427.7999999999997</v>
      </c>
      <c r="D34" s="129">
        <f>D31-D33</f>
        <v>2677.3</v>
      </c>
      <c r="E34" s="129">
        <f>E31-E33</f>
        <v>4244</v>
      </c>
      <c r="F34" s="129">
        <f>F31-F33</f>
        <v>5985.2000000000007</v>
      </c>
      <c r="G34" s="129">
        <v>14324.9</v>
      </c>
      <c r="H34" s="129">
        <f>H31-H33</f>
        <v>25275.599999999999</v>
      </c>
      <c r="I34" s="129">
        <f>I31-I33</f>
        <v>14694</v>
      </c>
      <c r="J34" s="129">
        <f>J31-J33</f>
        <v>26949.100000000002</v>
      </c>
      <c r="K34" s="129">
        <f>K31-K33</f>
        <v>15481.6</v>
      </c>
      <c r="L34" s="129">
        <v>21671.7</v>
      </c>
      <c r="M34" s="129">
        <v>27324</v>
      </c>
      <c r="N34" s="129">
        <v>29190.799999999999</v>
      </c>
      <c r="O34" s="129">
        <v>43927</v>
      </c>
      <c r="P34" s="129">
        <v>31423.3</v>
      </c>
      <c r="Q34" s="129">
        <v>35941.699999999997</v>
      </c>
      <c r="R34" s="129">
        <v>47987.114999999998</v>
      </c>
      <c r="S34" s="129">
        <v>59341.477728069949</v>
      </c>
      <c r="T34" s="129">
        <v>55211.907471749073</v>
      </c>
      <c r="U34" s="129">
        <v>58317.671999999999</v>
      </c>
      <c r="V34" s="129">
        <v>50702.7</v>
      </c>
      <c r="W34" s="129">
        <v>85209.4</v>
      </c>
      <c r="X34" s="129">
        <v>63785.8</v>
      </c>
      <c r="Y34" s="129">
        <v>86202.4</v>
      </c>
      <c r="Z34" s="129">
        <v>55776.4</v>
      </c>
    </row>
    <row r="35" spans="1:26" x14ac:dyDescent="0.25">
      <c r="A35" s="72" t="s">
        <v>24</v>
      </c>
      <c r="B35" s="129">
        <v>3965.1</v>
      </c>
      <c r="C35" s="129">
        <v>4928.6000000000004</v>
      </c>
      <c r="D35" s="129">
        <v>5697.5</v>
      </c>
      <c r="E35" s="129">
        <v>7642.5</v>
      </c>
      <c r="F35" s="129">
        <v>15893.5</v>
      </c>
      <c r="G35" s="129">
        <v>20027.2</v>
      </c>
      <c r="H35" s="129">
        <v>40069.4</v>
      </c>
      <c r="I35" s="122">
        <v>38736.300000000003</v>
      </c>
      <c r="J35" s="122">
        <v>38044</v>
      </c>
      <c r="K35" s="122">
        <v>27674.1</v>
      </c>
      <c r="L35" s="129">
        <v>36395.300000000003</v>
      </c>
      <c r="M35" s="129">
        <v>59683.7</v>
      </c>
      <c r="N35" s="129">
        <v>60476</v>
      </c>
      <c r="O35" s="129">
        <v>48862.7</v>
      </c>
      <c r="P35" s="129">
        <v>41429.5</v>
      </c>
      <c r="Q35" s="129">
        <v>55677.4</v>
      </c>
      <c r="R35" s="129">
        <v>65769.22</v>
      </c>
      <c r="S35" s="129">
        <v>91882.667709198868</v>
      </c>
      <c r="T35" s="129">
        <v>103048.714002715</v>
      </c>
      <c r="U35" s="129">
        <v>108657.06299999999</v>
      </c>
      <c r="V35" s="129">
        <v>115156.5</v>
      </c>
      <c r="W35" s="129">
        <v>124610.1</v>
      </c>
      <c r="X35" s="129">
        <v>107913.60000000001</v>
      </c>
      <c r="Y35" s="129">
        <v>118600.1</v>
      </c>
      <c r="Z35" s="129">
        <v>138321.9</v>
      </c>
    </row>
    <row r="36" spans="1:26" x14ac:dyDescent="0.25">
      <c r="A36" s="72" t="s">
        <v>25</v>
      </c>
      <c r="B36" s="129">
        <v>1694.2</v>
      </c>
      <c r="C36" s="129">
        <v>2158.4</v>
      </c>
      <c r="D36" s="129">
        <v>4960</v>
      </c>
      <c r="E36" s="129">
        <v>7712.3</v>
      </c>
      <c r="F36" s="129">
        <v>6749.7</v>
      </c>
      <c r="G36" s="129">
        <v>9582.2999999999993</v>
      </c>
      <c r="H36" s="129">
        <v>19011.3</v>
      </c>
      <c r="I36" s="122">
        <v>20650.5</v>
      </c>
      <c r="J36" s="122">
        <v>23583</v>
      </c>
      <c r="K36" s="122">
        <v>24900</v>
      </c>
      <c r="L36" s="129">
        <v>26470.9</v>
      </c>
      <c r="M36" s="129">
        <v>33681.599999999999</v>
      </c>
      <c r="N36" s="129">
        <v>30994.3</v>
      </c>
      <c r="O36" s="129">
        <v>34604.300000000003</v>
      </c>
      <c r="P36" s="129">
        <v>42045.3</v>
      </c>
      <c r="Q36" s="129">
        <v>59929.7</v>
      </c>
      <c r="R36" s="129">
        <v>72170.635999999999</v>
      </c>
      <c r="S36" s="129">
        <v>98824.835614106327</v>
      </c>
      <c r="T36" s="129">
        <v>105781.64499999999</v>
      </c>
      <c r="U36" s="129">
        <v>71888.459000000003</v>
      </c>
      <c r="V36" s="129">
        <v>82119.600000000006</v>
      </c>
      <c r="W36" s="129">
        <v>73798.8</v>
      </c>
      <c r="X36" s="129">
        <v>88119.9</v>
      </c>
      <c r="Y36" s="129">
        <v>124198.9</v>
      </c>
      <c r="Z36" s="129">
        <v>141697.79999999999</v>
      </c>
    </row>
    <row r="37" spans="1:26" x14ac:dyDescent="0.25">
      <c r="A37" s="72" t="s">
        <v>26</v>
      </c>
      <c r="B37" s="129">
        <v>7256.8</v>
      </c>
      <c r="C37" s="129">
        <v>8769</v>
      </c>
      <c r="D37" s="129">
        <v>8597.6</v>
      </c>
      <c r="E37" s="129">
        <v>17839.3</v>
      </c>
      <c r="F37" s="129">
        <v>22952.7</v>
      </c>
      <c r="G37" s="129">
        <v>27258.2</v>
      </c>
      <c r="H37" s="129">
        <v>53727</v>
      </c>
      <c r="I37" s="122">
        <v>58188.1</v>
      </c>
      <c r="J37" s="122">
        <v>77937.8</v>
      </c>
      <c r="K37" s="122">
        <v>80035.8</v>
      </c>
      <c r="L37" s="129">
        <v>89104.6</v>
      </c>
      <c r="M37" s="129">
        <v>102960.4</v>
      </c>
      <c r="N37" s="129">
        <v>114638.5</v>
      </c>
      <c r="O37" s="129">
        <v>90300.2</v>
      </c>
      <c r="P37" s="129">
        <v>101123.1</v>
      </c>
      <c r="Q37" s="129">
        <v>104491.5</v>
      </c>
      <c r="R37" s="129">
        <v>98149.98</v>
      </c>
      <c r="S37" s="129">
        <v>112532.39350120303</v>
      </c>
      <c r="T37" s="129">
        <v>159227.23701813683</v>
      </c>
      <c r="U37" s="129">
        <v>250991.978</v>
      </c>
      <c r="V37" s="129">
        <v>206423.6</v>
      </c>
      <c r="W37" s="129">
        <v>228443.1</v>
      </c>
      <c r="X37" s="129">
        <v>230365.5</v>
      </c>
      <c r="Y37" s="129">
        <v>270258.5</v>
      </c>
      <c r="Z37" s="129">
        <v>404458.8</v>
      </c>
    </row>
    <row r="38" spans="1:26" x14ac:dyDescent="0.25">
      <c r="A38" s="72" t="s">
        <v>27</v>
      </c>
      <c r="B38" s="129">
        <v>2860.9</v>
      </c>
      <c r="C38" s="129">
        <v>4279.8999999999996</v>
      </c>
      <c r="D38" s="129">
        <v>4665.1000000000004</v>
      </c>
      <c r="E38" s="129">
        <v>5176.3999999999996</v>
      </c>
      <c r="F38" s="129">
        <v>6872.5</v>
      </c>
      <c r="G38" s="129">
        <v>9483.9</v>
      </c>
      <c r="H38" s="129">
        <v>10465.299999999999</v>
      </c>
      <c r="I38" s="122">
        <v>12631.7</v>
      </c>
      <c r="J38" s="122">
        <v>16696</v>
      </c>
      <c r="K38" s="122">
        <v>16233.6</v>
      </c>
      <c r="L38" s="129">
        <v>18356.900000000001</v>
      </c>
      <c r="M38" s="129">
        <v>21409.200000000001</v>
      </c>
      <c r="N38" s="129">
        <v>22255.200000000001</v>
      </c>
      <c r="O38" s="129">
        <v>22762.6</v>
      </c>
      <c r="P38" s="129">
        <v>28553.5</v>
      </c>
      <c r="Q38" s="129">
        <v>34009</v>
      </c>
      <c r="R38" s="129">
        <v>34379.239000000001</v>
      </c>
      <c r="S38" s="129">
        <v>45332.975394838351</v>
      </c>
      <c r="T38" s="129">
        <v>37883.210107726911</v>
      </c>
      <c r="U38" s="129">
        <v>60734.411999999997</v>
      </c>
      <c r="V38" s="129">
        <v>77052.600000000006</v>
      </c>
      <c r="W38" s="129">
        <v>116664.2</v>
      </c>
      <c r="X38" s="129">
        <v>139008.5</v>
      </c>
      <c r="Y38" s="129">
        <v>118526.8</v>
      </c>
      <c r="Z38" s="129">
        <v>96957.8</v>
      </c>
    </row>
    <row r="39" spans="1:26" x14ac:dyDescent="0.25">
      <c r="A39" s="72" t="s">
        <v>28</v>
      </c>
      <c r="B39" s="129">
        <v>2064.6999999999998</v>
      </c>
      <c r="C39" s="129">
        <v>3140.4</v>
      </c>
      <c r="D39" s="129">
        <v>2013</v>
      </c>
      <c r="E39" s="129">
        <v>4803.8</v>
      </c>
      <c r="F39" s="129">
        <v>5034.3</v>
      </c>
      <c r="G39" s="129">
        <v>6515.3</v>
      </c>
      <c r="H39" s="129">
        <v>7022.1</v>
      </c>
      <c r="I39" s="122">
        <v>9373.1</v>
      </c>
      <c r="J39" s="122">
        <v>12595.9</v>
      </c>
      <c r="K39" s="122">
        <v>15297</v>
      </c>
      <c r="L39" s="129">
        <v>17501.3</v>
      </c>
      <c r="M39" s="129">
        <v>17941.7</v>
      </c>
      <c r="N39" s="129">
        <v>21458.2</v>
      </c>
      <c r="O39" s="129">
        <v>26101.8</v>
      </c>
      <c r="P39" s="129">
        <v>34782.9</v>
      </c>
      <c r="Q39" s="129">
        <v>41877.699999999997</v>
      </c>
      <c r="R39" s="129">
        <v>58217.463000000003</v>
      </c>
      <c r="S39" s="129">
        <v>37323.982085756528</v>
      </c>
      <c r="T39" s="129">
        <v>25952.075999999997</v>
      </c>
      <c r="U39" s="129">
        <v>15048.915000000001</v>
      </c>
      <c r="V39" s="129">
        <v>18572.2</v>
      </c>
      <c r="W39" s="129">
        <v>22239.7</v>
      </c>
      <c r="X39" s="129">
        <v>33840.400000000001</v>
      </c>
      <c r="Y39" s="129">
        <v>40369.199999999997</v>
      </c>
      <c r="Z39" s="129">
        <v>41739.800000000003</v>
      </c>
    </row>
    <row r="40" spans="1:26" x14ac:dyDescent="0.25">
      <c r="A40" s="72" t="s">
        <v>29</v>
      </c>
      <c r="B40" s="129">
        <v>1583.2</v>
      </c>
      <c r="C40" s="129">
        <v>1719.4</v>
      </c>
      <c r="D40" s="129">
        <v>1910.3</v>
      </c>
      <c r="E40" s="129">
        <v>2782</v>
      </c>
      <c r="F40" s="129">
        <v>3265</v>
      </c>
      <c r="G40" s="129">
        <v>3915.2</v>
      </c>
      <c r="H40" s="129">
        <v>4033.5</v>
      </c>
      <c r="I40" s="122">
        <v>6872.1</v>
      </c>
      <c r="J40" s="122">
        <v>9232.7999999999993</v>
      </c>
      <c r="K40" s="122">
        <v>6621.7</v>
      </c>
      <c r="L40" s="129">
        <v>9192.7000000000007</v>
      </c>
      <c r="M40" s="129">
        <v>9912.6</v>
      </c>
      <c r="N40" s="129">
        <v>9968</v>
      </c>
      <c r="O40" s="129">
        <v>11601.3</v>
      </c>
      <c r="P40" s="129">
        <v>12705.5</v>
      </c>
      <c r="Q40" s="129">
        <v>17435.7</v>
      </c>
      <c r="R40" s="129">
        <v>21101.263999999999</v>
      </c>
      <c r="S40" s="129">
        <v>25274.36685554259</v>
      </c>
      <c r="T40" s="129">
        <v>26727.945</v>
      </c>
      <c r="U40" s="129">
        <v>28787.592000000001</v>
      </c>
      <c r="V40" s="129">
        <v>24760.3</v>
      </c>
      <c r="W40" s="129">
        <v>24368.7</v>
      </c>
      <c r="X40" s="129">
        <v>31712.3</v>
      </c>
      <c r="Y40" s="129">
        <v>32809.199999999997</v>
      </c>
      <c r="Z40" s="129">
        <v>32908.300000000003</v>
      </c>
    </row>
    <row r="41" spans="1:26" x14ac:dyDescent="0.25">
      <c r="A41" s="72" t="s">
        <v>30</v>
      </c>
      <c r="B41" s="129">
        <v>21983.7</v>
      </c>
      <c r="C41" s="129">
        <v>27215.4</v>
      </c>
      <c r="D41" s="129">
        <v>42769.4</v>
      </c>
      <c r="E41" s="129">
        <v>57397</v>
      </c>
      <c r="F41" s="129">
        <v>69332.399999999994</v>
      </c>
      <c r="G41" s="129">
        <v>102017.1</v>
      </c>
      <c r="H41" s="129">
        <v>147760.20000000001</v>
      </c>
      <c r="I41" s="122">
        <v>223312.8</v>
      </c>
      <c r="J41" s="122">
        <v>361783.8</v>
      </c>
      <c r="K41" s="122">
        <v>340616.2</v>
      </c>
      <c r="L41" s="129">
        <v>381010.3</v>
      </c>
      <c r="M41" s="129">
        <v>367515.4</v>
      </c>
      <c r="N41" s="129">
        <v>371872</v>
      </c>
      <c r="O41" s="129">
        <v>375803.6</v>
      </c>
      <c r="P41" s="129">
        <v>421685.1</v>
      </c>
      <c r="Q41" s="129">
        <v>592341.5</v>
      </c>
      <c r="R41" s="129">
        <v>626075.99800000002</v>
      </c>
      <c r="S41" s="129">
        <v>517477.19139588019</v>
      </c>
      <c r="T41" s="129">
        <v>564787.63706706371</v>
      </c>
      <c r="U41" s="129">
        <v>469271.516</v>
      </c>
      <c r="V41" s="129">
        <v>438926.5</v>
      </c>
      <c r="W41" s="129">
        <v>468449.8</v>
      </c>
      <c r="X41" s="129">
        <v>508530.3</v>
      </c>
      <c r="Y41" s="129">
        <v>578377.80000000005</v>
      </c>
      <c r="Z41" s="129">
        <v>655581.1</v>
      </c>
    </row>
    <row r="42" spans="1:26" ht="18" x14ac:dyDescent="0.25">
      <c r="A42" s="7" t="s">
        <v>220</v>
      </c>
      <c r="B42" s="123">
        <f>B43+B44+B46+B47+B48+B49</f>
        <v>43542.600000000006</v>
      </c>
      <c r="C42" s="123">
        <f>C43+C44+C46+C47+C48+C49</f>
        <v>60275.1</v>
      </c>
      <c r="D42" s="123">
        <f>D43+D44+D46+D47+D48+D49</f>
        <v>74145</v>
      </c>
      <c r="E42" s="123">
        <f>E43+E44+E46+E47+E48+E49</f>
        <v>80427.5</v>
      </c>
      <c r="F42" s="123">
        <f>F43+F44+F46+F47+F48+F49</f>
        <v>94313.400000000009</v>
      </c>
      <c r="G42" s="123">
        <v>123158</v>
      </c>
      <c r="H42" s="124">
        <v>172844.6</v>
      </c>
      <c r="I42" s="124">
        <v>246139.1</v>
      </c>
      <c r="J42" s="124">
        <v>357476.7</v>
      </c>
      <c r="K42" s="124">
        <v>347263.5</v>
      </c>
      <c r="L42" s="123">
        <v>449688.2</v>
      </c>
      <c r="M42" s="123">
        <v>561058.9</v>
      </c>
      <c r="N42" s="123">
        <v>628863</v>
      </c>
      <c r="O42" s="123">
        <v>731522.8</v>
      </c>
      <c r="P42" s="123">
        <v>587574.9</v>
      </c>
      <c r="Q42" s="123">
        <v>598496.4</v>
      </c>
      <c r="R42" s="123">
        <v>563542.83799999999</v>
      </c>
      <c r="S42" s="123">
        <v>688675.6</v>
      </c>
      <c r="T42" s="123">
        <v>757941.4801100177</v>
      </c>
      <c r="U42" s="123">
        <v>734512.75899999985</v>
      </c>
      <c r="V42" s="123">
        <v>762653.5</v>
      </c>
      <c r="W42" s="123">
        <v>850913.8</v>
      </c>
      <c r="X42" s="123">
        <v>1004332</v>
      </c>
      <c r="Y42" s="123">
        <v>1176739.1000000001</v>
      </c>
      <c r="Z42" s="123">
        <v>1351268.3</v>
      </c>
    </row>
    <row r="43" spans="1:26" x14ac:dyDescent="0.25">
      <c r="A43" s="72" t="s">
        <v>31</v>
      </c>
      <c r="B43" s="129">
        <v>667.2</v>
      </c>
      <c r="C43" s="129">
        <v>862.7</v>
      </c>
      <c r="D43" s="129">
        <v>886.9</v>
      </c>
      <c r="E43" s="129">
        <v>1176.8</v>
      </c>
      <c r="F43" s="129">
        <v>1095.8</v>
      </c>
      <c r="G43" s="129">
        <v>1584.4</v>
      </c>
      <c r="H43" s="122">
        <v>1842.1</v>
      </c>
      <c r="I43" s="122">
        <v>6901.3</v>
      </c>
      <c r="J43" s="122">
        <v>6539</v>
      </c>
      <c r="K43" s="122">
        <v>7801</v>
      </c>
      <c r="L43" s="129">
        <v>7762.4</v>
      </c>
      <c r="M43" s="129">
        <v>9248.4</v>
      </c>
      <c r="N43" s="129">
        <v>9864.2000000000007</v>
      </c>
      <c r="O43" s="129">
        <v>9651.6</v>
      </c>
      <c r="P43" s="129">
        <v>10280.1</v>
      </c>
      <c r="Q43" s="129">
        <v>11545.8</v>
      </c>
      <c r="R43" s="129">
        <v>12867.982</v>
      </c>
      <c r="S43" s="129">
        <v>12704.381958099517</v>
      </c>
      <c r="T43" s="129">
        <v>19453.974002305797</v>
      </c>
      <c r="U43" s="129">
        <v>25473.070000000003</v>
      </c>
      <c r="V43" s="129">
        <v>22669</v>
      </c>
      <c r="W43" s="129">
        <v>22338.5</v>
      </c>
      <c r="X43" s="129">
        <v>30605.599999999999</v>
      </c>
      <c r="Y43" s="129">
        <v>34188.699999999997</v>
      </c>
      <c r="Z43" s="129">
        <v>27888.7</v>
      </c>
    </row>
    <row r="44" spans="1:26" x14ac:dyDescent="0.25">
      <c r="A44" s="72" t="s">
        <v>32</v>
      </c>
      <c r="B44" s="129">
        <v>618.5</v>
      </c>
      <c r="C44" s="129">
        <v>1566</v>
      </c>
      <c r="D44" s="129">
        <v>2671.6</v>
      </c>
      <c r="E44" s="129">
        <v>1324.5</v>
      </c>
      <c r="F44" s="129">
        <v>1527.5</v>
      </c>
      <c r="G44" s="129">
        <v>1912.1</v>
      </c>
      <c r="H44" s="122">
        <v>2211.3000000000002</v>
      </c>
      <c r="I44" s="122">
        <v>1955</v>
      </c>
      <c r="J44" s="122">
        <v>2362.4</v>
      </c>
      <c r="K44" s="122">
        <v>2862</v>
      </c>
      <c r="L44" s="129">
        <v>2937.8</v>
      </c>
      <c r="M44" s="129">
        <v>2891.6</v>
      </c>
      <c r="N44" s="129">
        <v>3604.1</v>
      </c>
      <c r="O44" s="129">
        <v>3862.8</v>
      </c>
      <c r="P44" s="129">
        <v>8124</v>
      </c>
      <c r="Q44" s="129">
        <v>3525.6</v>
      </c>
      <c r="R44" s="129">
        <v>1320.8209999999999</v>
      </c>
      <c r="S44" s="129">
        <v>2945.5378082622406</v>
      </c>
      <c r="T44" s="129">
        <v>6495.0920332454198</v>
      </c>
      <c r="U44" s="129">
        <v>7418.1989999999996</v>
      </c>
      <c r="V44" s="129">
        <v>8748.2999999999993</v>
      </c>
      <c r="W44" s="129">
        <v>4713.3</v>
      </c>
      <c r="X44" s="129">
        <v>7928.8</v>
      </c>
      <c r="Y44" s="129">
        <v>8646.1</v>
      </c>
      <c r="Z44" s="129">
        <v>10868.1</v>
      </c>
    </row>
    <row r="45" spans="1:26" x14ac:dyDescent="0.25">
      <c r="A45" s="72" t="s">
        <v>150</v>
      </c>
      <c r="B45" s="129"/>
      <c r="C45" s="129"/>
      <c r="D45" s="129"/>
      <c r="E45" s="129"/>
      <c r="F45" s="129"/>
      <c r="G45" s="129"/>
      <c r="H45" s="125"/>
      <c r="I45" s="125"/>
      <c r="J45" s="125"/>
      <c r="K45" s="125"/>
      <c r="L45" s="129"/>
      <c r="M45" s="129"/>
      <c r="N45" s="129"/>
      <c r="O45" s="129"/>
      <c r="P45" s="129">
        <v>3208.7</v>
      </c>
      <c r="Q45" s="129">
        <v>3351.2</v>
      </c>
      <c r="R45" s="129">
        <v>16019.58</v>
      </c>
      <c r="S45" s="129">
        <v>51085.767478138077</v>
      </c>
      <c r="T45" s="129">
        <v>151953.82734600001</v>
      </c>
      <c r="U45" s="129">
        <v>138846.633</v>
      </c>
      <c r="V45" s="129">
        <v>142865.9</v>
      </c>
      <c r="W45" s="129">
        <v>102472.7</v>
      </c>
      <c r="X45" s="129">
        <v>138706.79999999999</v>
      </c>
      <c r="Y45" s="129">
        <v>157448</v>
      </c>
      <c r="Z45" s="129">
        <v>125676.5</v>
      </c>
    </row>
    <row r="46" spans="1:26" x14ac:dyDescent="0.25">
      <c r="A46" s="72" t="s">
        <v>34</v>
      </c>
      <c r="B46" s="129">
        <v>22114.2</v>
      </c>
      <c r="C46" s="129">
        <v>30738.7</v>
      </c>
      <c r="D46" s="129">
        <v>38269.699999999997</v>
      </c>
      <c r="E46" s="129">
        <v>40132.5</v>
      </c>
      <c r="F46" s="129">
        <v>49290.8</v>
      </c>
      <c r="G46" s="129">
        <v>57818.6</v>
      </c>
      <c r="H46" s="122">
        <v>84984</v>
      </c>
      <c r="I46" s="122">
        <v>125265.9</v>
      </c>
      <c r="J46" s="122">
        <v>182312.9</v>
      </c>
      <c r="K46" s="122">
        <v>204427.5</v>
      </c>
      <c r="L46" s="129">
        <v>299575.2</v>
      </c>
      <c r="M46" s="129">
        <v>399396.9</v>
      </c>
      <c r="N46" s="129">
        <v>442396.7</v>
      </c>
      <c r="O46" s="129">
        <v>480663.6</v>
      </c>
      <c r="P46" s="129">
        <v>316186.5</v>
      </c>
      <c r="Q46" s="129">
        <v>275549.8</v>
      </c>
      <c r="R46" s="129">
        <v>252093.37</v>
      </c>
      <c r="S46" s="129">
        <v>308669.28048563434</v>
      </c>
      <c r="T46" s="129">
        <v>311056.05750398472</v>
      </c>
      <c r="U46" s="129">
        <v>280753.71799999994</v>
      </c>
      <c r="V46" s="129">
        <v>293715.7</v>
      </c>
      <c r="W46" s="129">
        <v>325673.7</v>
      </c>
      <c r="X46" s="129">
        <v>377375.1</v>
      </c>
      <c r="Y46" s="129">
        <v>431504.8</v>
      </c>
      <c r="Z46" s="129">
        <v>554811.4</v>
      </c>
    </row>
    <row r="47" spans="1:26" x14ac:dyDescent="0.25">
      <c r="A47" s="72" t="s">
        <v>35</v>
      </c>
      <c r="B47" s="129">
        <v>3925.9</v>
      </c>
      <c r="C47" s="129">
        <v>5578.7</v>
      </c>
      <c r="D47" s="129">
        <v>5684.7</v>
      </c>
      <c r="E47" s="129">
        <v>7300.2</v>
      </c>
      <c r="F47" s="129">
        <v>7077.8</v>
      </c>
      <c r="G47" s="129">
        <v>8689.2999999999993</v>
      </c>
      <c r="H47" s="122">
        <v>11010.3</v>
      </c>
      <c r="I47" s="122">
        <v>18131.8</v>
      </c>
      <c r="J47" s="122">
        <v>28770.6</v>
      </c>
      <c r="K47" s="122">
        <v>20537.099999999999</v>
      </c>
      <c r="L47" s="129">
        <v>17436.400000000001</v>
      </c>
      <c r="M47" s="129">
        <v>18221.099999999999</v>
      </c>
      <c r="N47" s="129">
        <v>21263.1</v>
      </c>
      <c r="O47" s="129">
        <v>52284.9</v>
      </c>
      <c r="P47" s="129">
        <v>42049.3</v>
      </c>
      <c r="Q47" s="129">
        <v>36309.1</v>
      </c>
      <c r="R47" s="129">
        <v>26473.621999999999</v>
      </c>
      <c r="S47" s="129">
        <v>39579.199999999997</v>
      </c>
      <c r="T47" s="129">
        <v>40964.019522893177</v>
      </c>
      <c r="U47" s="129">
        <v>40399.483</v>
      </c>
      <c r="V47" s="129">
        <v>41350</v>
      </c>
      <c r="W47" s="129">
        <v>60128.9</v>
      </c>
      <c r="X47" s="129">
        <v>41305.5</v>
      </c>
      <c r="Y47" s="129">
        <v>37815.9</v>
      </c>
      <c r="Z47" s="129">
        <v>40839.4</v>
      </c>
    </row>
    <row r="48" spans="1:26" x14ac:dyDescent="0.25">
      <c r="A48" s="72" t="s">
        <v>36</v>
      </c>
      <c r="B48" s="129">
        <v>7142.3</v>
      </c>
      <c r="C48" s="129">
        <v>8906.4</v>
      </c>
      <c r="D48" s="129">
        <v>13012.3</v>
      </c>
      <c r="E48" s="129">
        <v>13850.3</v>
      </c>
      <c r="F48" s="129">
        <v>15490.5</v>
      </c>
      <c r="G48" s="129">
        <v>20690</v>
      </c>
      <c r="H48" s="122">
        <v>25133.9</v>
      </c>
      <c r="I48" s="122">
        <v>33027.599999999999</v>
      </c>
      <c r="J48" s="122">
        <v>52131.7</v>
      </c>
      <c r="K48" s="122">
        <v>41317.1</v>
      </c>
      <c r="L48" s="129">
        <v>45481.9</v>
      </c>
      <c r="M48" s="129">
        <v>47914.8</v>
      </c>
      <c r="N48" s="129">
        <v>54785.8</v>
      </c>
      <c r="O48" s="129">
        <v>58597.5</v>
      </c>
      <c r="P48" s="129">
        <v>62336.1</v>
      </c>
      <c r="Q48" s="129">
        <v>86190.1</v>
      </c>
      <c r="R48" s="129">
        <v>77005.744000000006</v>
      </c>
      <c r="S48" s="129">
        <v>91870.857070883125</v>
      </c>
      <c r="T48" s="129">
        <v>77636.679985493058</v>
      </c>
      <c r="U48" s="129">
        <v>79020.585000000006</v>
      </c>
      <c r="V48" s="129">
        <v>80261.3</v>
      </c>
      <c r="W48" s="129">
        <v>85655.3</v>
      </c>
      <c r="X48" s="129">
        <v>106328.5</v>
      </c>
      <c r="Y48" s="129">
        <v>131042.5</v>
      </c>
      <c r="Z48" s="129">
        <v>144870</v>
      </c>
    </row>
    <row r="49" spans="1:26" x14ac:dyDescent="0.25">
      <c r="A49" s="72" t="s">
        <v>37</v>
      </c>
      <c r="B49" s="129">
        <v>9074.5</v>
      </c>
      <c r="C49" s="129">
        <v>12622.6</v>
      </c>
      <c r="D49" s="129">
        <v>13619.8</v>
      </c>
      <c r="E49" s="129">
        <v>16643.2</v>
      </c>
      <c r="F49" s="129">
        <v>19831</v>
      </c>
      <c r="G49" s="129">
        <v>32463.599999999999</v>
      </c>
      <c r="H49" s="122">
        <v>47663</v>
      </c>
      <c r="I49" s="122">
        <v>60857.5</v>
      </c>
      <c r="J49" s="122">
        <v>85360</v>
      </c>
      <c r="K49" s="122">
        <v>70318.8</v>
      </c>
      <c r="L49" s="129">
        <v>76494.600000000006</v>
      </c>
      <c r="M49" s="129">
        <v>83386</v>
      </c>
      <c r="N49" s="129">
        <v>96949</v>
      </c>
      <c r="O49" s="129">
        <v>126462.5</v>
      </c>
      <c r="P49" s="129">
        <v>143234.29999999999</v>
      </c>
      <c r="Q49" s="129">
        <v>172545.6</v>
      </c>
      <c r="R49" s="129">
        <v>159300.60800000001</v>
      </c>
      <c r="S49" s="129">
        <v>171252.59215133879</v>
      </c>
      <c r="T49" s="129">
        <v>133262.32877209532</v>
      </c>
      <c r="U49" s="129">
        <v>143940.48000000001</v>
      </c>
      <c r="V49" s="129">
        <v>157059.79999999999</v>
      </c>
      <c r="W49" s="129">
        <v>222863.7</v>
      </c>
      <c r="X49" s="129">
        <v>252545</v>
      </c>
      <c r="Y49" s="129">
        <v>333913.5</v>
      </c>
      <c r="Z49" s="129">
        <v>364433.9</v>
      </c>
    </row>
    <row r="50" spans="1:26" x14ac:dyDescent="0.25">
      <c r="A50" s="72" t="s">
        <v>38</v>
      </c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>
        <v>2155.9</v>
      </c>
      <c r="Q50" s="129">
        <v>9479.2999999999993</v>
      </c>
      <c r="R50" s="129">
        <v>18461.111000000001</v>
      </c>
      <c r="S50" s="129">
        <v>10568.03181041272</v>
      </c>
      <c r="T50" s="129">
        <v>17119.500944000003</v>
      </c>
      <c r="U50" s="129">
        <v>18660.591</v>
      </c>
      <c r="V50" s="129">
        <v>15983.5</v>
      </c>
      <c r="W50" s="129">
        <v>27067.8</v>
      </c>
      <c r="X50" s="129">
        <v>49536.7</v>
      </c>
      <c r="Y50" s="129">
        <v>42179.6</v>
      </c>
      <c r="Z50" s="129">
        <v>81880.399999999994</v>
      </c>
    </row>
    <row r="51" spans="1:26" ht="18" x14ac:dyDescent="0.25">
      <c r="A51" s="7" t="s">
        <v>140</v>
      </c>
      <c r="B51" s="123">
        <f>B52+B53+B54+B55+B56+B58</f>
        <v>13849.6</v>
      </c>
      <c r="C51" s="123">
        <f>C52+C53+C54+C55+C56+C58</f>
        <v>17892.800000000003</v>
      </c>
      <c r="D51" s="123">
        <f>D52+D53+D54+D55+D56+D57+D58</f>
        <v>23171.4</v>
      </c>
      <c r="E51" s="123">
        <f>E52+E53+E54+E55+E56+E57+E58</f>
        <v>25912.5</v>
      </c>
      <c r="F51" s="123">
        <f>F52+F53+F54+F55+F56+F57+F58</f>
        <v>31836.400000000001</v>
      </c>
      <c r="G51" s="123">
        <v>43246.2</v>
      </c>
      <c r="H51" s="124">
        <v>60877.5</v>
      </c>
      <c r="I51" s="124">
        <v>100072.2</v>
      </c>
      <c r="J51" s="124">
        <v>131758.39999999999</v>
      </c>
      <c r="K51" s="124">
        <v>131470.29999999999</v>
      </c>
      <c r="L51" s="123">
        <v>138691.4</v>
      </c>
      <c r="M51" s="123">
        <v>163050.9</v>
      </c>
      <c r="N51" s="123">
        <v>184238.6</v>
      </c>
      <c r="O51" s="123">
        <v>198927</v>
      </c>
      <c r="P51" s="123">
        <v>249116.2</v>
      </c>
      <c r="Q51" s="123">
        <v>268787.09999999998</v>
      </c>
      <c r="R51" s="123">
        <v>272664.39899999998</v>
      </c>
      <c r="S51" s="123">
        <v>310232.12492385501</v>
      </c>
      <c r="T51" s="123">
        <v>339653.49433849374</v>
      </c>
      <c r="U51" s="123">
        <v>417844.93400000001</v>
      </c>
      <c r="V51" s="123">
        <v>430622.8</v>
      </c>
      <c r="W51" s="123">
        <v>476554.3</v>
      </c>
      <c r="X51" s="123">
        <v>541545.69999999995</v>
      </c>
      <c r="Y51" s="123">
        <v>635463</v>
      </c>
      <c r="Z51" s="123">
        <v>759292.8</v>
      </c>
    </row>
    <row r="52" spans="1:26" x14ac:dyDescent="0.25">
      <c r="A52" s="72" t="s">
        <v>39</v>
      </c>
      <c r="B52" s="129">
        <v>2276.3000000000002</v>
      </c>
      <c r="C52" s="129">
        <v>4063.2</v>
      </c>
      <c r="D52" s="129">
        <v>4071.3</v>
      </c>
      <c r="E52" s="129">
        <v>6080.7</v>
      </c>
      <c r="F52" s="129">
        <v>8971.7000000000007</v>
      </c>
      <c r="G52" s="129">
        <v>14079.7</v>
      </c>
      <c r="H52" s="122">
        <v>22365.4</v>
      </c>
      <c r="I52" s="122">
        <v>33091.9</v>
      </c>
      <c r="J52" s="122">
        <v>45666.8</v>
      </c>
      <c r="K52" s="122">
        <v>53644.9</v>
      </c>
      <c r="L52" s="129">
        <v>60223.5</v>
      </c>
      <c r="M52" s="129">
        <v>68358.3</v>
      </c>
      <c r="N52" s="129">
        <v>75717.3</v>
      </c>
      <c r="O52" s="129">
        <v>88405.3</v>
      </c>
      <c r="P52" s="129">
        <v>105998.7</v>
      </c>
      <c r="Q52" s="129">
        <v>123921</v>
      </c>
      <c r="R52" s="129">
        <v>133440.41500000001</v>
      </c>
      <c r="S52" s="129">
        <v>153083.01605128319</v>
      </c>
      <c r="T52" s="129">
        <v>135068.30414980731</v>
      </c>
      <c r="U52" s="129">
        <v>170615.7</v>
      </c>
      <c r="V52" s="129">
        <v>180977.8</v>
      </c>
      <c r="W52" s="129">
        <v>189606.8</v>
      </c>
      <c r="X52" s="129">
        <v>201441.9</v>
      </c>
      <c r="Y52" s="129">
        <v>215807.8</v>
      </c>
      <c r="Z52" s="129">
        <v>228797.2</v>
      </c>
    </row>
    <row r="53" spans="1:26" x14ac:dyDescent="0.25">
      <c r="A53" s="72" t="s">
        <v>40</v>
      </c>
      <c r="B53" s="129">
        <v>361.4</v>
      </c>
      <c r="C53" s="129">
        <v>588</v>
      </c>
      <c r="D53" s="129">
        <v>432.8</v>
      </c>
      <c r="E53" s="129">
        <v>744.6</v>
      </c>
      <c r="F53" s="129">
        <v>1329.9</v>
      </c>
      <c r="G53" s="129">
        <v>1957.6</v>
      </c>
      <c r="H53" s="122">
        <v>1773.5</v>
      </c>
      <c r="I53" s="122">
        <v>3457.5</v>
      </c>
      <c r="J53" s="122">
        <v>3528.4</v>
      </c>
      <c r="K53" s="122">
        <v>4127.8</v>
      </c>
      <c r="L53" s="129">
        <v>3253.7</v>
      </c>
      <c r="M53" s="129">
        <v>1908.9</v>
      </c>
      <c r="N53" s="129">
        <v>4317.5</v>
      </c>
      <c r="O53" s="129">
        <v>9297.1</v>
      </c>
      <c r="P53" s="129">
        <v>10647.2</v>
      </c>
      <c r="Q53" s="129">
        <v>7953.9</v>
      </c>
      <c r="R53" s="129">
        <v>8209.6710000000003</v>
      </c>
      <c r="S53" s="129">
        <v>6229.0701410131087</v>
      </c>
      <c r="T53" s="129">
        <v>13914.326999986448</v>
      </c>
      <c r="U53" s="129">
        <v>16175.7</v>
      </c>
      <c r="V53" s="129">
        <v>11436.1</v>
      </c>
      <c r="W53" s="129">
        <v>16702.099999999999</v>
      </c>
      <c r="X53" s="129">
        <v>18099.3</v>
      </c>
      <c r="Y53" s="129">
        <v>22026</v>
      </c>
      <c r="Z53" s="129">
        <v>20425.8</v>
      </c>
    </row>
    <row r="54" spans="1:26" ht="19.5" x14ac:dyDescent="0.25">
      <c r="A54" s="72" t="s">
        <v>41</v>
      </c>
      <c r="B54" s="129">
        <v>1440</v>
      </c>
      <c r="C54" s="129">
        <v>1959.9</v>
      </c>
      <c r="D54" s="129">
        <v>2420.5</v>
      </c>
      <c r="E54" s="129">
        <v>2816.2</v>
      </c>
      <c r="F54" s="129">
        <v>3200.7</v>
      </c>
      <c r="G54" s="129">
        <v>3910.4</v>
      </c>
      <c r="H54" s="122">
        <v>3186.1</v>
      </c>
      <c r="I54" s="122">
        <v>4148.7</v>
      </c>
      <c r="J54" s="122">
        <v>6162.1</v>
      </c>
      <c r="K54" s="122">
        <v>6054.8</v>
      </c>
      <c r="L54" s="129">
        <v>4431.2</v>
      </c>
      <c r="M54" s="129">
        <v>5707.7</v>
      </c>
      <c r="N54" s="129">
        <v>6734.4</v>
      </c>
      <c r="O54" s="129">
        <v>7937.2</v>
      </c>
      <c r="P54" s="129">
        <v>9519.2999999999993</v>
      </c>
      <c r="Q54" s="129">
        <v>13460</v>
      </c>
      <c r="R54" s="129">
        <v>14881.078</v>
      </c>
      <c r="S54" s="129">
        <v>15384.941136514164</v>
      </c>
      <c r="T54" s="129">
        <v>18337.632899999997</v>
      </c>
      <c r="U54" s="129">
        <v>23883.083999999999</v>
      </c>
      <c r="V54" s="129">
        <v>28350.1</v>
      </c>
      <c r="W54" s="129">
        <v>29228.6</v>
      </c>
      <c r="X54" s="129">
        <v>34477.9</v>
      </c>
      <c r="Y54" s="129">
        <v>39260.1</v>
      </c>
      <c r="Z54" s="129">
        <v>43640.9</v>
      </c>
    </row>
    <row r="55" spans="1:26" ht="19.5" x14ac:dyDescent="0.25">
      <c r="A55" s="72" t="s">
        <v>42</v>
      </c>
      <c r="B55" s="129">
        <v>282.39999999999998</v>
      </c>
      <c r="C55" s="129">
        <v>589</v>
      </c>
      <c r="D55" s="129">
        <v>1097.3</v>
      </c>
      <c r="E55" s="129">
        <v>1028.5</v>
      </c>
      <c r="F55" s="129">
        <v>1293.0999999999999</v>
      </c>
      <c r="G55" s="129">
        <v>3021.4</v>
      </c>
      <c r="H55" s="122">
        <v>4336.7</v>
      </c>
      <c r="I55" s="122">
        <v>4967.3</v>
      </c>
      <c r="J55" s="122">
        <v>5910.4</v>
      </c>
      <c r="K55" s="122">
        <v>5495.2</v>
      </c>
      <c r="L55" s="129">
        <v>4640.3</v>
      </c>
      <c r="M55" s="129">
        <v>8009.5</v>
      </c>
      <c r="N55" s="129">
        <v>10836.6</v>
      </c>
      <c r="O55" s="129">
        <v>13453.2</v>
      </c>
      <c r="P55" s="129">
        <v>13603.6</v>
      </c>
      <c r="Q55" s="129">
        <v>13145.7</v>
      </c>
      <c r="R55" s="129">
        <v>13678.304</v>
      </c>
      <c r="S55" s="129">
        <v>14271.434855631234</v>
      </c>
      <c r="T55" s="129">
        <v>16351.986939799999</v>
      </c>
      <c r="U55" s="129">
        <v>16269.073</v>
      </c>
      <c r="V55" s="129">
        <v>16410</v>
      </c>
      <c r="W55" s="129">
        <v>23126.9</v>
      </c>
      <c r="X55" s="129">
        <v>21224.6</v>
      </c>
      <c r="Y55" s="129">
        <v>21877.599999999999</v>
      </c>
      <c r="Z55" s="129">
        <v>22138.1</v>
      </c>
    </row>
    <row r="56" spans="1:26" ht="19.5" x14ac:dyDescent="0.25">
      <c r="A56" s="72" t="s">
        <v>43</v>
      </c>
      <c r="B56" s="129">
        <v>1200.5</v>
      </c>
      <c r="C56" s="129">
        <v>1815.2</v>
      </c>
      <c r="D56" s="129">
        <v>2535.9</v>
      </c>
      <c r="E56" s="129">
        <v>2387.4</v>
      </c>
      <c r="F56" s="129">
        <v>2560.6</v>
      </c>
      <c r="G56" s="129">
        <v>3816.2</v>
      </c>
      <c r="H56" s="122">
        <v>4971.5</v>
      </c>
      <c r="I56" s="122">
        <v>9685.7000000000007</v>
      </c>
      <c r="J56" s="122">
        <v>11399.4</v>
      </c>
      <c r="K56" s="122">
        <v>12241.1</v>
      </c>
      <c r="L56" s="129">
        <v>12943.9</v>
      </c>
      <c r="M56" s="129">
        <v>14654</v>
      </c>
      <c r="N56" s="129">
        <v>12091.6</v>
      </c>
      <c r="O56" s="129">
        <v>12853.3</v>
      </c>
      <c r="P56" s="129">
        <v>20941.7</v>
      </c>
      <c r="Q56" s="129">
        <v>22445</v>
      </c>
      <c r="R56" s="129">
        <v>23990.188999999998</v>
      </c>
      <c r="S56" s="129">
        <v>13761.29058208368</v>
      </c>
      <c r="T56" s="129">
        <v>19052.39015001314</v>
      </c>
      <c r="U56" s="129">
        <v>21427.108</v>
      </c>
      <c r="V56" s="129">
        <v>17746.2</v>
      </c>
      <c r="W56" s="129">
        <v>16694.3</v>
      </c>
      <c r="X56" s="129">
        <v>24290.5</v>
      </c>
      <c r="Y56" s="129">
        <v>27775.5</v>
      </c>
      <c r="Z56" s="129">
        <v>35800.199999999997</v>
      </c>
    </row>
    <row r="57" spans="1:26" x14ac:dyDescent="0.25">
      <c r="A57" s="72" t="s">
        <v>44</v>
      </c>
      <c r="B57" s="129" t="s">
        <v>98</v>
      </c>
      <c r="C57" s="129" t="s">
        <v>98</v>
      </c>
      <c r="D57" s="129">
        <v>3478.7</v>
      </c>
      <c r="E57" s="129">
        <v>3020.4</v>
      </c>
      <c r="F57" s="129">
        <v>3057.8</v>
      </c>
      <c r="G57" s="129">
        <v>3420.2</v>
      </c>
      <c r="H57" s="122">
        <v>8917.1</v>
      </c>
      <c r="I57" s="122">
        <v>23858.1</v>
      </c>
      <c r="J57" s="122">
        <v>27970.400000000001</v>
      </c>
      <c r="K57" s="122">
        <v>26139.1</v>
      </c>
      <c r="L57" s="129">
        <v>23741.5</v>
      </c>
      <c r="M57" s="129">
        <v>26846.7</v>
      </c>
      <c r="N57" s="129">
        <v>29877.5</v>
      </c>
      <c r="O57" s="129">
        <v>18972.599999999999</v>
      </c>
      <c r="P57" s="129">
        <v>25436</v>
      </c>
      <c r="Q57" s="129">
        <v>25953.1</v>
      </c>
      <c r="R57" s="129">
        <v>26494.042000000001</v>
      </c>
      <c r="S57" s="129">
        <v>29672.739708170862</v>
      </c>
      <c r="T57" s="129">
        <v>45221.686198979347</v>
      </c>
      <c r="U57" s="129">
        <v>52947.411</v>
      </c>
      <c r="V57" s="129">
        <v>45736.9</v>
      </c>
      <c r="W57" s="129">
        <v>68600.2</v>
      </c>
      <c r="X57" s="129">
        <v>87267.3</v>
      </c>
      <c r="Y57" s="129">
        <v>121138.8</v>
      </c>
      <c r="Z57" s="129">
        <v>167894.6</v>
      </c>
    </row>
    <row r="58" spans="1:26" x14ac:dyDescent="0.25">
      <c r="A58" s="72" t="s">
        <v>45</v>
      </c>
      <c r="B58" s="129">
        <v>8289</v>
      </c>
      <c r="C58" s="129">
        <v>8877.5</v>
      </c>
      <c r="D58" s="129">
        <v>9134.9</v>
      </c>
      <c r="E58" s="129">
        <v>9834.7000000000007</v>
      </c>
      <c r="F58" s="129">
        <v>11422.6</v>
      </c>
      <c r="G58" s="129">
        <v>13040.7</v>
      </c>
      <c r="H58" s="129">
        <v>15327.2</v>
      </c>
      <c r="I58" s="129">
        <v>20862.900000000001</v>
      </c>
      <c r="J58" s="129">
        <v>31121</v>
      </c>
      <c r="K58" s="129">
        <v>23767.4</v>
      </c>
      <c r="L58" s="129">
        <v>29457.200000000001</v>
      </c>
      <c r="M58" s="129">
        <v>37565.699999999997</v>
      </c>
      <c r="N58" s="129">
        <v>44663.7</v>
      </c>
      <c r="O58" s="129">
        <v>48008.4</v>
      </c>
      <c r="P58" s="129">
        <v>62969.7</v>
      </c>
      <c r="Q58" s="129">
        <v>61908.3</v>
      </c>
      <c r="R58" s="129">
        <v>51970.7</v>
      </c>
      <c r="S58" s="129">
        <v>77829.632449158802</v>
      </c>
      <c r="T58" s="129">
        <v>91707.166999907524</v>
      </c>
      <c r="U58" s="129">
        <v>116526.85799999999</v>
      </c>
      <c r="V58" s="129">
        <v>129965.6</v>
      </c>
      <c r="W58" s="129">
        <v>132595.20000000001</v>
      </c>
      <c r="X58" s="129">
        <v>154744.20000000001</v>
      </c>
      <c r="Y58" s="129">
        <v>187577.3</v>
      </c>
      <c r="Z58" s="129">
        <v>240596</v>
      </c>
    </row>
    <row r="59" spans="1:26" ht="18" x14ac:dyDescent="0.25">
      <c r="A59" s="7" t="s">
        <v>90</v>
      </c>
      <c r="B59" s="123">
        <f>SUM(B60:B73)</f>
        <v>81901.8</v>
      </c>
      <c r="C59" s="123">
        <f>SUM(C60:C73)</f>
        <v>113688.20000000003</v>
      </c>
      <c r="D59" s="123">
        <f>SUM(D60:D73)</f>
        <v>121025</v>
      </c>
      <c r="E59" s="123">
        <f>SUM(E60:E73)</f>
        <v>152304.4</v>
      </c>
      <c r="F59" s="123">
        <f>SUM(F60:F73)</f>
        <v>197038.60000000003</v>
      </c>
      <c r="G59" s="123">
        <v>280970.5</v>
      </c>
      <c r="H59" s="123">
        <v>351415.5</v>
      </c>
      <c r="I59" s="123">
        <v>509924</v>
      </c>
      <c r="J59" s="123">
        <v>712290.4</v>
      </c>
      <c r="K59" s="123">
        <v>626108.69999999995</v>
      </c>
      <c r="L59" s="123">
        <v>686114.7</v>
      </c>
      <c r="M59" s="123">
        <v>811944.9</v>
      </c>
      <c r="N59" s="123">
        <v>1010586.6</v>
      </c>
      <c r="O59" s="123">
        <v>1114417.7</v>
      </c>
      <c r="P59" s="123">
        <v>1192962.1000000001</v>
      </c>
      <c r="Q59" s="123">
        <v>1329777.2</v>
      </c>
      <c r="R59" s="123">
        <v>1307540.595</v>
      </c>
      <c r="S59" s="123">
        <v>1366814.0588957216</v>
      </c>
      <c r="T59" s="123">
        <v>1337438.3889293908</v>
      </c>
      <c r="U59" s="123">
        <v>1499687.128</v>
      </c>
      <c r="V59" s="123">
        <v>1516676.2</v>
      </c>
      <c r="W59" s="123">
        <v>1805033.8</v>
      </c>
      <c r="X59" s="123">
        <v>2226115.7999999998</v>
      </c>
      <c r="Y59" s="123">
        <v>2712301.6</v>
      </c>
      <c r="Z59" s="123">
        <v>2984185.5</v>
      </c>
    </row>
    <row r="60" spans="1:26" x14ac:dyDescent="0.25">
      <c r="A60" s="72" t="s">
        <v>46</v>
      </c>
      <c r="B60" s="129">
        <v>15676.8</v>
      </c>
      <c r="C60" s="129">
        <v>21242</v>
      </c>
      <c r="D60" s="129">
        <v>19988.7</v>
      </c>
      <c r="E60" s="129">
        <v>25365</v>
      </c>
      <c r="F60" s="129">
        <v>32090.6</v>
      </c>
      <c r="G60" s="129">
        <v>46438.6</v>
      </c>
      <c r="H60" s="122">
        <v>56203.4</v>
      </c>
      <c r="I60" s="122">
        <v>83096.3</v>
      </c>
      <c r="J60" s="122">
        <v>102727.3</v>
      </c>
      <c r="K60" s="122">
        <v>81341.100000000006</v>
      </c>
      <c r="L60" s="129">
        <v>80890</v>
      </c>
      <c r="M60" s="129">
        <v>99076.6</v>
      </c>
      <c r="N60" s="129">
        <v>135626.70000000001</v>
      </c>
      <c r="O60" s="129">
        <v>139640.9</v>
      </c>
      <c r="P60" s="129">
        <v>145411.6</v>
      </c>
      <c r="Q60" s="129">
        <v>180738.9</v>
      </c>
      <c r="R60" s="129">
        <v>191359.076</v>
      </c>
      <c r="S60" s="129">
        <v>195779.51050397137</v>
      </c>
      <c r="T60" s="129">
        <v>190419.0357314529</v>
      </c>
      <c r="U60" s="129">
        <v>229538.43100000001</v>
      </c>
      <c r="V60" s="129">
        <v>216543.7</v>
      </c>
      <c r="W60" s="129">
        <v>257852.79999999999</v>
      </c>
      <c r="X60" s="129">
        <v>302414.5</v>
      </c>
      <c r="Y60" s="129">
        <v>403332.3</v>
      </c>
      <c r="Z60" s="129">
        <v>481117.3</v>
      </c>
    </row>
    <row r="61" spans="1:26" x14ac:dyDescent="0.25">
      <c r="A61" s="72" t="s">
        <v>47</v>
      </c>
      <c r="B61" s="129">
        <v>1066.7</v>
      </c>
      <c r="C61" s="129">
        <v>1123.2</v>
      </c>
      <c r="D61" s="129">
        <v>1474.7</v>
      </c>
      <c r="E61" s="129">
        <v>2171.6999999999998</v>
      </c>
      <c r="F61" s="129">
        <v>2626.7</v>
      </c>
      <c r="G61" s="129">
        <v>3475.1</v>
      </c>
      <c r="H61" s="122">
        <v>4626.3</v>
      </c>
      <c r="I61" s="122">
        <v>7533.4</v>
      </c>
      <c r="J61" s="122">
        <v>9962.2000000000007</v>
      </c>
      <c r="K61" s="122">
        <v>6710.5</v>
      </c>
      <c r="L61" s="129">
        <v>9511.4</v>
      </c>
      <c r="M61" s="129">
        <v>11955.9</v>
      </c>
      <c r="N61" s="129">
        <v>12353</v>
      </c>
      <c r="O61" s="129">
        <v>13126.9</v>
      </c>
      <c r="P61" s="129">
        <v>14662.7</v>
      </c>
      <c r="Q61" s="129">
        <v>15337.3</v>
      </c>
      <c r="R61" s="129">
        <v>13214.732</v>
      </c>
      <c r="S61" s="129">
        <v>13739.726728728197</v>
      </c>
      <c r="T61" s="129">
        <v>14694.826008000002</v>
      </c>
      <c r="U61" s="129">
        <v>18028.334999999999</v>
      </c>
      <c r="V61" s="129">
        <v>21718.2</v>
      </c>
      <c r="W61" s="129">
        <v>26474.2</v>
      </c>
      <c r="X61" s="129">
        <v>23361.200000000001</v>
      </c>
      <c r="Y61" s="129">
        <v>30188.9</v>
      </c>
      <c r="Z61" s="129">
        <v>20121.400000000001</v>
      </c>
    </row>
    <row r="62" spans="1:26" x14ac:dyDescent="0.25">
      <c r="A62" s="72" t="s">
        <v>48</v>
      </c>
      <c r="B62" s="129">
        <v>1365.9</v>
      </c>
      <c r="C62" s="129">
        <v>2386.1999999999998</v>
      </c>
      <c r="D62" s="129">
        <v>2808.6</v>
      </c>
      <c r="E62" s="129">
        <v>4009</v>
      </c>
      <c r="F62" s="129">
        <v>4215.8</v>
      </c>
      <c r="G62" s="129">
        <v>5379.9</v>
      </c>
      <c r="H62" s="122">
        <v>7233.6</v>
      </c>
      <c r="I62" s="122">
        <v>11021.7</v>
      </c>
      <c r="J62" s="122">
        <v>14633.4</v>
      </c>
      <c r="K62" s="122">
        <v>14414.1</v>
      </c>
      <c r="L62" s="129">
        <v>17246.099999999999</v>
      </c>
      <c r="M62" s="129">
        <v>26214</v>
      </c>
      <c r="N62" s="129">
        <v>24653.3</v>
      </c>
      <c r="O62" s="129">
        <v>20535.3</v>
      </c>
      <c r="P62" s="129">
        <v>21034.9</v>
      </c>
      <c r="Q62" s="129">
        <v>27060.1</v>
      </c>
      <c r="R62" s="129">
        <v>28080.822</v>
      </c>
      <c r="S62" s="129">
        <v>33020.427642224779</v>
      </c>
      <c r="T62" s="129">
        <v>25450.363154317201</v>
      </c>
      <c r="U62" s="129">
        <v>29398.117000000002</v>
      </c>
      <c r="V62" s="129">
        <v>26142.6</v>
      </c>
      <c r="W62" s="129">
        <v>29639.5</v>
      </c>
      <c r="X62" s="129">
        <v>35445.199999999997</v>
      </c>
      <c r="Y62" s="129">
        <v>34989</v>
      </c>
      <c r="Z62" s="129">
        <v>35994.800000000003</v>
      </c>
    </row>
    <row r="63" spans="1:26" x14ac:dyDescent="0.25">
      <c r="A63" s="72" t="s">
        <v>49</v>
      </c>
      <c r="B63" s="129">
        <v>15260.3</v>
      </c>
      <c r="C63" s="129">
        <v>20692.900000000001</v>
      </c>
      <c r="D63" s="129">
        <v>23279.5</v>
      </c>
      <c r="E63" s="129">
        <v>31042.1</v>
      </c>
      <c r="F63" s="129">
        <v>44669.3</v>
      </c>
      <c r="G63" s="129">
        <v>71499.8</v>
      </c>
      <c r="H63" s="122">
        <v>86606.7</v>
      </c>
      <c r="I63" s="122">
        <v>124041.5</v>
      </c>
      <c r="J63" s="122">
        <v>156977.70000000001</v>
      </c>
      <c r="K63" s="122">
        <v>165221.5</v>
      </c>
      <c r="L63" s="129">
        <v>178667.8</v>
      </c>
      <c r="M63" s="129">
        <v>220777.60000000001</v>
      </c>
      <c r="N63" s="129">
        <v>287251</v>
      </c>
      <c r="O63" s="129">
        <v>297459.90000000002</v>
      </c>
      <c r="P63" s="129">
        <v>309629.2</v>
      </c>
      <c r="Q63" s="129">
        <v>334183.09999999998</v>
      </c>
      <c r="R63" s="129">
        <v>336856.58299999998</v>
      </c>
      <c r="S63" s="129">
        <v>344427.09745200275</v>
      </c>
      <c r="T63" s="129">
        <v>349095.95600000001</v>
      </c>
      <c r="U63" s="129">
        <v>364230.71100000001</v>
      </c>
      <c r="V63" s="129">
        <v>363130.7</v>
      </c>
      <c r="W63" s="129">
        <v>416227.4</v>
      </c>
      <c r="X63" s="129">
        <v>573145.30000000005</v>
      </c>
      <c r="Y63" s="129">
        <v>708076.1</v>
      </c>
      <c r="Z63" s="129">
        <v>908872.8</v>
      </c>
    </row>
    <row r="64" spans="1:26" x14ac:dyDescent="0.25">
      <c r="A64" s="72" t="s">
        <v>50</v>
      </c>
      <c r="B64" s="129">
        <v>4193.8999999999996</v>
      </c>
      <c r="C64" s="129">
        <v>5867.3</v>
      </c>
      <c r="D64" s="129">
        <v>5286.4</v>
      </c>
      <c r="E64" s="129">
        <v>6586</v>
      </c>
      <c r="F64" s="129">
        <v>7797.5</v>
      </c>
      <c r="G64" s="129">
        <v>9068.6</v>
      </c>
      <c r="H64" s="122">
        <v>10699.3</v>
      </c>
      <c r="I64" s="122">
        <v>17279.2</v>
      </c>
      <c r="J64" s="122">
        <v>25180.6</v>
      </c>
      <c r="K64" s="122">
        <v>15765.3</v>
      </c>
      <c r="L64" s="129">
        <v>23586.5</v>
      </c>
      <c r="M64" s="129">
        <v>25025.7</v>
      </c>
      <c r="N64" s="129">
        <v>26811.599999999999</v>
      </c>
      <c r="O64" s="129">
        <v>35643.300000000003</v>
      </c>
      <c r="P64" s="129">
        <v>38718.1</v>
      </c>
      <c r="Q64" s="129">
        <v>44163.7</v>
      </c>
      <c r="R64" s="129">
        <v>42729</v>
      </c>
      <c r="S64" s="129">
        <v>40987.693321134946</v>
      </c>
      <c r="T64" s="129">
        <v>40975.273000000008</v>
      </c>
      <c r="U64" s="129">
        <v>49706.534000000007</v>
      </c>
      <c r="V64" s="129">
        <v>55990.5</v>
      </c>
      <c r="W64" s="129">
        <v>61284.1</v>
      </c>
      <c r="X64" s="129">
        <v>65004</v>
      </c>
      <c r="Y64" s="129">
        <v>65605.399999999994</v>
      </c>
      <c r="Z64" s="129">
        <v>77672.399999999994</v>
      </c>
    </row>
    <row r="65" spans="1:26" x14ac:dyDescent="0.25">
      <c r="A65" s="72" t="s">
        <v>51</v>
      </c>
      <c r="B65" s="129">
        <v>2710.7</v>
      </c>
      <c r="C65" s="129">
        <v>3659.5</v>
      </c>
      <c r="D65" s="129">
        <v>4314.6000000000004</v>
      </c>
      <c r="E65" s="129">
        <v>5599.5</v>
      </c>
      <c r="F65" s="129">
        <v>7784.1</v>
      </c>
      <c r="G65" s="129">
        <v>9942</v>
      </c>
      <c r="H65" s="122">
        <v>13542.2</v>
      </c>
      <c r="I65" s="122">
        <v>25035.1</v>
      </c>
      <c r="J65" s="122">
        <v>33740.199999999997</v>
      </c>
      <c r="K65" s="122">
        <v>17619.400000000001</v>
      </c>
      <c r="L65" s="129">
        <v>19501.7</v>
      </c>
      <c r="M65" s="129">
        <v>23710.6</v>
      </c>
      <c r="N65" s="129">
        <v>27823.4</v>
      </c>
      <c r="O65" s="129">
        <v>34931.599999999999</v>
      </c>
      <c r="P65" s="129">
        <v>36961.4</v>
      </c>
      <c r="Q65" s="129">
        <v>35325.5</v>
      </c>
      <c r="R65" s="129">
        <v>35842.483999999997</v>
      </c>
      <c r="S65" s="129">
        <v>33865.220041302593</v>
      </c>
      <c r="T65" s="129">
        <v>39599.386918899996</v>
      </c>
      <c r="U65" s="129">
        <v>38530.722999999998</v>
      </c>
      <c r="V65" s="129">
        <v>38243</v>
      </c>
      <c r="W65" s="129">
        <v>45482.3</v>
      </c>
      <c r="X65" s="129">
        <v>58497.599999999999</v>
      </c>
      <c r="Y65" s="129">
        <v>76972.7</v>
      </c>
      <c r="Z65" s="129">
        <v>74752.7</v>
      </c>
    </row>
    <row r="66" spans="1:26" x14ac:dyDescent="0.25">
      <c r="A66" s="72" t="s">
        <v>52</v>
      </c>
      <c r="B66" s="129">
        <v>8024.6</v>
      </c>
      <c r="C66" s="129">
        <v>11495.8</v>
      </c>
      <c r="D66" s="129">
        <v>11130</v>
      </c>
      <c r="E66" s="129">
        <v>13346.2</v>
      </c>
      <c r="F66" s="129">
        <v>17420.5</v>
      </c>
      <c r="G66" s="129">
        <v>23976.3</v>
      </c>
      <c r="H66" s="122">
        <v>26671.9</v>
      </c>
      <c r="I66" s="122">
        <v>38895.199999999997</v>
      </c>
      <c r="J66" s="122">
        <v>60280.4</v>
      </c>
      <c r="K66" s="122">
        <v>63193.8</v>
      </c>
      <c r="L66" s="129">
        <v>70636.7</v>
      </c>
      <c r="M66" s="129">
        <v>74574.600000000006</v>
      </c>
      <c r="N66" s="129">
        <v>76933.600000000006</v>
      </c>
      <c r="O66" s="129">
        <v>85927.1</v>
      </c>
      <c r="P66" s="129">
        <v>93206.1</v>
      </c>
      <c r="Q66" s="129">
        <v>111970.1</v>
      </c>
      <c r="R66" s="129">
        <v>104939.143</v>
      </c>
      <c r="S66" s="129">
        <v>118037.3473479673</v>
      </c>
      <c r="T66" s="129">
        <v>120213.53992746401</v>
      </c>
      <c r="U66" s="129">
        <v>144726.44699999999</v>
      </c>
      <c r="V66" s="129">
        <v>153129.29999999999</v>
      </c>
      <c r="W66" s="129">
        <v>163753.1</v>
      </c>
      <c r="X66" s="129">
        <v>195349.9</v>
      </c>
      <c r="Y66" s="129">
        <v>259670.9</v>
      </c>
      <c r="Z66" s="129">
        <v>302570.40000000002</v>
      </c>
    </row>
    <row r="67" spans="1:26" x14ac:dyDescent="0.25">
      <c r="A67" s="72" t="s">
        <v>53</v>
      </c>
      <c r="B67" s="129">
        <v>2455.8000000000002</v>
      </c>
      <c r="C67" s="129">
        <v>2947</v>
      </c>
      <c r="D67" s="129">
        <v>3218.1</v>
      </c>
      <c r="E67" s="129">
        <v>3808.9</v>
      </c>
      <c r="F67" s="129">
        <v>4350.6000000000004</v>
      </c>
      <c r="G67" s="129">
        <v>5533.6</v>
      </c>
      <c r="H67" s="122">
        <v>8644.4</v>
      </c>
      <c r="I67" s="122">
        <v>11652.7</v>
      </c>
      <c r="J67" s="122">
        <v>14414.4</v>
      </c>
      <c r="K67" s="122">
        <v>10949.8</v>
      </c>
      <c r="L67" s="129">
        <v>16213.7</v>
      </c>
      <c r="M67" s="129">
        <v>17803.400000000001</v>
      </c>
      <c r="N67" s="129">
        <v>22155.8</v>
      </c>
      <c r="O67" s="129">
        <v>26013.9</v>
      </c>
      <c r="P67" s="129">
        <v>28330.5</v>
      </c>
      <c r="Q67" s="129">
        <v>33945.599999999999</v>
      </c>
      <c r="R67" s="129">
        <v>33672.457999999999</v>
      </c>
      <c r="S67" s="129">
        <v>32297.516998015668</v>
      </c>
      <c r="T67" s="129">
        <v>33388.380670319995</v>
      </c>
      <c r="U67" s="129">
        <v>32950.851000000002</v>
      </c>
      <c r="V67" s="129">
        <v>32132.6</v>
      </c>
      <c r="W67" s="129">
        <v>35753.300000000003</v>
      </c>
      <c r="X67" s="129">
        <v>39969</v>
      </c>
      <c r="Y67" s="129">
        <v>52828.6</v>
      </c>
      <c r="Z67" s="129">
        <v>54602.2</v>
      </c>
    </row>
    <row r="68" spans="1:26" x14ac:dyDescent="0.25">
      <c r="A68" s="72" t="s">
        <v>54</v>
      </c>
      <c r="B68" s="129">
        <v>6559.5</v>
      </c>
      <c r="C68" s="129">
        <v>12936.6</v>
      </c>
      <c r="D68" s="129">
        <v>14288.4</v>
      </c>
      <c r="E68" s="129">
        <v>16441.2</v>
      </c>
      <c r="F68" s="129">
        <v>22075.3</v>
      </c>
      <c r="G68" s="129">
        <v>31794.5</v>
      </c>
      <c r="H68" s="122">
        <v>42391.9</v>
      </c>
      <c r="I68" s="122">
        <v>53068.3</v>
      </c>
      <c r="J68" s="122">
        <v>109244.3</v>
      </c>
      <c r="K68" s="122">
        <v>104759.7</v>
      </c>
      <c r="L68" s="129">
        <v>97822.3</v>
      </c>
      <c r="M68" s="129">
        <v>109311.4</v>
      </c>
      <c r="N68" s="129">
        <v>128349.8</v>
      </c>
      <c r="O68" s="129">
        <v>142638.29999999999</v>
      </c>
      <c r="P68" s="129">
        <v>155110.70000000001</v>
      </c>
      <c r="Q68" s="129">
        <v>150106.79999999999</v>
      </c>
      <c r="R68" s="129">
        <v>153216.152</v>
      </c>
      <c r="S68" s="129">
        <v>168993.34388168497</v>
      </c>
      <c r="T68" s="129">
        <v>143775.93199173678</v>
      </c>
      <c r="U68" s="129">
        <v>181487.85200000001</v>
      </c>
      <c r="V68" s="129">
        <v>192855.6</v>
      </c>
      <c r="W68" s="129">
        <v>206120.4</v>
      </c>
      <c r="X68" s="129">
        <v>249244</v>
      </c>
      <c r="Y68" s="129">
        <v>304666.8</v>
      </c>
      <c r="Z68" s="129">
        <v>270547</v>
      </c>
    </row>
    <row r="69" spans="1:26" x14ac:dyDescent="0.25">
      <c r="A69" s="72" t="s">
        <v>55</v>
      </c>
      <c r="B69" s="129">
        <v>5197.8</v>
      </c>
      <c r="C69" s="129">
        <v>6188.2</v>
      </c>
      <c r="D69" s="129">
        <v>6428.3</v>
      </c>
      <c r="E69" s="129">
        <v>8878.4</v>
      </c>
      <c r="F69" s="129">
        <v>10855.6</v>
      </c>
      <c r="G69" s="129">
        <v>13184.2</v>
      </c>
      <c r="H69" s="122">
        <v>17320.2</v>
      </c>
      <c r="I69" s="122">
        <v>24640.3</v>
      </c>
      <c r="J69" s="122">
        <v>34507.1</v>
      </c>
      <c r="K69" s="122">
        <v>25826.3</v>
      </c>
      <c r="L69" s="129">
        <v>31409.1</v>
      </c>
      <c r="M69" s="129">
        <v>35025.4</v>
      </c>
      <c r="N69" s="129">
        <v>41873.5</v>
      </c>
      <c r="O69" s="129">
        <v>41456.1</v>
      </c>
      <c r="P69" s="129">
        <v>47597.4</v>
      </c>
      <c r="Q69" s="129">
        <v>60566.7</v>
      </c>
      <c r="R69" s="129">
        <v>49750.762000000002</v>
      </c>
      <c r="S69" s="129">
        <v>62949.94611977684</v>
      </c>
      <c r="T69" s="129">
        <v>78643.522005682811</v>
      </c>
      <c r="U69" s="129">
        <v>101306.976</v>
      </c>
      <c r="V69" s="129">
        <v>89728</v>
      </c>
      <c r="W69" s="129">
        <v>96742.5</v>
      </c>
      <c r="X69" s="129">
        <v>99925.6</v>
      </c>
      <c r="Y69" s="129">
        <v>118319.5</v>
      </c>
      <c r="Z69" s="129">
        <v>142854.9</v>
      </c>
    </row>
    <row r="70" spans="1:26" x14ac:dyDescent="0.25">
      <c r="A70" s="72" t="s">
        <v>56</v>
      </c>
      <c r="B70" s="129">
        <v>2343.3000000000002</v>
      </c>
      <c r="C70" s="129">
        <v>2964.3</v>
      </c>
      <c r="D70" s="129">
        <v>3278.5</v>
      </c>
      <c r="E70" s="129">
        <v>5247.7</v>
      </c>
      <c r="F70" s="129">
        <v>6411.2</v>
      </c>
      <c r="G70" s="129">
        <v>7085.9</v>
      </c>
      <c r="H70" s="122">
        <v>9153.7000000000007</v>
      </c>
      <c r="I70" s="122">
        <v>18050.099999999999</v>
      </c>
      <c r="J70" s="122">
        <v>28901.7</v>
      </c>
      <c r="K70" s="122">
        <v>22812.3</v>
      </c>
      <c r="L70" s="129">
        <v>21573.5</v>
      </c>
      <c r="M70" s="129">
        <v>27574.1</v>
      </c>
      <c r="N70" s="129">
        <v>37437.300000000003</v>
      </c>
      <c r="O70" s="129">
        <v>40293.9</v>
      </c>
      <c r="P70" s="129">
        <v>39824.699999999997</v>
      </c>
      <c r="Q70" s="129">
        <v>39423.9</v>
      </c>
      <c r="R70" s="129">
        <v>33648.402999999998</v>
      </c>
      <c r="S70" s="129">
        <v>31959.455607270567</v>
      </c>
      <c r="T70" s="129">
        <v>31499.567065598698</v>
      </c>
      <c r="U70" s="129">
        <v>39153.014999999999</v>
      </c>
      <c r="V70" s="129">
        <v>48195.5</v>
      </c>
      <c r="W70" s="129">
        <v>53193.9</v>
      </c>
      <c r="X70" s="129">
        <v>57435.1</v>
      </c>
      <c r="Y70" s="129">
        <v>59860</v>
      </c>
      <c r="Z70" s="129">
        <v>66712.3</v>
      </c>
    </row>
    <row r="71" spans="1:26" x14ac:dyDescent="0.25">
      <c r="A71" s="72" t="s">
        <v>57</v>
      </c>
      <c r="B71" s="129">
        <v>8643.5</v>
      </c>
      <c r="C71" s="129">
        <v>13094.1</v>
      </c>
      <c r="D71" s="129">
        <v>15163</v>
      </c>
      <c r="E71" s="129">
        <v>16862.7</v>
      </c>
      <c r="F71" s="129">
        <v>21574.5</v>
      </c>
      <c r="G71" s="129">
        <v>27600.2</v>
      </c>
      <c r="H71" s="122">
        <v>33358.400000000001</v>
      </c>
      <c r="I71" s="122">
        <v>47978.400000000001</v>
      </c>
      <c r="J71" s="122">
        <v>55810.6</v>
      </c>
      <c r="K71" s="122">
        <v>43508.9</v>
      </c>
      <c r="L71" s="129">
        <v>61213.3</v>
      </c>
      <c r="M71" s="129">
        <v>67670.3</v>
      </c>
      <c r="N71" s="129">
        <v>103007.8</v>
      </c>
      <c r="O71" s="129">
        <v>139333</v>
      </c>
      <c r="P71" s="129">
        <v>159384.79999999999</v>
      </c>
      <c r="Q71" s="129">
        <v>170735.1</v>
      </c>
      <c r="R71" s="129">
        <v>187629.516</v>
      </c>
      <c r="S71" s="129">
        <v>191782.13356267696</v>
      </c>
      <c r="T71" s="129">
        <v>159193.56400000013</v>
      </c>
      <c r="U71" s="129">
        <v>163260.986</v>
      </c>
      <c r="V71" s="129">
        <v>168286.7</v>
      </c>
      <c r="W71" s="129">
        <v>253927.2</v>
      </c>
      <c r="X71" s="129">
        <v>283406.8</v>
      </c>
      <c r="Y71" s="129">
        <v>301898.8</v>
      </c>
      <c r="Z71" s="129">
        <v>288602.3</v>
      </c>
    </row>
    <row r="72" spans="1:26" x14ac:dyDescent="0.25">
      <c r="A72" s="72" t="s">
        <v>58</v>
      </c>
      <c r="B72" s="129">
        <v>5764.1</v>
      </c>
      <c r="C72" s="129">
        <v>5631.5</v>
      </c>
      <c r="D72" s="129">
        <v>6802.8</v>
      </c>
      <c r="E72" s="129">
        <v>9340.6</v>
      </c>
      <c r="F72" s="129">
        <v>11118.7</v>
      </c>
      <c r="G72" s="129">
        <v>20743.400000000001</v>
      </c>
      <c r="H72" s="122">
        <v>24224.1</v>
      </c>
      <c r="I72" s="122">
        <v>31743.4</v>
      </c>
      <c r="J72" s="122">
        <v>42357.4</v>
      </c>
      <c r="K72" s="122">
        <v>33395.800000000003</v>
      </c>
      <c r="L72" s="129">
        <v>38739.599999999999</v>
      </c>
      <c r="M72" s="129">
        <v>46605.5</v>
      </c>
      <c r="N72" s="129">
        <v>54143.199999999997</v>
      </c>
      <c r="O72" s="129">
        <v>59730.6</v>
      </c>
      <c r="P72" s="129">
        <v>60248.6</v>
      </c>
      <c r="Q72" s="129">
        <v>76562.100000000006</v>
      </c>
      <c r="R72" s="129">
        <v>54852.66</v>
      </c>
      <c r="S72" s="129">
        <v>59974.395649476333</v>
      </c>
      <c r="T72" s="129">
        <v>63768.377000922868</v>
      </c>
      <c r="U72" s="129">
        <v>66526.216</v>
      </c>
      <c r="V72" s="129">
        <v>72131</v>
      </c>
      <c r="W72" s="129">
        <v>121151.7</v>
      </c>
      <c r="X72" s="129">
        <v>185668.2</v>
      </c>
      <c r="Y72" s="129">
        <v>222813.1</v>
      </c>
      <c r="Z72" s="129">
        <v>198039.6</v>
      </c>
    </row>
    <row r="73" spans="1:26" x14ac:dyDescent="0.25">
      <c r="A73" s="72" t="s">
        <v>59</v>
      </c>
      <c r="B73" s="129">
        <v>2638.9</v>
      </c>
      <c r="C73" s="129">
        <v>3459.6</v>
      </c>
      <c r="D73" s="129">
        <v>3563.4</v>
      </c>
      <c r="E73" s="129">
        <v>3605.4</v>
      </c>
      <c r="F73" s="129">
        <v>4048.2</v>
      </c>
      <c r="G73" s="129">
        <v>5248.4</v>
      </c>
      <c r="H73" s="122">
        <v>10739.4</v>
      </c>
      <c r="I73" s="122">
        <v>15888.5</v>
      </c>
      <c r="J73" s="122">
        <v>23552.9</v>
      </c>
      <c r="K73" s="122">
        <v>20590.099999999999</v>
      </c>
      <c r="L73" s="129">
        <v>19103</v>
      </c>
      <c r="M73" s="129">
        <v>26619.9</v>
      </c>
      <c r="N73" s="129">
        <v>32166.5</v>
      </c>
      <c r="O73" s="129">
        <v>37686.9</v>
      </c>
      <c r="P73" s="129">
        <v>42841.4</v>
      </c>
      <c r="Q73" s="129">
        <v>49658.5</v>
      </c>
      <c r="R73" s="129">
        <v>41748.803999999996</v>
      </c>
      <c r="S73" s="129">
        <v>39000.244039488571</v>
      </c>
      <c r="T73" s="129">
        <v>46720.665454995375</v>
      </c>
      <c r="U73" s="129">
        <v>40841.934000000001</v>
      </c>
      <c r="V73" s="129">
        <v>38448.699999999997</v>
      </c>
      <c r="W73" s="129">
        <v>37431.5</v>
      </c>
      <c r="X73" s="129">
        <v>57249.2</v>
      </c>
      <c r="Y73" s="129">
        <v>73079.600000000006</v>
      </c>
      <c r="Z73" s="129">
        <v>61725.3</v>
      </c>
    </row>
    <row r="74" spans="1:26" ht="18" x14ac:dyDescent="0.25">
      <c r="A74" s="7" t="s">
        <v>107</v>
      </c>
      <c r="B74" s="123">
        <f>B75+B76+B77+B82</f>
        <v>83695</v>
      </c>
      <c r="C74" s="123">
        <f>C75+C76+C77+C82</f>
        <v>140774.5</v>
      </c>
      <c r="D74" s="123">
        <f>D75+D76+D77+D82</f>
        <v>155651.69999999998</v>
      </c>
      <c r="E74" s="123">
        <f>E75+E76+E77+E82</f>
        <v>196596.1</v>
      </c>
      <c r="F74" s="123">
        <f>F75+F76+F77+F82</f>
        <v>207361</v>
      </c>
      <c r="G74" s="123">
        <v>245824.2</v>
      </c>
      <c r="H74" s="124">
        <v>305862.7</v>
      </c>
      <c r="I74" s="124">
        <v>456097.6</v>
      </c>
      <c r="J74" s="124">
        <v>653106.4</v>
      </c>
      <c r="K74" s="124">
        <v>542117.19999999995</v>
      </c>
      <c r="L74" s="123">
        <v>578855.4</v>
      </c>
      <c r="M74" s="123">
        <v>638123.80000000005</v>
      </c>
      <c r="N74" s="123">
        <v>708946.6</v>
      </c>
      <c r="O74" s="123">
        <v>706213.3</v>
      </c>
      <c r="P74" s="123">
        <v>716109.2</v>
      </c>
      <c r="Q74" s="123">
        <v>816487.8</v>
      </c>
      <c r="R74" s="123">
        <v>854442.60400000005</v>
      </c>
      <c r="S74" s="123">
        <v>874544.05845671217</v>
      </c>
      <c r="T74" s="123">
        <v>1331562.9486882885</v>
      </c>
      <c r="U74" s="123">
        <v>1264369.5089803804</v>
      </c>
      <c r="V74" s="123">
        <v>1508205.5</v>
      </c>
      <c r="W74" s="123">
        <v>1718595.3</v>
      </c>
      <c r="X74" s="123">
        <v>1860904.2</v>
      </c>
      <c r="Y74" s="123">
        <v>1988258.3</v>
      </c>
      <c r="Z74" s="123">
        <v>2167115.9</v>
      </c>
    </row>
    <row r="75" spans="1:26" x14ac:dyDescent="0.25">
      <c r="A75" s="72" t="s">
        <v>60</v>
      </c>
      <c r="B75" s="129">
        <v>1150.4000000000001</v>
      </c>
      <c r="C75" s="129">
        <v>1420.8</v>
      </c>
      <c r="D75" s="129">
        <v>2156.8000000000002</v>
      </c>
      <c r="E75" s="129">
        <v>2439.5</v>
      </c>
      <c r="F75" s="129">
        <v>2906.3</v>
      </c>
      <c r="G75" s="129">
        <v>3901.6</v>
      </c>
      <c r="H75" s="122">
        <v>4941.8</v>
      </c>
      <c r="I75" s="122">
        <v>6524.2</v>
      </c>
      <c r="J75" s="122">
        <v>12839.6</v>
      </c>
      <c r="K75" s="122">
        <v>11328.7</v>
      </c>
      <c r="L75" s="129">
        <v>8954.2999999999993</v>
      </c>
      <c r="M75" s="129">
        <v>9938.5</v>
      </c>
      <c r="N75" s="129">
        <v>10925</v>
      </c>
      <c r="O75" s="129">
        <v>13396</v>
      </c>
      <c r="P75" s="129">
        <v>12996</v>
      </c>
      <c r="Q75" s="129">
        <v>13182.3</v>
      </c>
      <c r="R75" s="129">
        <v>12214.239</v>
      </c>
      <c r="S75" s="129">
        <v>13972.99635104648</v>
      </c>
      <c r="T75" s="129">
        <v>14906.904000361807</v>
      </c>
      <c r="U75" s="129">
        <v>21663.989000000001</v>
      </c>
      <c r="V75" s="129">
        <v>23328.2</v>
      </c>
      <c r="W75" s="129">
        <v>24920.2</v>
      </c>
      <c r="X75" s="129">
        <v>27181.200000000001</v>
      </c>
      <c r="Y75" s="129">
        <v>30764.400000000001</v>
      </c>
      <c r="Z75" s="129">
        <v>35144.400000000001</v>
      </c>
    </row>
    <row r="76" spans="1:26" x14ac:dyDescent="0.25">
      <c r="A76" s="72" t="s">
        <v>61</v>
      </c>
      <c r="B76" s="129">
        <v>12199.8</v>
      </c>
      <c r="C76" s="129">
        <v>15261.9</v>
      </c>
      <c r="D76" s="129">
        <v>18305.099999999999</v>
      </c>
      <c r="E76" s="129">
        <v>22178.2</v>
      </c>
      <c r="F76" s="129">
        <v>29569</v>
      </c>
      <c r="G76" s="129">
        <v>42432.4</v>
      </c>
      <c r="H76" s="122">
        <v>58923.9</v>
      </c>
      <c r="I76" s="122">
        <v>87398.9</v>
      </c>
      <c r="J76" s="122">
        <v>114798.9</v>
      </c>
      <c r="K76" s="122">
        <v>74576.600000000006</v>
      </c>
      <c r="L76" s="129">
        <v>88889.600000000006</v>
      </c>
      <c r="M76" s="129">
        <v>106466.6</v>
      </c>
      <c r="N76" s="129">
        <v>112859.9</v>
      </c>
      <c r="O76" s="129">
        <v>107171.5</v>
      </c>
      <c r="P76" s="129">
        <v>107973.3</v>
      </c>
      <c r="Q76" s="129">
        <v>188056.5</v>
      </c>
      <c r="R76" s="129">
        <v>185497.96900000001</v>
      </c>
      <c r="S76" s="129">
        <v>188226.83927553761</v>
      </c>
      <c r="T76" s="129">
        <v>210622.79695200003</v>
      </c>
      <c r="U76" s="129">
        <v>199593.75399999999</v>
      </c>
      <c r="V76" s="129">
        <v>226786.9</v>
      </c>
      <c r="W76" s="129">
        <v>287594.5</v>
      </c>
      <c r="X76" s="129">
        <v>346597.2</v>
      </c>
      <c r="Y76" s="129">
        <v>450516.4</v>
      </c>
      <c r="Z76" s="129">
        <v>560169.6</v>
      </c>
    </row>
    <row r="77" spans="1:26" x14ac:dyDescent="0.25">
      <c r="A77" s="72" t="s">
        <v>62</v>
      </c>
      <c r="B77" s="129">
        <v>58964.4</v>
      </c>
      <c r="C77" s="129">
        <v>109718.39999999999</v>
      </c>
      <c r="D77" s="129">
        <v>121951.9</v>
      </c>
      <c r="E77" s="129">
        <v>154524.6</v>
      </c>
      <c r="F77" s="129">
        <v>154311.1</v>
      </c>
      <c r="G77" s="129">
        <v>172033.4</v>
      </c>
      <c r="H77" s="122">
        <v>210024.7</v>
      </c>
      <c r="I77" s="122">
        <v>311067.8</v>
      </c>
      <c r="J77" s="122">
        <v>446166.4</v>
      </c>
      <c r="K77" s="122">
        <v>407079.8</v>
      </c>
      <c r="L77" s="129">
        <v>426342.9</v>
      </c>
      <c r="M77" s="129">
        <v>455932.8</v>
      </c>
      <c r="N77" s="129">
        <v>514270.1</v>
      </c>
      <c r="O77" s="129">
        <v>506941.6</v>
      </c>
      <c r="P77" s="129">
        <v>515241.8</v>
      </c>
      <c r="Q77" s="129">
        <v>488850.3</v>
      </c>
      <c r="R77" s="129">
        <v>534031.84299999999</v>
      </c>
      <c r="S77" s="129">
        <v>565906.26889173989</v>
      </c>
      <c r="T77" s="129">
        <v>996360.70473592659</v>
      </c>
      <c r="U77" s="129">
        <v>933180.66098038014</v>
      </c>
      <c r="V77" s="129">
        <v>1116973.8</v>
      </c>
      <c r="W77" s="129">
        <v>1238933.8</v>
      </c>
      <c r="X77" s="129">
        <v>1274054.6000000001</v>
      </c>
      <c r="Y77" s="129">
        <v>1262262.7</v>
      </c>
      <c r="Z77" s="129">
        <v>1245020.7</v>
      </c>
    </row>
    <row r="78" spans="1:26" x14ac:dyDescent="0.25">
      <c r="A78" s="171" t="s">
        <v>63</v>
      </c>
      <c r="B78" s="129"/>
      <c r="C78" s="129"/>
      <c r="D78" s="129"/>
      <c r="E78" s="129"/>
      <c r="F78" s="129"/>
      <c r="G78" s="129"/>
      <c r="H78" s="122"/>
      <c r="I78" s="122"/>
      <c r="J78" s="122"/>
      <c r="K78" s="122"/>
      <c r="L78" s="129"/>
      <c r="M78" s="129"/>
      <c r="N78" s="129"/>
      <c r="O78" s="129"/>
      <c r="P78" s="129"/>
      <c r="Q78" s="129"/>
      <c r="R78" s="129"/>
      <c r="S78" s="129"/>
      <c r="T78" s="129"/>
      <c r="U78" s="12"/>
      <c r="V78" s="12"/>
      <c r="W78" s="129"/>
      <c r="X78" s="129"/>
      <c r="Y78" s="129"/>
    </row>
    <row r="79" spans="1:26" ht="19.5" x14ac:dyDescent="0.25">
      <c r="A79" s="172" t="s">
        <v>137</v>
      </c>
      <c r="B79" s="129">
        <v>31972.1</v>
      </c>
      <c r="C79" s="129">
        <v>52723.6</v>
      </c>
      <c r="D79" s="129">
        <v>53577.9</v>
      </c>
      <c r="E79" s="129">
        <v>63782.8</v>
      </c>
      <c r="F79" s="129">
        <v>55316.7</v>
      </c>
      <c r="G79" s="129">
        <v>71611.899999999994</v>
      </c>
      <c r="H79" s="122">
        <v>91832.9</v>
      </c>
      <c r="I79" s="122">
        <v>136900.29999999999</v>
      </c>
      <c r="J79" s="122">
        <v>181042.4</v>
      </c>
      <c r="K79" s="122">
        <v>164786.6</v>
      </c>
      <c r="L79" s="129">
        <v>176794.9</v>
      </c>
      <c r="M79" s="129">
        <v>219657.7</v>
      </c>
      <c r="N79" s="129">
        <v>246503.8</v>
      </c>
      <c r="O79" s="129">
        <v>229549.6</v>
      </c>
      <c r="P79" s="129">
        <v>217036.1</v>
      </c>
      <c r="Q79" s="129">
        <v>216178.1</v>
      </c>
      <c r="R79" s="129">
        <v>196975.367</v>
      </c>
      <c r="S79" s="129">
        <v>227074.91834695844</v>
      </c>
      <c r="T79" s="129">
        <v>336103.85999091144</v>
      </c>
      <c r="U79" s="129">
        <v>324683.80200000003</v>
      </c>
      <c r="V79" s="129">
        <v>367911.4</v>
      </c>
      <c r="W79" s="129">
        <v>400898.2</v>
      </c>
      <c r="X79" s="129">
        <v>417435.5</v>
      </c>
      <c r="Y79" s="129">
        <v>477540.3</v>
      </c>
      <c r="Z79" s="129">
        <v>543155.19999999995</v>
      </c>
    </row>
    <row r="80" spans="1:26" ht="19.5" x14ac:dyDescent="0.25">
      <c r="A80" s="172" t="s">
        <v>64</v>
      </c>
      <c r="B80" s="129">
        <v>21265.7</v>
      </c>
      <c r="C80" s="129">
        <v>47986.1</v>
      </c>
      <c r="D80" s="129">
        <v>58760.4</v>
      </c>
      <c r="E80" s="129">
        <v>78349.100000000006</v>
      </c>
      <c r="F80" s="129">
        <v>76176.3</v>
      </c>
      <c r="G80" s="129">
        <v>61704.6</v>
      </c>
      <c r="H80" s="122">
        <v>63740.5</v>
      </c>
      <c r="I80" s="122">
        <v>105093.9</v>
      </c>
      <c r="J80" s="122">
        <v>174684</v>
      </c>
      <c r="K80" s="122">
        <v>175915</v>
      </c>
      <c r="L80" s="129">
        <v>179857.3</v>
      </c>
      <c r="M80" s="129">
        <v>156558.9</v>
      </c>
      <c r="N80" s="129">
        <v>165026.20000000001</v>
      </c>
      <c r="O80" s="129">
        <v>141827.6</v>
      </c>
      <c r="P80" s="129">
        <v>151154.79999999999</v>
      </c>
      <c r="Q80" s="129">
        <v>138303.29999999999</v>
      </c>
      <c r="R80" s="129">
        <v>177220.45699999999</v>
      </c>
      <c r="S80" s="129">
        <v>157482.20000000001</v>
      </c>
      <c r="T80" s="129">
        <v>424490.0187453666</v>
      </c>
      <c r="U80" s="129">
        <v>389750.35398038023</v>
      </c>
      <c r="V80" s="129">
        <v>574861.6</v>
      </c>
      <c r="W80" s="129">
        <v>673927.6</v>
      </c>
      <c r="X80" s="129">
        <v>635916.1</v>
      </c>
      <c r="Y80" s="129">
        <v>558846.19999999995</v>
      </c>
      <c r="Z80" s="129">
        <v>481590.8</v>
      </c>
    </row>
    <row r="81" spans="1:26" ht="19.5" x14ac:dyDescent="0.25">
      <c r="A81" s="172" t="s">
        <v>160</v>
      </c>
      <c r="B81" s="129">
        <f>B77-B79-B80</f>
        <v>5726.6000000000022</v>
      </c>
      <c r="C81" s="129">
        <f>C77-C79-C80</f>
        <v>9008.6999999999971</v>
      </c>
      <c r="D81" s="129">
        <f>D77-D79-D80</f>
        <v>9613.5999999999985</v>
      </c>
      <c r="E81" s="129">
        <f>E77-E79-E80</f>
        <v>12392.699999999997</v>
      </c>
      <c r="F81" s="129">
        <f>F77-F79-F80</f>
        <v>22818.100000000006</v>
      </c>
      <c r="G81" s="129">
        <v>38716.9</v>
      </c>
      <c r="H81" s="122">
        <v>54451.300000000017</v>
      </c>
      <c r="I81" s="122">
        <v>69073.600000000006</v>
      </c>
      <c r="J81" s="122">
        <v>90440</v>
      </c>
      <c r="K81" s="122">
        <v>66378.199999999983</v>
      </c>
      <c r="L81" s="129">
        <v>69690.7</v>
      </c>
      <c r="M81" s="129">
        <v>79716.2</v>
      </c>
      <c r="N81" s="129">
        <v>102740.1</v>
      </c>
      <c r="O81" s="129">
        <v>135564.4</v>
      </c>
      <c r="P81" s="129">
        <v>147050.9</v>
      </c>
      <c r="Q81" s="129">
        <v>134369</v>
      </c>
      <c r="R81" s="129">
        <v>159836.01999999999</v>
      </c>
      <c r="S81" s="129">
        <v>181349.17159033191</v>
      </c>
      <c r="T81" s="129">
        <v>235766.82599964854</v>
      </c>
      <c r="U81" s="129">
        <v>218746.505</v>
      </c>
      <c r="V81" s="129">
        <v>174200.7</v>
      </c>
      <c r="W81" s="129">
        <v>164108</v>
      </c>
      <c r="X81" s="129">
        <v>220703</v>
      </c>
      <c r="Y81" s="129">
        <v>225876.2</v>
      </c>
      <c r="Z81" s="129">
        <v>220274.7</v>
      </c>
    </row>
    <row r="82" spans="1:26" x14ac:dyDescent="0.25">
      <c r="A82" s="72" t="s">
        <v>65</v>
      </c>
      <c r="B82" s="129">
        <v>11380.4</v>
      </c>
      <c r="C82" s="129">
        <v>14373.4</v>
      </c>
      <c r="D82" s="129">
        <v>13237.9</v>
      </c>
      <c r="E82" s="129">
        <v>17453.8</v>
      </c>
      <c r="F82" s="129">
        <v>20574.599999999999</v>
      </c>
      <c r="G82" s="129">
        <v>27456.799999999999</v>
      </c>
      <c r="H82" s="122">
        <v>31972.3</v>
      </c>
      <c r="I82" s="122">
        <v>51106.6</v>
      </c>
      <c r="J82" s="122">
        <v>79301.5</v>
      </c>
      <c r="K82" s="122">
        <v>49132.1</v>
      </c>
      <c r="L82" s="129">
        <v>54668.6</v>
      </c>
      <c r="M82" s="129">
        <v>65785.899999999994</v>
      </c>
      <c r="N82" s="129">
        <v>70891.7</v>
      </c>
      <c r="O82" s="129">
        <v>78704.3</v>
      </c>
      <c r="P82" s="129">
        <v>79898.100000000006</v>
      </c>
      <c r="Q82" s="129">
        <v>126398.8</v>
      </c>
      <c r="R82" s="129">
        <v>122698.553</v>
      </c>
      <c r="S82" s="129">
        <v>106437.95393838818</v>
      </c>
      <c r="T82" s="129">
        <v>109672.54300000001</v>
      </c>
      <c r="U82" s="129">
        <v>109931.105</v>
      </c>
      <c r="V82" s="129">
        <v>141116.6</v>
      </c>
      <c r="W82" s="129">
        <v>167146.70000000001</v>
      </c>
      <c r="X82" s="129">
        <v>213071.2</v>
      </c>
      <c r="Y82" s="129">
        <v>244714.8</v>
      </c>
      <c r="Z82" s="129">
        <v>326781.2</v>
      </c>
    </row>
    <row r="83" spans="1:26" ht="18" x14ac:dyDescent="0.25">
      <c r="A83" s="7" t="s">
        <v>100</v>
      </c>
      <c r="B83" s="123">
        <f>SUM(B84:B93)</f>
        <v>46866.8</v>
      </c>
      <c r="C83" s="123">
        <f>SUM(C84:C93)</f>
        <v>55797.9</v>
      </c>
      <c r="D83" s="123">
        <f>SUM(D84:D93)</f>
        <v>60180.3</v>
      </c>
      <c r="E83" s="123">
        <f>SUM(E84:E93)</f>
        <v>77962.100000000006</v>
      </c>
      <c r="F83" s="123">
        <f>SUM(F84:F93)</f>
        <v>99379.099999999991</v>
      </c>
      <c r="G83" s="123">
        <v>153980.5</v>
      </c>
      <c r="H83" s="124">
        <v>198330.8</v>
      </c>
      <c r="I83" s="124">
        <v>290595.10000000003</v>
      </c>
      <c r="J83" s="124">
        <v>369179.2</v>
      </c>
      <c r="K83" s="124">
        <v>313321.7</v>
      </c>
      <c r="L83" s="123">
        <v>377852.10000000003</v>
      </c>
      <c r="M83" s="123">
        <v>469761.10000000003</v>
      </c>
      <c r="N83" s="123">
        <v>552385.4</v>
      </c>
      <c r="O83" s="123">
        <v>567272.19999999995</v>
      </c>
      <c r="P83" s="123">
        <v>573930.19999999995</v>
      </c>
      <c r="Q83" s="123">
        <v>733398.4</v>
      </c>
      <c r="R83" s="123">
        <v>737558.69799999997</v>
      </c>
      <c r="S83" s="123">
        <v>741738.88482545421</v>
      </c>
      <c r="T83" s="123">
        <v>746459.41850866342</v>
      </c>
      <c r="U83" s="123">
        <v>862644.571</v>
      </c>
      <c r="V83" s="123">
        <v>887046</v>
      </c>
      <c r="W83" s="123">
        <v>1137098.6000000001</v>
      </c>
      <c r="X83" s="123">
        <v>1505319.1</v>
      </c>
      <c r="Y83" s="123">
        <v>1702607</v>
      </c>
      <c r="Z83" s="123">
        <v>1835348.2</v>
      </c>
    </row>
    <row r="84" spans="1:26" x14ac:dyDescent="0.25">
      <c r="A84" s="72" t="s">
        <v>66</v>
      </c>
      <c r="B84" s="129">
        <v>300</v>
      </c>
      <c r="C84" s="129">
        <v>657.8</v>
      </c>
      <c r="D84" s="129">
        <v>760.4</v>
      </c>
      <c r="E84" s="129">
        <v>842.1</v>
      </c>
      <c r="F84" s="129">
        <v>1529.9</v>
      </c>
      <c r="G84" s="129">
        <v>1881.4</v>
      </c>
      <c r="H84" s="122">
        <v>2818.7</v>
      </c>
      <c r="I84" s="122">
        <v>3766</v>
      </c>
      <c r="J84" s="122">
        <v>5227.8999999999996</v>
      </c>
      <c r="K84" s="122">
        <v>5453.7</v>
      </c>
      <c r="L84" s="129">
        <v>8320.7000000000007</v>
      </c>
      <c r="M84" s="129">
        <v>10481.6</v>
      </c>
      <c r="N84" s="129">
        <v>7137.1</v>
      </c>
      <c r="O84" s="129">
        <v>7196.6</v>
      </c>
      <c r="P84" s="129">
        <v>8013.4</v>
      </c>
      <c r="Q84" s="129">
        <v>6798.2</v>
      </c>
      <c r="R84" s="129">
        <v>7524.6220000000003</v>
      </c>
      <c r="S84" s="129">
        <v>6412.7877524411979</v>
      </c>
      <c r="T84" s="129">
        <v>9491.4139996302965</v>
      </c>
      <c r="U84" s="129">
        <v>11877.853999999999</v>
      </c>
      <c r="V84" s="129">
        <v>10132.200000000001</v>
      </c>
      <c r="W84" s="129">
        <v>8871.9</v>
      </c>
      <c r="X84" s="129">
        <v>22704.799999999999</v>
      </c>
      <c r="Y84" s="129">
        <v>42089.599999999999</v>
      </c>
      <c r="Z84" s="129">
        <v>32511.1</v>
      </c>
    </row>
    <row r="85" spans="1:26" x14ac:dyDescent="0.25">
      <c r="A85" s="72" t="s">
        <v>68</v>
      </c>
      <c r="B85" s="129">
        <v>152.4</v>
      </c>
      <c r="C85" s="129">
        <v>447.4</v>
      </c>
      <c r="D85" s="129">
        <v>548.5</v>
      </c>
      <c r="E85" s="129">
        <v>633.29999999999995</v>
      </c>
      <c r="F85" s="129">
        <v>634.29999999999995</v>
      </c>
      <c r="G85" s="129">
        <v>634.29999999999995</v>
      </c>
      <c r="H85" s="122">
        <v>652.6</v>
      </c>
      <c r="I85" s="122">
        <v>949.6</v>
      </c>
      <c r="J85" s="122">
        <v>1027.4000000000001</v>
      </c>
      <c r="K85" s="122">
        <v>2018</v>
      </c>
      <c r="L85" s="129">
        <v>2225.9</v>
      </c>
      <c r="M85" s="129">
        <v>2463.1999999999998</v>
      </c>
      <c r="N85" s="129">
        <v>2511.5</v>
      </c>
      <c r="O85" s="129">
        <v>4192.6000000000004</v>
      </c>
      <c r="P85" s="129">
        <v>5405</v>
      </c>
      <c r="Q85" s="129">
        <v>4783.3999999999996</v>
      </c>
      <c r="R85" s="129">
        <v>4922.7510000000002</v>
      </c>
      <c r="S85" s="129">
        <v>6549.6177161214791</v>
      </c>
      <c r="T85" s="129">
        <v>6391.9110000000001</v>
      </c>
      <c r="U85" s="129">
        <v>11062.234</v>
      </c>
      <c r="V85" s="129">
        <v>12104.3</v>
      </c>
      <c r="W85" s="129">
        <v>8976.6</v>
      </c>
      <c r="X85" s="129">
        <v>9541.7999999999993</v>
      </c>
      <c r="Y85" s="129">
        <v>17917.599999999999</v>
      </c>
      <c r="Z85" s="129">
        <v>26631.599999999999</v>
      </c>
    </row>
    <row r="86" spans="1:26" x14ac:dyDescent="0.25">
      <c r="A86" s="72" t="s">
        <v>69</v>
      </c>
      <c r="B86" s="129">
        <v>1380.7</v>
      </c>
      <c r="C86" s="129">
        <v>1663.8</v>
      </c>
      <c r="D86" s="129">
        <v>1593.9</v>
      </c>
      <c r="E86" s="129">
        <v>2224</v>
      </c>
      <c r="F86" s="129">
        <v>2823.6</v>
      </c>
      <c r="G86" s="129">
        <v>6682.4</v>
      </c>
      <c r="H86" s="122">
        <v>8014.2</v>
      </c>
      <c r="I86" s="122">
        <v>6350.5</v>
      </c>
      <c r="J86" s="122">
        <v>6531.9</v>
      </c>
      <c r="K86" s="122">
        <v>6040.7</v>
      </c>
      <c r="L86" s="129">
        <v>7602</v>
      </c>
      <c r="M86" s="129">
        <v>10027.299999999999</v>
      </c>
      <c r="N86" s="129">
        <v>12852.4</v>
      </c>
      <c r="O86" s="129">
        <v>14884.1</v>
      </c>
      <c r="P86" s="129">
        <v>12306.8</v>
      </c>
      <c r="Q86" s="129">
        <v>14770.1</v>
      </c>
      <c r="R86" s="129">
        <v>15056.486000000001</v>
      </c>
      <c r="S86" s="129">
        <v>14544.788226923678</v>
      </c>
      <c r="T86" s="129">
        <v>15348.008999999976</v>
      </c>
      <c r="U86" s="129">
        <v>17967.713</v>
      </c>
      <c r="V86" s="129">
        <v>19812.099999999999</v>
      </c>
      <c r="W86" s="129">
        <v>21377.8</v>
      </c>
      <c r="X86" s="129">
        <v>26569.3</v>
      </c>
      <c r="Y86" s="129">
        <v>33140.300000000003</v>
      </c>
      <c r="Z86" s="129">
        <v>38696.699999999997</v>
      </c>
    </row>
    <row r="87" spans="1:26" x14ac:dyDescent="0.25">
      <c r="A87" s="72" t="s">
        <v>70</v>
      </c>
      <c r="B87" s="129">
        <v>4765</v>
      </c>
      <c r="C87" s="129">
        <v>3135.4</v>
      </c>
      <c r="D87" s="129">
        <v>3621.4</v>
      </c>
      <c r="E87" s="129">
        <v>5408.8</v>
      </c>
      <c r="F87" s="129">
        <v>6565</v>
      </c>
      <c r="G87" s="129">
        <v>10743</v>
      </c>
      <c r="H87" s="122">
        <v>14789.4</v>
      </c>
      <c r="I87" s="122">
        <v>22000.5</v>
      </c>
      <c r="J87" s="122">
        <v>26020.6</v>
      </c>
      <c r="K87" s="122">
        <v>16573.099999999999</v>
      </c>
      <c r="L87" s="129">
        <v>20881.3</v>
      </c>
      <c r="M87" s="129">
        <v>27396.5</v>
      </c>
      <c r="N87" s="129">
        <v>29863.8</v>
      </c>
      <c r="O87" s="129">
        <v>34108.6</v>
      </c>
      <c r="P87" s="129">
        <v>34630.699999999997</v>
      </c>
      <c r="Q87" s="129">
        <v>52207.4</v>
      </c>
      <c r="R87" s="129">
        <v>45834.046999999999</v>
      </c>
      <c r="S87" s="129">
        <v>56493.5276206337</v>
      </c>
      <c r="T87" s="129">
        <v>54195.62072391071</v>
      </c>
      <c r="U87" s="129">
        <v>58395.205999999998</v>
      </c>
      <c r="V87" s="129">
        <v>67043</v>
      </c>
      <c r="W87" s="129">
        <v>79113</v>
      </c>
      <c r="X87" s="129">
        <v>81457.7</v>
      </c>
      <c r="Y87" s="129">
        <v>94032.6</v>
      </c>
      <c r="Z87" s="129">
        <v>108835.8</v>
      </c>
    </row>
    <row r="88" spans="1:26" x14ac:dyDescent="0.25">
      <c r="A88" s="72" t="s">
        <v>72</v>
      </c>
      <c r="B88" s="129">
        <v>12370.8</v>
      </c>
      <c r="C88" s="129">
        <v>15896.5</v>
      </c>
      <c r="D88" s="129">
        <v>15673.9</v>
      </c>
      <c r="E88" s="129">
        <v>18637.8</v>
      </c>
      <c r="F88" s="129">
        <v>19124.7</v>
      </c>
      <c r="G88" s="129">
        <v>24634.7</v>
      </c>
      <c r="H88" s="122">
        <v>31508.1</v>
      </c>
      <c r="I88" s="122">
        <v>47268.3</v>
      </c>
      <c r="J88" s="122">
        <v>65046.1</v>
      </c>
      <c r="K88" s="122">
        <v>78632.3</v>
      </c>
      <c r="L88" s="129">
        <v>87265.2</v>
      </c>
      <c r="M88" s="129">
        <v>107462.7</v>
      </c>
      <c r="N88" s="129">
        <v>133576.1</v>
      </c>
      <c r="O88" s="129">
        <v>135541.6</v>
      </c>
      <c r="P88" s="129">
        <v>133530.5</v>
      </c>
      <c r="Q88" s="129">
        <v>185744.2</v>
      </c>
      <c r="R88" s="129">
        <v>201674.60200000001</v>
      </c>
      <c r="S88" s="129">
        <v>177180.94930633553</v>
      </c>
      <c r="T88" s="129">
        <v>165170.875</v>
      </c>
      <c r="U88" s="129">
        <v>157227.24</v>
      </c>
      <c r="V88" s="129">
        <v>176762.5</v>
      </c>
      <c r="W88" s="129">
        <v>226482.9</v>
      </c>
      <c r="X88" s="129">
        <v>352243.3</v>
      </c>
      <c r="Y88" s="129">
        <v>424975.5</v>
      </c>
      <c r="Z88" s="129">
        <v>529145.4</v>
      </c>
    </row>
    <row r="89" spans="1:26" x14ac:dyDescent="0.25">
      <c r="A89" s="72" t="s">
        <v>73</v>
      </c>
      <c r="B89" s="129">
        <v>6511.9</v>
      </c>
      <c r="C89" s="129">
        <v>8400.4</v>
      </c>
      <c r="D89" s="129">
        <v>7577.2</v>
      </c>
      <c r="E89" s="129">
        <v>10193.799999999999</v>
      </c>
      <c r="F89" s="129">
        <v>14917.2</v>
      </c>
      <c r="G89" s="129">
        <v>20544.400000000001</v>
      </c>
      <c r="H89" s="122">
        <v>28107.200000000001</v>
      </c>
      <c r="I89" s="122">
        <v>45445.2</v>
      </c>
      <c r="J89" s="122">
        <v>50022.9</v>
      </c>
      <c r="K89" s="122">
        <v>47795.8</v>
      </c>
      <c r="L89" s="129">
        <v>55017.7</v>
      </c>
      <c r="M89" s="129">
        <v>63825.4</v>
      </c>
      <c r="N89" s="129">
        <v>89331.9</v>
      </c>
      <c r="O89" s="129">
        <v>94617</v>
      </c>
      <c r="P89" s="129">
        <v>89312.6</v>
      </c>
      <c r="Q89" s="129">
        <v>98839.4</v>
      </c>
      <c r="R89" s="129">
        <v>131835.96</v>
      </c>
      <c r="S89" s="129">
        <v>130347.82739018851</v>
      </c>
      <c r="T89" s="129">
        <v>113826.4148611</v>
      </c>
      <c r="U89" s="129">
        <v>158311.37100000001</v>
      </c>
      <c r="V89" s="129">
        <v>164413.5</v>
      </c>
      <c r="W89" s="129">
        <v>280899</v>
      </c>
      <c r="X89" s="129">
        <v>398189.2</v>
      </c>
      <c r="Y89" s="129">
        <v>390939.2</v>
      </c>
      <c r="Z89" s="129">
        <v>308320.7</v>
      </c>
    </row>
    <row r="90" spans="1:26" x14ac:dyDescent="0.25">
      <c r="A90" s="72" t="s">
        <v>74</v>
      </c>
      <c r="B90" s="129">
        <v>8281.2000000000007</v>
      </c>
      <c r="C90" s="129">
        <v>9871.2000000000007</v>
      </c>
      <c r="D90" s="129">
        <v>10878.1</v>
      </c>
      <c r="E90" s="129">
        <v>13373</v>
      </c>
      <c r="F90" s="129">
        <v>19320.400000000001</v>
      </c>
      <c r="G90" s="129">
        <v>35251.699999999997</v>
      </c>
      <c r="H90" s="122">
        <v>42033.2</v>
      </c>
      <c r="I90" s="122">
        <v>58041.9</v>
      </c>
      <c r="J90" s="122">
        <v>79178.100000000006</v>
      </c>
      <c r="K90" s="122">
        <v>62134.2</v>
      </c>
      <c r="L90" s="129">
        <v>69863</v>
      </c>
      <c r="M90" s="129">
        <v>102265.8</v>
      </c>
      <c r="N90" s="129">
        <v>114065.1</v>
      </c>
      <c r="O90" s="129">
        <v>111660.2</v>
      </c>
      <c r="P90" s="129">
        <v>121652</v>
      </c>
      <c r="Q90" s="129">
        <v>111619.6</v>
      </c>
      <c r="R90" s="129">
        <v>95732.472999999998</v>
      </c>
      <c r="S90" s="129">
        <v>117662.32229064606</v>
      </c>
      <c r="T90" s="129">
        <v>130050.56399999998</v>
      </c>
      <c r="U90" s="129">
        <v>156019.226</v>
      </c>
      <c r="V90" s="129">
        <v>130829.3</v>
      </c>
      <c r="W90" s="129">
        <v>160187</v>
      </c>
      <c r="X90" s="129">
        <v>186842.9</v>
      </c>
      <c r="Y90" s="129">
        <v>214688.6</v>
      </c>
      <c r="Z90" s="129">
        <v>229336</v>
      </c>
    </row>
    <row r="91" spans="1:26" x14ac:dyDescent="0.25">
      <c r="A91" s="72" t="s">
        <v>75</v>
      </c>
      <c r="B91" s="129">
        <v>7166.4</v>
      </c>
      <c r="C91" s="129">
        <v>6210.2</v>
      </c>
      <c r="D91" s="129">
        <v>7113.2</v>
      </c>
      <c r="E91" s="129">
        <v>10100.9</v>
      </c>
      <c r="F91" s="129">
        <v>11805.8</v>
      </c>
      <c r="G91" s="129">
        <v>15750.1</v>
      </c>
      <c r="H91" s="122">
        <v>21311.7</v>
      </c>
      <c r="I91" s="122">
        <v>36380.6</v>
      </c>
      <c r="J91" s="122">
        <v>47942.8</v>
      </c>
      <c r="K91" s="122">
        <v>31045.4</v>
      </c>
      <c r="L91" s="129">
        <v>52873.9</v>
      </c>
      <c r="M91" s="129">
        <v>56372.7</v>
      </c>
      <c r="N91" s="129">
        <v>66337.899999999994</v>
      </c>
      <c r="O91" s="129">
        <v>69909.2</v>
      </c>
      <c r="P91" s="129">
        <v>68539.199999999997</v>
      </c>
      <c r="Q91" s="129">
        <v>142304.20000000001</v>
      </c>
      <c r="R91" s="129">
        <v>114883.5</v>
      </c>
      <c r="S91" s="129">
        <v>117545.62935727938</v>
      </c>
      <c r="T91" s="129">
        <v>132879.44300000006</v>
      </c>
      <c r="U91" s="129">
        <v>137383.08799999999</v>
      </c>
      <c r="V91" s="129">
        <v>149076.9</v>
      </c>
      <c r="W91" s="129">
        <v>170450</v>
      </c>
      <c r="X91" s="129">
        <v>219139.8</v>
      </c>
      <c r="Y91" s="129">
        <v>279077</v>
      </c>
      <c r="Z91" s="129">
        <v>348415.7</v>
      </c>
    </row>
    <row r="92" spans="1:26" x14ac:dyDescent="0.25">
      <c r="A92" s="72" t="s">
        <v>76</v>
      </c>
      <c r="B92" s="129">
        <v>2549.1</v>
      </c>
      <c r="C92" s="129">
        <v>3553.4</v>
      </c>
      <c r="D92" s="129">
        <v>5372.8</v>
      </c>
      <c r="E92" s="129">
        <v>8023</v>
      </c>
      <c r="F92" s="129">
        <v>11946.3</v>
      </c>
      <c r="G92" s="129">
        <v>21401.9</v>
      </c>
      <c r="H92" s="122">
        <v>26013.3</v>
      </c>
      <c r="I92" s="122">
        <v>38353.1</v>
      </c>
      <c r="J92" s="122">
        <v>52220.5</v>
      </c>
      <c r="K92" s="122">
        <v>33726.800000000003</v>
      </c>
      <c r="L92" s="129">
        <v>42953.7</v>
      </c>
      <c r="M92" s="129">
        <v>50613.5</v>
      </c>
      <c r="N92" s="129">
        <v>58037.2</v>
      </c>
      <c r="O92" s="129">
        <v>60713.2</v>
      </c>
      <c r="P92" s="129">
        <v>61925.8</v>
      </c>
      <c r="Q92" s="129">
        <v>63374.400000000001</v>
      </c>
      <c r="R92" s="129">
        <v>62668.415000000001</v>
      </c>
      <c r="S92" s="129">
        <v>64752.010248429957</v>
      </c>
      <c r="T92" s="129">
        <v>74079.084961257235</v>
      </c>
      <c r="U92" s="129">
        <v>99500.437999999995</v>
      </c>
      <c r="V92" s="129">
        <v>98666.3</v>
      </c>
      <c r="W92" s="129">
        <v>111892.8</v>
      </c>
      <c r="X92" s="129">
        <v>138706.6</v>
      </c>
      <c r="Y92" s="129">
        <v>129971.1</v>
      </c>
      <c r="Z92" s="129">
        <v>128308.1</v>
      </c>
    </row>
    <row r="93" spans="1:26" x14ac:dyDescent="0.25">
      <c r="A93" s="72" t="s">
        <v>77</v>
      </c>
      <c r="B93" s="129">
        <v>3389.3</v>
      </c>
      <c r="C93" s="129">
        <v>5961.8</v>
      </c>
      <c r="D93" s="129">
        <v>7040.9</v>
      </c>
      <c r="E93" s="129">
        <v>8525.4</v>
      </c>
      <c r="F93" s="129">
        <v>10711.9</v>
      </c>
      <c r="G93" s="129">
        <v>16456.599999999999</v>
      </c>
      <c r="H93" s="122">
        <v>23082.400000000001</v>
      </c>
      <c r="I93" s="122">
        <v>32039.4</v>
      </c>
      <c r="J93" s="122">
        <v>35961</v>
      </c>
      <c r="K93" s="122">
        <v>29901.7</v>
      </c>
      <c r="L93" s="129">
        <v>30848.7</v>
      </c>
      <c r="M93" s="129">
        <v>38852.400000000001</v>
      </c>
      <c r="N93" s="129">
        <v>38672.400000000001</v>
      </c>
      <c r="O93" s="129">
        <v>34449.1</v>
      </c>
      <c r="P93" s="129">
        <v>38614.199999999997</v>
      </c>
      <c r="Q93" s="129">
        <v>52957.5</v>
      </c>
      <c r="R93" s="129">
        <v>57425.841999999997</v>
      </c>
      <c r="S93" s="129">
        <v>50249.424916454685</v>
      </c>
      <c r="T93" s="129">
        <v>45026.081962765202</v>
      </c>
      <c r="U93" s="129">
        <v>54900.201000000001</v>
      </c>
      <c r="V93" s="129">
        <v>58205.9</v>
      </c>
      <c r="W93" s="129">
        <v>68847.399999999994</v>
      </c>
      <c r="X93" s="129">
        <v>69923.7</v>
      </c>
      <c r="Y93" s="129">
        <v>75775.5</v>
      </c>
      <c r="Z93" s="129">
        <v>85147</v>
      </c>
    </row>
    <row r="94" spans="1:26" ht="18" x14ac:dyDescent="0.25">
      <c r="A94" s="7" t="s">
        <v>181</v>
      </c>
      <c r="B94" s="123">
        <f>SUM(B95:B105)</f>
        <v>31857.000000000004</v>
      </c>
      <c r="C94" s="123">
        <f>SUM(C95:C105)</f>
        <v>53791.5</v>
      </c>
      <c r="D94" s="123">
        <f>SUM(D95:D105)</f>
        <v>59870</v>
      </c>
      <c r="E94" s="123">
        <f>SUM(E95:E105)</f>
        <v>83849.799999999988</v>
      </c>
      <c r="F94" s="123">
        <f>SUM(F95:F105)</f>
        <v>103442.70000000001</v>
      </c>
      <c r="G94" s="123">
        <v>155066.6</v>
      </c>
      <c r="H94" s="124">
        <v>190468.3</v>
      </c>
      <c r="I94" s="124">
        <v>244043.39999999997</v>
      </c>
      <c r="J94" s="124">
        <v>285745.40000000002</v>
      </c>
      <c r="K94" s="124">
        <v>315744</v>
      </c>
      <c r="L94" s="123">
        <v>373372.10000000003</v>
      </c>
      <c r="M94" s="123">
        <v>441553.8</v>
      </c>
      <c r="N94" s="123">
        <v>427691.90000000008</v>
      </c>
      <c r="O94" s="123">
        <v>391119.8</v>
      </c>
      <c r="P94" s="123">
        <v>371625.6</v>
      </c>
      <c r="Q94" s="123">
        <v>434607.6</v>
      </c>
      <c r="R94" s="123">
        <v>480746.98200000002</v>
      </c>
      <c r="S94" s="123">
        <v>546663.06863229442</v>
      </c>
      <c r="T94" s="123">
        <v>601734.08820326079</v>
      </c>
      <c r="U94" s="123">
        <v>831580.03</v>
      </c>
      <c r="V94" s="123">
        <v>831736.1</v>
      </c>
      <c r="W94" s="123">
        <v>895177.4</v>
      </c>
      <c r="X94" s="123">
        <v>1141350</v>
      </c>
      <c r="Y94" s="123">
        <v>1480374.8</v>
      </c>
      <c r="Z94" s="123">
        <v>1495020.3</v>
      </c>
    </row>
    <row r="95" spans="1:26" x14ac:dyDescent="0.25">
      <c r="A95" s="72" t="s">
        <v>67</v>
      </c>
      <c r="B95" s="129">
        <v>2036.3</v>
      </c>
      <c r="C95" s="129">
        <v>3555.3</v>
      </c>
      <c r="D95" s="129">
        <v>3423.8</v>
      </c>
      <c r="E95" s="129">
        <v>5203.8</v>
      </c>
      <c r="F95" s="129">
        <v>4654.1000000000004</v>
      </c>
      <c r="G95" s="129">
        <v>5038.8</v>
      </c>
      <c r="H95" s="122">
        <v>7102.9</v>
      </c>
      <c r="I95" s="122">
        <v>9038.9</v>
      </c>
      <c r="J95" s="122">
        <v>12284</v>
      </c>
      <c r="K95" s="122">
        <v>14707.6</v>
      </c>
      <c r="L95" s="129">
        <v>15947.9</v>
      </c>
      <c r="M95" s="129">
        <v>19990.099999999999</v>
      </c>
      <c r="N95" s="129">
        <v>21104</v>
      </c>
      <c r="O95" s="129">
        <v>20306.7</v>
      </c>
      <c r="P95" s="129">
        <v>20276.2</v>
      </c>
      <c r="Q95" s="129">
        <v>20703</v>
      </c>
      <c r="R95" s="129">
        <v>23580.341</v>
      </c>
      <c r="S95" s="129">
        <v>31505.086021311388</v>
      </c>
      <c r="T95" s="129">
        <v>27559.777968000002</v>
      </c>
      <c r="U95" s="129">
        <v>27770.83</v>
      </c>
      <c r="V95" s="129">
        <v>29194.799999999999</v>
      </c>
      <c r="W95" s="129">
        <v>29376.2</v>
      </c>
      <c r="X95" s="129">
        <v>75314.100000000006</v>
      </c>
      <c r="Y95" s="129">
        <v>79506.899999999994</v>
      </c>
      <c r="Z95" s="129">
        <v>64711.199999999997</v>
      </c>
    </row>
    <row r="96" spans="1:26" x14ac:dyDescent="0.25">
      <c r="A96" s="72" t="s">
        <v>78</v>
      </c>
      <c r="B96" s="129">
        <v>7706.5</v>
      </c>
      <c r="C96" s="129">
        <v>11906.6</v>
      </c>
      <c r="D96" s="129">
        <v>12632.9</v>
      </c>
      <c r="E96" s="129">
        <v>14824.2</v>
      </c>
      <c r="F96" s="129">
        <v>17004.3</v>
      </c>
      <c r="G96" s="129">
        <v>21159.7</v>
      </c>
      <c r="H96" s="122">
        <v>26743.5</v>
      </c>
      <c r="I96" s="122">
        <v>40255.199999999997</v>
      </c>
      <c r="J96" s="122">
        <v>51463.1</v>
      </c>
      <c r="K96" s="122">
        <v>68387.5</v>
      </c>
      <c r="L96" s="129">
        <v>48965.8</v>
      </c>
      <c r="M96" s="129">
        <v>58585.1</v>
      </c>
      <c r="N96" s="129">
        <v>70534.3</v>
      </c>
      <c r="O96" s="129">
        <v>65690.5</v>
      </c>
      <c r="P96" s="129">
        <v>70018.899999999994</v>
      </c>
      <c r="Q96" s="129">
        <v>91467.4</v>
      </c>
      <c r="R96" s="129">
        <v>115985.564</v>
      </c>
      <c r="S96" s="129">
        <v>151127.36836121354</v>
      </c>
      <c r="T96" s="129">
        <v>165442.2998537028</v>
      </c>
      <c r="U96" s="129">
        <v>197693.56700000004</v>
      </c>
      <c r="V96" s="129">
        <v>114877.7</v>
      </c>
      <c r="W96" s="129">
        <v>138603.29999999999</v>
      </c>
      <c r="X96" s="129">
        <v>209654.7</v>
      </c>
      <c r="Y96" s="129">
        <v>318437</v>
      </c>
      <c r="Z96" s="129">
        <v>330255.7</v>
      </c>
    </row>
    <row r="97" spans="1:26" x14ac:dyDescent="0.25">
      <c r="A97" s="72" t="s">
        <v>71</v>
      </c>
      <c r="B97" s="129">
        <v>2715.6</v>
      </c>
      <c r="C97" s="129">
        <v>4537.7</v>
      </c>
      <c r="D97" s="129">
        <v>4165.6000000000004</v>
      </c>
      <c r="E97" s="129">
        <v>6269.5</v>
      </c>
      <c r="F97" s="129">
        <v>5876.6</v>
      </c>
      <c r="G97" s="129">
        <v>7144.8</v>
      </c>
      <c r="H97" s="122">
        <v>9957.2999999999993</v>
      </c>
      <c r="I97" s="122">
        <v>17603.400000000001</v>
      </c>
      <c r="J97" s="122">
        <v>25206.400000000001</v>
      </c>
      <c r="K97" s="122">
        <v>23323.4</v>
      </c>
      <c r="L97" s="129">
        <v>17618.3</v>
      </c>
      <c r="M97" s="129">
        <v>20437.2</v>
      </c>
      <c r="N97" s="129">
        <v>22997.8</v>
      </c>
      <c r="O97" s="129">
        <v>24968.3</v>
      </c>
      <c r="P97" s="129">
        <v>24379.5</v>
      </c>
      <c r="Q97" s="129">
        <v>25560.9</v>
      </c>
      <c r="R97" s="129">
        <v>28749.866000000002</v>
      </c>
      <c r="S97" s="129">
        <v>30516.904593149498</v>
      </c>
      <c r="T97" s="129">
        <v>29594.973002747458</v>
      </c>
      <c r="U97" s="129">
        <v>31565.37</v>
      </c>
      <c r="V97" s="129">
        <v>44526.9</v>
      </c>
      <c r="W97" s="129">
        <v>47596.4</v>
      </c>
      <c r="X97" s="129">
        <v>63810.2</v>
      </c>
      <c r="Y97" s="129">
        <v>83155.7</v>
      </c>
      <c r="Z97" s="129">
        <v>79918.399999999994</v>
      </c>
    </row>
    <row r="98" spans="1:26" x14ac:dyDescent="0.25">
      <c r="A98" s="72" t="s">
        <v>79</v>
      </c>
      <c r="B98" s="129">
        <v>1508.5</v>
      </c>
      <c r="C98" s="129">
        <v>1980.7</v>
      </c>
      <c r="D98" s="129">
        <v>2174.8000000000002</v>
      </c>
      <c r="E98" s="129">
        <v>2670.1</v>
      </c>
      <c r="F98" s="129">
        <v>3164.4</v>
      </c>
      <c r="G98" s="129">
        <v>4054.6</v>
      </c>
      <c r="H98" s="122">
        <v>4802.2</v>
      </c>
      <c r="I98" s="122">
        <v>6259.3</v>
      </c>
      <c r="J98" s="122">
        <v>9597.9</v>
      </c>
      <c r="K98" s="122">
        <v>15692.6</v>
      </c>
      <c r="L98" s="129">
        <v>16825.900000000001</v>
      </c>
      <c r="M98" s="129">
        <v>17183.8</v>
      </c>
      <c r="N98" s="129">
        <v>16615.099999999999</v>
      </c>
      <c r="O98" s="129">
        <v>17985.5</v>
      </c>
      <c r="P98" s="129">
        <v>16435.3</v>
      </c>
      <c r="Q98" s="129">
        <v>17306.400000000001</v>
      </c>
      <c r="R98" s="129">
        <v>22988.784</v>
      </c>
      <c r="S98" s="129">
        <v>23113.740141910941</v>
      </c>
      <c r="T98" s="129">
        <v>23437.396199999999</v>
      </c>
      <c r="U98" s="129">
        <v>23868.180000000004</v>
      </c>
      <c r="V98" s="129">
        <v>24033.1</v>
      </c>
      <c r="W98" s="129">
        <v>32727.4</v>
      </c>
      <c r="X98" s="129">
        <v>42101.7</v>
      </c>
      <c r="Y98" s="129">
        <v>36870.9</v>
      </c>
      <c r="Z98" s="129">
        <v>42580</v>
      </c>
    </row>
    <row r="99" spans="1:26" x14ac:dyDescent="0.25">
      <c r="A99" s="72" t="s">
        <v>80</v>
      </c>
      <c r="B99" s="129">
        <v>4507.3</v>
      </c>
      <c r="C99" s="129">
        <v>5652.2</v>
      </c>
      <c r="D99" s="129">
        <v>7150</v>
      </c>
      <c r="E99" s="129">
        <v>9393.2999999999993</v>
      </c>
      <c r="F99" s="129">
        <v>11462.8</v>
      </c>
      <c r="G99" s="129">
        <v>14058.7</v>
      </c>
      <c r="H99" s="122">
        <v>18455.7</v>
      </c>
      <c r="I99" s="122">
        <v>24254.799999999999</v>
      </c>
      <c r="J99" s="122">
        <v>34759.4</v>
      </c>
      <c r="K99" s="122">
        <v>63740</v>
      </c>
      <c r="L99" s="129">
        <v>96166.1</v>
      </c>
      <c r="M99" s="129">
        <v>123825.9</v>
      </c>
      <c r="N99" s="129">
        <v>86178.2</v>
      </c>
      <c r="O99" s="129">
        <v>62685.599999999999</v>
      </c>
      <c r="P99" s="129">
        <v>54269.7</v>
      </c>
      <c r="Q99" s="129">
        <v>62960.2</v>
      </c>
      <c r="R99" s="129">
        <v>66936.601999999999</v>
      </c>
      <c r="S99" s="129">
        <v>72270.181574660543</v>
      </c>
      <c r="T99" s="129">
        <v>71887.280910415197</v>
      </c>
      <c r="U99" s="129">
        <v>96894.974999999991</v>
      </c>
      <c r="V99" s="129">
        <v>116789.7</v>
      </c>
      <c r="W99" s="129">
        <v>123638.5</v>
      </c>
      <c r="X99" s="129">
        <v>154120.9</v>
      </c>
      <c r="Y99" s="129">
        <v>194792.9</v>
      </c>
      <c r="Z99" s="129">
        <v>211221.3</v>
      </c>
    </row>
    <row r="100" spans="1:26" x14ac:dyDescent="0.25">
      <c r="A100" s="72" t="s">
        <v>130</v>
      </c>
      <c r="B100" s="129">
        <v>5459.1</v>
      </c>
      <c r="C100" s="129">
        <v>8669</v>
      </c>
      <c r="D100" s="129">
        <v>9553.2000000000007</v>
      </c>
      <c r="E100" s="129">
        <v>12593.9</v>
      </c>
      <c r="F100" s="129">
        <v>18213</v>
      </c>
      <c r="G100" s="129">
        <v>23505.7</v>
      </c>
      <c r="H100" s="122">
        <v>27677</v>
      </c>
      <c r="I100" s="122">
        <v>31726.2</v>
      </c>
      <c r="J100" s="122">
        <v>38977.4</v>
      </c>
      <c r="K100" s="122">
        <v>41116.800000000003</v>
      </c>
      <c r="L100" s="129">
        <v>70828.100000000006</v>
      </c>
      <c r="M100" s="129">
        <v>67149.5</v>
      </c>
      <c r="N100" s="129">
        <v>69609.8</v>
      </c>
      <c r="O100" s="129">
        <v>61327.8</v>
      </c>
      <c r="P100" s="129">
        <v>56177.2</v>
      </c>
      <c r="Q100" s="129">
        <v>59323</v>
      </c>
      <c r="R100" s="129">
        <v>59775.078000000001</v>
      </c>
      <c r="S100" s="129">
        <v>58097.451600694141</v>
      </c>
      <c r="T100" s="129">
        <v>70824.310922589968</v>
      </c>
      <c r="U100" s="129">
        <v>85794.613000000012</v>
      </c>
      <c r="V100" s="129">
        <v>101782.8</v>
      </c>
      <c r="W100" s="129">
        <v>122096.3</v>
      </c>
      <c r="X100" s="129">
        <v>134198.5</v>
      </c>
      <c r="Y100" s="129">
        <v>208166</v>
      </c>
      <c r="Z100" s="129">
        <v>246240.5</v>
      </c>
    </row>
    <row r="101" spans="1:26" x14ac:dyDescent="0.25">
      <c r="A101" s="72" t="s">
        <v>82</v>
      </c>
      <c r="B101" s="129">
        <v>2050.4</v>
      </c>
      <c r="C101" s="129">
        <v>10080</v>
      </c>
      <c r="D101" s="129">
        <v>9001.4</v>
      </c>
      <c r="E101" s="129">
        <v>11129.6</v>
      </c>
      <c r="F101" s="129">
        <v>10830.3</v>
      </c>
      <c r="G101" s="129">
        <v>13696.6</v>
      </c>
      <c r="H101" s="122">
        <v>14232.1</v>
      </c>
      <c r="I101" s="122">
        <v>22078.1</v>
      </c>
      <c r="J101" s="122">
        <v>27153.9</v>
      </c>
      <c r="K101" s="122">
        <v>27875.8</v>
      </c>
      <c r="L101" s="129">
        <v>31135.200000000001</v>
      </c>
      <c r="M101" s="129">
        <v>34335.800000000003</v>
      </c>
      <c r="N101" s="129">
        <v>38492.5</v>
      </c>
      <c r="O101" s="129">
        <v>33463.5</v>
      </c>
      <c r="P101" s="129">
        <v>31658.9</v>
      </c>
      <c r="Q101" s="129">
        <v>50477.9</v>
      </c>
      <c r="R101" s="129">
        <v>52830.618999999999</v>
      </c>
      <c r="S101" s="129">
        <v>82527.399479483516</v>
      </c>
      <c r="T101" s="129">
        <v>110181.98019920592</v>
      </c>
      <c r="U101" s="129">
        <v>247162.04</v>
      </c>
      <c r="V101" s="129">
        <v>266353.3</v>
      </c>
      <c r="W101" s="129">
        <v>253095.4</v>
      </c>
      <c r="X101" s="129">
        <v>268243.90000000002</v>
      </c>
      <c r="Y101" s="129">
        <v>331502.2</v>
      </c>
      <c r="Z101" s="129">
        <v>303062</v>
      </c>
    </row>
    <row r="102" spans="1:26" x14ac:dyDescent="0.25">
      <c r="A102" s="72" t="s">
        <v>83</v>
      </c>
      <c r="B102" s="129">
        <v>1077.4000000000001</v>
      </c>
      <c r="C102" s="129">
        <v>1347.8</v>
      </c>
      <c r="D102" s="129">
        <v>1785.9</v>
      </c>
      <c r="E102" s="129">
        <v>1929.8</v>
      </c>
      <c r="F102" s="129">
        <v>1800.5</v>
      </c>
      <c r="G102" s="129">
        <v>2358.6999999999998</v>
      </c>
      <c r="H102" s="122">
        <v>3078.4</v>
      </c>
      <c r="I102" s="122">
        <v>3458.5</v>
      </c>
      <c r="J102" s="122">
        <v>5288.1</v>
      </c>
      <c r="K102" s="122">
        <v>5653.1</v>
      </c>
      <c r="L102" s="129">
        <v>6992.7</v>
      </c>
      <c r="M102" s="129">
        <v>8946.2999999999993</v>
      </c>
      <c r="N102" s="129">
        <v>12716.2</v>
      </c>
      <c r="O102" s="129">
        <v>19480.2</v>
      </c>
      <c r="P102" s="129">
        <v>19155.599999999999</v>
      </c>
      <c r="Q102" s="129">
        <v>19995.3</v>
      </c>
      <c r="R102" s="129">
        <v>14666.427</v>
      </c>
      <c r="S102" s="129">
        <v>14139.854407439601</v>
      </c>
      <c r="T102" s="129">
        <v>14697.512121298199</v>
      </c>
      <c r="U102" s="129">
        <v>22426.38</v>
      </c>
      <c r="V102" s="129">
        <v>26967.3</v>
      </c>
      <c r="W102" s="129">
        <v>26005.9</v>
      </c>
      <c r="X102" s="129">
        <v>33247.800000000003</v>
      </c>
      <c r="Y102" s="129">
        <v>42399.1</v>
      </c>
      <c r="Z102" s="129">
        <v>38130.699999999997</v>
      </c>
    </row>
    <row r="103" spans="1:26" x14ac:dyDescent="0.25">
      <c r="A103" s="72" t="s">
        <v>84</v>
      </c>
      <c r="B103" s="129">
        <v>4141.6000000000004</v>
      </c>
      <c r="C103" s="129">
        <v>5056.8999999999996</v>
      </c>
      <c r="D103" s="129">
        <v>8156.7</v>
      </c>
      <c r="E103" s="129">
        <v>17030.5</v>
      </c>
      <c r="F103" s="129">
        <v>26549</v>
      </c>
      <c r="G103" s="129">
        <v>57702.9</v>
      </c>
      <c r="H103" s="122">
        <v>73093.8</v>
      </c>
      <c r="I103" s="122">
        <v>80372.2</v>
      </c>
      <c r="J103" s="122">
        <v>74916.100000000006</v>
      </c>
      <c r="K103" s="122">
        <v>49282.6</v>
      </c>
      <c r="L103" s="129">
        <v>55726</v>
      </c>
      <c r="M103" s="129">
        <v>77047.7</v>
      </c>
      <c r="N103" s="129">
        <v>77259.899999999994</v>
      </c>
      <c r="O103" s="129">
        <v>75081.899999999994</v>
      </c>
      <c r="P103" s="129">
        <v>71836.5</v>
      </c>
      <c r="Q103" s="129">
        <v>78574.100000000006</v>
      </c>
      <c r="R103" s="129">
        <v>86085.657000000007</v>
      </c>
      <c r="S103" s="129">
        <v>69539.532369169028</v>
      </c>
      <c r="T103" s="129">
        <v>70895.259000000005</v>
      </c>
      <c r="U103" s="129">
        <v>78412.968999999997</v>
      </c>
      <c r="V103" s="129">
        <v>87389.7</v>
      </c>
      <c r="W103" s="129">
        <v>95407.1</v>
      </c>
      <c r="X103" s="129">
        <v>132738.1</v>
      </c>
      <c r="Y103" s="129">
        <v>128791.8</v>
      </c>
      <c r="Z103" s="129">
        <v>130360.1</v>
      </c>
    </row>
    <row r="104" spans="1:26" ht="19.5" x14ac:dyDescent="0.25">
      <c r="A104" s="72" t="s">
        <v>85</v>
      </c>
      <c r="B104" s="129">
        <v>501.1</v>
      </c>
      <c r="C104" s="129">
        <v>720.6</v>
      </c>
      <c r="D104" s="129">
        <v>951.2</v>
      </c>
      <c r="E104" s="129">
        <v>1482.7</v>
      </c>
      <c r="F104" s="129">
        <v>2381.6</v>
      </c>
      <c r="G104" s="129">
        <v>4301.5</v>
      </c>
      <c r="H104" s="122">
        <v>3992.6</v>
      </c>
      <c r="I104" s="122">
        <v>6796.4</v>
      </c>
      <c r="J104" s="122">
        <v>4273.3999999999996</v>
      </c>
      <c r="K104" s="122">
        <v>4834</v>
      </c>
      <c r="L104" s="129">
        <v>11617.7</v>
      </c>
      <c r="M104" s="129">
        <v>12052</v>
      </c>
      <c r="N104" s="129">
        <v>9696.4</v>
      </c>
      <c r="O104" s="129">
        <v>8967.2000000000007</v>
      </c>
      <c r="P104" s="129">
        <v>6546</v>
      </c>
      <c r="Q104" s="129">
        <v>5014.8999999999996</v>
      </c>
      <c r="R104" s="129">
        <v>4868.7380000000003</v>
      </c>
      <c r="S104" s="129">
        <v>9968.3988827650428</v>
      </c>
      <c r="T104" s="129">
        <v>11440.721025434332</v>
      </c>
      <c r="U104" s="129">
        <v>10418.933999999999</v>
      </c>
      <c r="V104" s="129">
        <v>11580.4</v>
      </c>
      <c r="W104" s="129">
        <v>13569.5</v>
      </c>
      <c r="X104" s="129">
        <v>16105.6</v>
      </c>
      <c r="Y104" s="129">
        <v>24469.8</v>
      </c>
      <c r="Z104" s="129">
        <v>26268.3</v>
      </c>
    </row>
    <row r="105" spans="1:26" ht="19.5" x14ac:dyDescent="0.25">
      <c r="A105" s="72" t="s">
        <v>86</v>
      </c>
      <c r="B105" s="129">
        <v>153.19999999999999</v>
      </c>
      <c r="C105" s="129">
        <v>284.7</v>
      </c>
      <c r="D105" s="129">
        <v>874.5</v>
      </c>
      <c r="E105" s="129">
        <v>1322.4</v>
      </c>
      <c r="F105" s="129">
        <v>1506.1</v>
      </c>
      <c r="G105" s="129">
        <v>2044.6</v>
      </c>
      <c r="H105" s="122">
        <v>1332.8</v>
      </c>
      <c r="I105" s="122">
        <v>2200.4</v>
      </c>
      <c r="J105" s="122">
        <v>1825.7</v>
      </c>
      <c r="K105" s="122">
        <v>1130.5999999999999</v>
      </c>
      <c r="L105" s="129">
        <v>1548.4</v>
      </c>
      <c r="M105" s="129">
        <v>2000.4</v>
      </c>
      <c r="N105" s="129">
        <v>2487.6999999999998</v>
      </c>
      <c r="O105" s="129">
        <v>1162.5999999999999</v>
      </c>
      <c r="P105" s="129">
        <v>871.8</v>
      </c>
      <c r="Q105" s="129">
        <v>3224.5</v>
      </c>
      <c r="R105" s="129">
        <v>4279.3059999999996</v>
      </c>
      <c r="S105" s="129">
        <v>3857.1512004971305</v>
      </c>
      <c r="T105" s="129">
        <v>5772.5769998668748</v>
      </c>
      <c r="U105" s="129">
        <v>9572.1720000000005</v>
      </c>
      <c r="V105" s="129">
        <v>8240.4</v>
      </c>
      <c r="W105" s="129">
        <v>13061.2</v>
      </c>
      <c r="X105" s="129">
        <v>11814.5</v>
      </c>
      <c r="Y105" s="129">
        <v>32282.5</v>
      </c>
      <c r="Z105" s="129">
        <v>22272.1</v>
      </c>
    </row>
    <row r="106" spans="1:26" x14ac:dyDescent="0.25">
      <c r="A106" s="173" t="s">
        <v>190</v>
      </c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2"/>
      <c r="V106" s="12"/>
      <c r="W106" s="12"/>
    </row>
    <row r="107" spans="1:26" s="12" customFormat="1" ht="22.5" customHeight="1" thickBot="1" x14ac:dyDescent="0.3">
      <c r="A107" s="194" t="s">
        <v>274</v>
      </c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25"/>
      <c r="Y107" s="25"/>
      <c r="Z107" s="25"/>
    </row>
    <row r="108" spans="1:2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6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</row>
  </sheetData>
  <mergeCells count="4">
    <mergeCell ref="A107:W107"/>
    <mergeCell ref="A2:Z2"/>
    <mergeCell ref="A3:Z3"/>
    <mergeCell ref="A4:Z4"/>
  </mergeCells>
  <pageMargins left="0.7" right="0.7" top="0.75" bottom="0.75" header="0.3" footer="0.3"/>
  <pageSetup paperSize="9" scale="5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1">
    <tabColor rgb="FFC7E6A4"/>
  </sheetPr>
  <dimension ref="A1:Z107"/>
  <sheetViews>
    <sheetView zoomScale="80" zoomScaleNormal="80" workbookViewId="0">
      <pane ySplit="7" topLeftCell="A8" activePane="bottomLeft" state="frozen"/>
      <selection sqref="A1:T1"/>
      <selection pane="bottomLeft" activeCell="C1" sqref="C1"/>
    </sheetView>
  </sheetViews>
  <sheetFormatPr defaultRowHeight="15" x14ac:dyDescent="0.25"/>
  <cols>
    <col min="1" max="1" width="18.28515625" customWidth="1"/>
    <col min="21" max="21" width="9.140625" style="12"/>
    <col min="24" max="24" width="9.140625" style="1"/>
    <col min="26" max="26" width="9.140625" style="1"/>
  </cols>
  <sheetData>
    <row r="1" spans="1:26" ht="30" customHeight="1" x14ac:dyDescent="0.25"/>
    <row r="2" spans="1:26" x14ac:dyDescent="0.25">
      <c r="A2" s="200" t="s">
        <v>180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spans="1:26" x14ac:dyDescent="0.25">
      <c r="A3" s="201" t="s">
        <v>191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6" x14ac:dyDescent="0.25">
      <c r="A4" s="202" t="s">
        <v>117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x14ac:dyDescent="0.25">
      <c r="A5" s="198" t="s">
        <v>210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2"/>
      <c r="P5" s="12"/>
      <c r="Q5" s="12"/>
      <c r="R5" s="12"/>
      <c r="S5" s="12"/>
      <c r="T5" s="12"/>
      <c r="V5" s="12"/>
      <c r="W5" s="12"/>
      <c r="X5" s="12"/>
      <c r="Y5" s="12"/>
      <c r="Z5" s="12"/>
    </row>
    <row r="6" spans="1:26" ht="15.75" thickBot="1" x14ac:dyDescent="0.3">
      <c r="A6" s="45" t="s">
        <v>211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2"/>
      <c r="P6" s="12"/>
      <c r="Q6" s="12"/>
      <c r="R6" s="12"/>
      <c r="S6" s="12"/>
      <c r="T6" s="12"/>
      <c r="V6" s="12"/>
      <c r="W6" s="12"/>
      <c r="X6" s="12"/>
      <c r="Y6" s="12"/>
      <c r="Z6" s="12"/>
    </row>
    <row r="7" spans="1:26" ht="15.75" thickBot="1" x14ac:dyDescent="0.3">
      <c r="A7" s="28"/>
      <c r="B7" s="167">
        <v>2000</v>
      </c>
      <c r="C7" s="167">
        <v>2001</v>
      </c>
      <c r="D7" s="167">
        <v>2002</v>
      </c>
      <c r="E7" s="167">
        <v>2003</v>
      </c>
      <c r="F7" s="167">
        <v>2004</v>
      </c>
      <c r="G7" s="167">
        <v>2005</v>
      </c>
      <c r="H7" s="167">
        <v>2006</v>
      </c>
      <c r="I7" s="167">
        <v>2007</v>
      </c>
      <c r="J7" s="167">
        <v>2008</v>
      </c>
      <c r="K7" s="167">
        <v>2009</v>
      </c>
      <c r="L7" s="167">
        <v>2010</v>
      </c>
      <c r="M7" s="167">
        <v>2011</v>
      </c>
      <c r="N7" s="167">
        <v>2012</v>
      </c>
      <c r="O7" s="167">
        <v>2013</v>
      </c>
      <c r="P7" s="167">
        <v>2014</v>
      </c>
      <c r="Q7" s="167">
        <v>2015</v>
      </c>
      <c r="R7" s="167">
        <v>2016</v>
      </c>
      <c r="S7" s="167">
        <v>2017</v>
      </c>
      <c r="T7" s="2">
        <v>2018</v>
      </c>
      <c r="U7" s="2">
        <v>2019</v>
      </c>
      <c r="V7" s="2">
        <v>2020</v>
      </c>
      <c r="W7" s="2">
        <v>2021</v>
      </c>
      <c r="X7" s="2">
        <v>2022</v>
      </c>
      <c r="Y7" s="2">
        <v>2023</v>
      </c>
      <c r="Z7" s="2">
        <v>2024</v>
      </c>
    </row>
    <row r="8" spans="1:26" x14ac:dyDescent="0.25">
      <c r="A8" s="13" t="s">
        <v>0</v>
      </c>
      <c r="B8" s="126">
        <v>119750</v>
      </c>
      <c r="C8" s="126">
        <v>124976</v>
      </c>
      <c r="D8" s="126">
        <v>130789</v>
      </c>
      <c r="E8" s="126">
        <v>132494</v>
      </c>
      <c r="F8" s="126">
        <v>132014</v>
      </c>
      <c r="G8" s="126">
        <v>141619</v>
      </c>
      <c r="H8" s="126">
        <v>159033</v>
      </c>
      <c r="I8" s="126">
        <v>209893</v>
      </c>
      <c r="J8" s="126">
        <v>224634</v>
      </c>
      <c r="K8" s="31">
        <v>233319</v>
      </c>
      <c r="L8" s="126">
        <v>216540</v>
      </c>
      <c r="M8" s="30">
        <v>227242</v>
      </c>
      <c r="N8" s="126">
        <v>241424</v>
      </c>
      <c r="O8" s="126">
        <v>258119</v>
      </c>
      <c r="P8" s="126">
        <v>304194</v>
      </c>
      <c r="Q8" s="126">
        <v>306391</v>
      </c>
      <c r="R8" s="126">
        <v>278295</v>
      </c>
      <c r="S8" s="126">
        <v>272615</v>
      </c>
      <c r="T8" s="133">
        <v>261132</v>
      </c>
      <c r="U8" s="133">
        <v>305492</v>
      </c>
      <c r="V8" s="133">
        <v>326703</v>
      </c>
      <c r="W8" s="133">
        <v>403112</v>
      </c>
      <c r="X8" s="105">
        <v>434062</v>
      </c>
      <c r="Y8" s="120">
        <v>465458</v>
      </c>
      <c r="Z8" s="120">
        <v>496721</v>
      </c>
    </row>
    <row r="9" spans="1:26" ht="18" x14ac:dyDescent="0.25">
      <c r="A9" s="8" t="s">
        <v>92</v>
      </c>
      <c r="B9" s="120">
        <v>25795</v>
      </c>
      <c r="C9" s="120">
        <v>25704</v>
      </c>
      <c r="D9" s="120">
        <v>27375</v>
      </c>
      <c r="E9" s="120">
        <v>29199</v>
      </c>
      <c r="F9" s="120">
        <v>30975</v>
      </c>
      <c r="G9" s="120">
        <v>32968</v>
      </c>
      <c r="H9" s="120">
        <v>34443</v>
      </c>
      <c r="I9" s="120">
        <v>47477</v>
      </c>
      <c r="J9" s="120">
        <v>46872</v>
      </c>
      <c r="K9" s="31">
        <v>50131</v>
      </c>
      <c r="L9" s="120">
        <v>46174</v>
      </c>
      <c r="M9" s="31">
        <v>48836</v>
      </c>
      <c r="N9" s="120">
        <v>50411</v>
      </c>
      <c r="O9" s="120">
        <v>53498</v>
      </c>
      <c r="P9" s="120">
        <v>58180</v>
      </c>
      <c r="Q9" s="120">
        <v>72299</v>
      </c>
      <c r="R9" s="120">
        <v>64967</v>
      </c>
      <c r="S9" s="120">
        <v>69872</v>
      </c>
      <c r="T9" s="133">
        <v>69381</v>
      </c>
      <c r="U9" s="133">
        <v>81254</v>
      </c>
      <c r="V9" s="133">
        <v>87816</v>
      </c>
      <c r="W9" s="133">
        <v>107897</v>
      </c>
      <c r="X9" s="105">
        <v>123811</v>
      </c>
      <c r="Y9" s="120">
        <v>120867</v>
      </c>
      <c r="Z9" s="120">
        <v>118695</v>
      </c>
    </row>
    <row r="10" spans="1:26" x14ac:dyDescent="0.25">
      <c r="A10" s="9" t="s">
        <v>1</v>
      </c>
      <c r="B10" s="118">
        <v>2983</v>
      </c>
      <c r="C10" s="118">
        <v>3200</v>
      </c>
      <c r="D10" s="118">
        <v>2807</v>
      </c>
      <c r="E10" s="118">
        <v>2964</v>
      </c>
      <c r="F10" s="118">
        <v>3184</v>
      </c>
      <c r="G10" s="118">
        <v>3804</v>
      </c>
      <c r="H10" s="118">
        <v>5097</v>
      </c>
      <c r="I10" s="118">
        <v>5951</v>
      </c>
      <c r="J10" s="118">
        <v>6172</v>
      </c>
      <c r="K10" s="32">
        <v>6800</v>
      </c>
      <c r="L10" s="118">
        <v>6937</v>
      </c>
      <c r="M10" s="32">
        <v>7778</v>
      </c>
      <c r="N10" s="118">
        <v>8494</v>
      </c>
      <c r="O10" s="118">
        <v>7961</v>
      </c>
      <c r="P10" s="118">
        <v>8773</v>
      </c>
      <c r="Q10" s="118">
        <v>10183</v>
      </c>
      <c r="R10" s="118">
        <v>9537</v>
      </c>
      <c r="S10" s="118">
        <v>8656</v>
      </c>
      <c r="T10" s="134">
        <v>8183</v>
      </c>
      <c r="U10" s="134">
        <v>9028</v>
      </c>
      <c r="V10" s="134">
        <v>7455</v>
      </c>
      <c r="W10" s="134">
        <v>8549</v>
      </c>
      <c r="X10" s="139">
        <v>5658</v>
      </c>
      <c r="Y10" s="118">
        <v>5449</v>
      </c>
      <c r="Z10" s="118">
        <v>5556</v>
      </c>
    </row>
    <row r="11" spans="1:26" x14ac:dyDescent="0.25">
      <c r="A11" s="9" t="s">
        <v>2</v>
      </c>
      <c r="B11" s="118">
        <v>850</v>
      </c>
      <c r="C11" s="118">
        <v>1224</v>
      </c>
      <c r="D11" s="118">
        <v>1096</v>
      </c>
      <c r="E11" s="118">
        <v>882</v>
      </c>
      <c r="F11" s="118">
        <v>879</v>
      </c>
      <c r="G11" s="118">
        <v>877</v>
      </c>
      <c r="H11" s="118">
        <v>842</v>
      </c>
      <c r="I11" s="118">
        <v>1050</v>
      </c>
      <c r="J11" s="118">
        <v>860</v>
      </c>
      <c r="K11" s="32">
        <v>933</v>
      </c>
      <c r="L11" s="118">
        <v>1021</v>
      </c>
      <c r="M11" s="32">
        <v>1018</v>
      </c>
      <c r="N11" s="118">
        <v>1048</v>
      </c>
      <c r="O11" s="118">
        <v>1968</v>
      </c>
      <c r="P11" s="118">
        <v>1658</v>
      </c>
      <c r="Q11" s="118">
        <v>1892</v>
      </c>
      <c r="R11" s="118">
        <v>975</v>
      </c>
      <c r="S11" s="118">
        <v>724</v>
      </c>
      <c r="T11" s="134">
        <v>725</v>
      </c>
      <c r="U11" s="134">
        <v>1168</v>
      </c>
      <c r="V11" s="134">
        <v>1436</v>
      </c>
      <c r="W11" s="134">
        <v>2095</v>
      </c>
      <c r="X11" s="139">
        <v>1776</v>
      </c>
      <c r="Y11" s="118">
        <v>1703</v>
      </c>
      <c r="Z11" s="118">
        <v>2133</v>
      </c>
    </row>
    <row r="12" spans="1:26" x14ac:dyDescent="0.25">
      <c r="A12" s="9" t="s">
        <v>3</v>
      </c>
      <c r="B12" s="118">
        <v>1013</v>
      </c>
      <c r="C12" s="118">
        <v>1011</v>
      </c>
      <c r="D12" s="118">
        <v>1128</v>
      </c>
      <c r="E12" s="118">
        <v>1182</v>
      </c>
      <c r="F12" s="118">
        <v>1294</v>
      </c>
      <c r="G12" s="118">
        <v>1323</v>
      </c>
      <c r="H12" s="118">
        <v>1355</v>
      </c>
      <c r="I12" s="118">
        <v>1785</v>
      </c>
      <c r="J12" s="118">
        <v>1942</v>
      </c>
      <c r="K12" s="32">
        <v>2037</v>
      </c>
      <c r="L12" s="118">
        <v>2275</v>
      </c>
      <c r="M12" s="32">
        <v>1992</v>
      </c>
      <c r="N12" s="118">
        <v>2421</v>
      </c>
      <c r="O12" s="118">
        <v>2066</v>
      </c>
      <c r="P12" s="118">
        <v>2427</v>
      </c>
      <c r="Q12" s="118">
        <v>2658</v>
      </c>
      <c r="R12" s="118">
        <v>2545</v>
      </c>
      <c r="S12" s="118">
        <v>3114</v>
      </c>
      <c r="T12" s="134">
        <v>2529</v>
      </c>
      <c r="U12" s="134">
        <v>3355</v>
      </c>
      <c r="V12" s="134">
        <v>2985</v>
      </c>
      <c r="W12" s="134">
        <v>5000</v>
      </c>
      <c r="X12" s="139">
        <v>4711</v>
      </c>
      <c r="Y12" s="118">
        <v>5016</v>
      </c>
      <c r="Z12" s="118">
        <v>5553</v>
      </c>
    </row>
    <row r="13" spans="1:26" x14ac:dyDescent="0.25">
      <c r="A13" s="9" t="s">
        <v>4</v>
      </c>
      <c r="B13" s="118">
        <v>1815</v>
      </c>
      <c r="C13" s="118">
        <v>2029</v>
      </c>
      <c r="D13" s="118">
        <v>2297</v>
      </c>
      <c r="E13" s="118">
        <v>1902</v>
      </c>
      <c r="F13" s="118">
        <v>1694</v>
      </c>
      <c r="G13" s="118">
        <v>1583</v>
      </c>
      <c r="H13" s="118">
        <v>1513</v>
      </c>
      <c r="I13" s="118">
        <v>1797</v>
      </c>
      <c r="J13" s="118">
        <v>2210</v>
      </c>
      <c r="K13" s="32">
        <v>2515</v>
      </c>
      <c r="L13" s="118">
        <v>2508</v>
      </c>
      <c r="M13" s="32">
        <v>2623</v>
      </c>
      <c r="N13" s="118">
        <v>2984</v>
      </c>
      <c r="O13" s="118">
        <v>3725</v>
      </c>
      <c r="P13" s="118">
        <v>3772</v>
      </c>
      <c r="Q13" s="118">
        <v>3401</v>
      </c>
      <c r="R13" s="118">
        <v>3241</v>
      </c>
      <c r="S13" s="118">
        <v>3999</v>
      </c>
      <c r="T13" s="134">
        <v>4975</v>
      </c>
      <c r="U13" s="134">
        <v>5182</v>
      </c>
      <c r="V13" s="134">
        <v>5531</v>
      </c>
      <c r="W13" s="134">
        <v>7735</v>
      </c>
      <c r="X13" s="139">
        <v>6813</v>
      </c>
      <c r="Y13" s="118">
        <v>7008</v>
      </c>
      <c r="Z13" s="118">
        <v>9339</v>
      </c>
    </row>
    <row r="14" spans="1:26" x14ac:dyDescent="0.25">
      <c r="A14" s="9" t="s">
        <v>5</v>
      </c>
      <c r="B14" s="118">
        <v>337</v>
      </c>
      <c r="C14" s="118">
        <v>348</v>
      </c>
      <c r="D14" s="118">
        <v>404</v>
      </c>
      <c r="E14" s="118">
        <v>371</v>
      </c>
      <c r="F14" s="118">
        <v>417</v>
      </c>
      <c r="G14" s="118">
        <v>341</v>
      </c>
      <c r="H14" s="118">
        <v>389</v>
      </c>
      <c r="I14" s="118">
        <v>411</v>
      </c>
      <c r="J14" s="118">
        <v>492</v>
      </c>
      <c r="K14" s="32">
        <v>584</v>
      </c>
      <c r="L14" s="118">
        <v>507</v>
      </c>
      <c r="M14" s="32">
        <v>669</v>
      </c>
      <c r="N14" s="118">
        <v>631</v>
      </c>
      <c r="O14" s="118">
        <v>616</v>
      </c>
      <c r="P14" s="118">
        <v>615</v>
      </c>
      <c r="Q14" s="118">
        <v>535</v>
      </c>
      <c r="R14" s="118">
        <v>317</v>
      </c>
      <c r="S14" s="118">
        <v>835</v>
      </c>
      <c r="T14" s="134">
        <v>940</v>
      </c>
      <c r="U14" s="134">
        <v>1186</v>
      </c>
      <c r="V14" s="134">
        <v>1368</v>
      </c>
      <c r="W14" s="134">
        <v>1953</v>
      </c>
      <c r="X14" s="139">
        <v>1492</v>
      </c>
      <c r="Y14" s="118">
        <v>1835</v>
      </c>
      <c r="Z14" s="118">
        <v>1876</v>
      </c>
    </row>
    <row r="15" spans="1:26" x14ac:dyDescent="0.25">
      <c r="A15" s="9" t="s">
        <v>6</v>
      </c>
      <c r="B15" s="118">
        <v>716</v>
      </c>
      <c r="C15" s="118">
        <v>900</v>
      </c>
      <c r="D15" s="118">
        <v>918</v>
      </c>
      <c r="E15" s="118">
        <v>1201</v>
      </c>
      <c r="F15" s="118">
        <v>1168</v>
      </c>
      <c r="G15" s="118">
        <v>1390</v>
      </c>
      <c r="H15" s="118">
        <v>1332</v>
      </c>
      <c r="I15" s="118">
        <v>2100</v>
      </c>
      <c r="J15" s="118">
        <v>3764</v>
      </c>
      <c r="K15" s="32">
        <v>2828</v>
      </c>
      <c r="L15" s="118">
        <v>2742</v>
      </c>
      <c r="M15" s="32">
        <v>3043</v>
      </c>
      <c r="N15" s="118">
        <v>2838</v>
      </c>
      <c r="O15" s="118">
        <v>3310</v>
      </c>
      <c r="P15" s="118">
        <v>4214</v>
      </c>
      <c r="Q15" s="118">
        <v>3593</v>
      </c>
      <c r="R15" s="118">
        <v>3349</v>
      </c>
      <c r="S15" s="118">
        <v>3860</v>
      </c>
      <c r="T15" s="134">
        <v>3334</v>
      </c>
      <c r="U15" s="134">
        <v>3832</v>
      </c>
      <c r="V15" s="134">
        <v>5298</v>
      </c>
      <c r="W15" s="134">
        <v>4968</v>
      </c>
      <c r="X15" s="139">
        <v>5214</v>
      </c>
      <c r="Y15" s="118">
        <v>6392</v>
      </c>
      <c r="Z15" s="118">
        <v>5991</v>
      </c>
    </row>
    <row r="16" spans="1:26" x14ac:dyDescent="0.25">
      <c r="A16" s="9" t="s">
        <v>7</v>
      </c>
      <c r="B16" s="118">
        <v>389</v>
      </c>
      <c r="C16" s="118">
        <v>461</v>
      </c>
      <c r="D16" s="118">
        <v>438</v>
      </c>
      <c r="E16" s="118">
        <v>461</v>
      </c>
      <c r="F16" s="118">
        <v>497</v>
      </c>
      <c r="G16" s="118">
        <v>576</v>
      </c>
      <c r="H16" s="118">
        <v>439</v>
      </c>
      <c r="I16" s="118">
        <v>605</v>
      </c>
      <c r="J16" s="118">
        <v>688</v>
      </c>
      <c r="K16" s="32">
        <v>769</v>
      </c>
      <c r="L16" s="118">
        <v>582</v>
      </c>
      <c r="M16" s="32">
        <v>573</v>
      </c>
      <c r="N16" s="118">
        <v>612</v>
      </c>
      <c r="O16" s="118">
        <v>1527</v>
      </c>
      <c r="P16" s="118">
        <v>1650</v>
      </c>
      <c r="Q16" s="118">
        <v>1470</v>
      </c>
      <c r="R16" s="118">
        <v>1742</v>
      </c>
      <c r="S16" s="118">
        <v>1105</v>
      </c>
      <c r="T16" s="134">
        <v>1019</v>
      </c>
      <c r="U16" s="134">
        <v>1116</v>
      </c>
      <c r="V16" s="134">
        <v>1013</v>
      </c>
      <c r="W16" s="134">
        <v>1426</v>
      </c>
      <c r="X16" s="139">
        <v>1437</v>
      </c>
      <c r="Y16" s="118">
        <v>1509</v>
      </c>
      <c r="Z16" s="118">
        <v>1706</v>
      </c>
    </row>
    <row r="17" spans="1:26" x14ac:dyDescent="0.25">
      <c r="A17" s="9" t="s">
        <v>8</v>
      </c>
      <c r="B17" s="118">
        <v>630</v>
      </c>
      <c r="C17" s="118">
        <v>664</v>
      </c>
      <c r="D17" s="118">
        <v>656</v>
      </c>
      <c r="E17" s="118">
        <v>683</v>
      </c>
      <c r="F17" s="118">
        <v>876</v>
      </c>
      <c r="G17" s="118">
        <v>756</v>
      </c>
      <c r="H17" s="118">
        <v>599</v>
      </c>
      <c r="I17" s="118">
        <v>688</v>
      </c>
      <c r="J17" s="118">
        <v>896</v>
      </c>
      <c r="K17" s="32">
        <v>861</v>
      </c>
      <c r="L17" s="118">
        <v>701</v>
      </c>
      <c r="M17" s="32">
        <v>894</v>
      </c>
      <c r="N17" s="118">
        <v>1279</v>
      </c>
      <c r="O17" s="118">
        <v>1627</v>
      </c>
      <c r="P17" s="118">
        <v>1493</v>
      </c>
      <c r="Q17" s="118">
        <v>1972</v>
      </c>
      <c r="R17" s="118">
        <v>2009</v>
      </c>
      <c r="S17" s="118">
        <v>1995</v>
      </c>
      <c r="T17" s="134">
        <v>2539</v>
      </c>
      <c r="U17" s="134">
        <v>2760</v>
      </c>
      <c r="V17" s="134">
        <v>2891</v>
      </c>
      <c r="W17" s="134">
        <v>2780</v>
      </c>
      <c r="X17" s="139">
        <v>2693</v>
      </c>
      <c r="Y17" s="118">
        <v>2740</v>
      </c>
      <c r="Z17" s="118">
        <v>3160</v>
      </c>
    </row>
    <row r="18" spans="1:26" x14ac:dyDescent="0.25">
      <c r="A18" s="9" t="s">
        <v>9</v>
      </c>
      <c r="B18" s="118">
        <v>1329</v>
      </c>
      <c r="C18" s="118">
        <v>1520</v>
      </c>
      <c r="D18" s="118">
        <v>1273</v>
      </c>
      <c r="E18" s="118">
        <v>1276</v>
      </c>
      <c r="F18" s="118">
        <v>1388</v>
      </c>
      <c r="G18" s="118">
        <v>1535</v>
      </c>
      <c r="H18" s="118">
        <v>2149</v>
      </c>
      <c r="I18" s="118">
        <v>2723</v>
      </c>
      <c r="J18" s="118">
        <v>2404</v>
      </c>
      <c r="K18" s="32">
        <v>2553</v>
      </c>
      <c r="L18" s="118">
        <v>2655</v>
      </c>
      <c r="M18" s="32">
        <v>2332</v>
      </c>
      <c r="N18" s="118">
        <v>2726</v>
      </c>
      <c r="O18" s="118">
        <v>2973</v>
      </c>
      <c r="P18" s="118">
        <v>3301</v>
      </c>
      <c r="Q18" s="118">
        <v>3118</v>
      </c>
      <c r="R18" s="118">
        <v>3558</v>
      </c>
      <c r="S18" s="118">
        <v>4795</v>
      </c>
      <c r="T18" s="134">
        <v>4089</v>
      </c>
      <c r="U18" s="134">
        <v>5454</v>
      </c>
      <c r="V18" s="134">
        <v>7066</v>
      </c>
      <c r="W18" s="134">
        <v>6297</v>
      </c>
      <c r="X18" s="139">
        <v>3445</v>
      </c>
      <c r="Y18" s="118">
        <v>3770</v>
      </c>
      <c r="Z18" s="118">
        <v>3665</v>
      </c>
    </row>
    <row r="19" spans="1:26" x14ac:dyDescent="0.25">
      <c r="A19" s="9" t="s">
        <v>10</v>
      </c>
      <c r="B19" s="118">
        <v>8719</v>
      </c>
      <c r="C19" s="118">
        <v>7279</v>
      </c>
      <c r="D19" s="118">
        <v>8456</v>
      </c>
      <c r="E19" s="118">
        <v>10092</v>
      </c>
      <c r="F19" s="118">
        <v>11524</v>
      </c>
      <c r="G19" s="118">
        <v>12645</v>
      </c>
      <c r="H19" s="118">
        <v>12215</v>
      </c>
      <c r="I19" s="118">
        <v>19994</v>
      </c>
      <c r="J19" s="118">
        <v>17569</v>
      </c>
      <c r="K19" s="32">
        <v>19167</v>
      </c>
      <c r="L19" s="118">
        <v>16351</v>
      </c>
      <c r="M19" s="32">
        <v>15707</v>
      </c>
      <c r="N19" s="118">
        <v>14080</v>
      </c>
      <c r="O19" s="118">
        <v>10825</v>
      </c>
      <c r="P19" s="118">
        <v>11445</v>
      </c>
      <c r="Q19" s="118">
        <v>22627</v>
      </c>
      <c r="R19" s="118">
        <v>18919</v>
      </c>
      <c r="S19" s="118">
        <v>22452</v>
      </c>
      <c r="T19" s="134">
        <v>22918</v>
      </c>
      <c r="U19" s="134">
        <v>25505</v>
      </c>
      <c r="V19" s="134">
        <v>32160</v>
      </c>
      <c r="W19" s="134">
        <v>42044</v>
      </c>
      <c r="X19" s="139">
        <v>64694</v>
      </c>
      <c r="Y19" s="118">
        <v>56426</v>
      </c>
      <c r="Z19" s="118">
        <v>51014</v>
      </c>
    </row>
    <row r="20" spans="1:26" x14ac:dyDescent="0.25">
      <c r="A20" s="9" t="s">
        <v>11</v>
      </c>
      <c r="B20" s="118">
        <v>1418</v>
      </c>
      <c r="C20" s="118">
        <v>1525</v>
      </c>
      <c r="D20" s="118">
        <v>1475</v>
      </c>
      <c r="E20" s="118">
        <v>1373</v>
      </c>
      <c r="F20" s="118">
        <v>1282</v>
      </c>
      <c r="G20" s="118">
        <v>1054</v>
      </c>
      <c r="H20" s="118">
        <v>687</v>
      </c>
      <c r="I20" s="118">
        <v>648</v>
      </c>
      <c r="J20" s="118">
        <v>725</v>
      </c>
      <c r="K20" s="32">
        <v>721</v>
      </c>
      <c r="L20" s="118">
        <v>629</v>
      </c>
      <c r="M20" s="32">
        <v>1148</v>
      </c>
      <c r="N20" s="118">
        <v>1307</v>
      </c>
      <c r="O20" s="118">
        <v>1251</v>
      </c>
      <c r="P20" s="118">
        <v>1564</v>
      </c>
      <c r="Q20" s="118">
        <v>1562</v>
      </c>
      <c r="R20" s="118">
        <v>977</v>
      </c>
      <c r="S20" s="118">
        <v>936</v>
      </c>
      <c r="T20" s="134">
        <v>921</v>
      </c>
      <c r="U20" s="134">
        <v>1409</v>
      </c>
      <c r="V20" s="134">
        <v>1926</v>
      </c>
      <c r="W20" s="134">
        <v>2148</v>
      </c>
      <c r="X20" s="139">
        <v>1593</v>
      </c>
      <c r="Y20" s="118">
        <v>1446</v>
      </c>
      <c r="Z20" s="118">
        <v>1653</v>
      </c>
    </row>
    <row r="21" spans="1:26" x14ac:dyDescent="0.25">
      <c r="A21" s="9" t="s">
        <v>12</v>
      </c>
      <c r="B21" s="118">
        <v>755</v>
      </c>
      <c r="C21" s="118">
        <v>834</v>
      </c>
      <c r="D21" s="118">
        <v>902</v>
      </c>
      <c r="E21" s="118">
        <v>970</v>
      </c>
      <c r="F21" s="118">
        <v>886</v>
      </c>
      <c r="G21" s="118">
        <v>1012</v>
      </c>
      <c r="H21" s="118">
        <v>1144</v>
      </c>
      <c r="I21" s="118">
        <v>973</v>
      </c>
      <c r="J21" s="118">
        <v>1000</v>
      </c>
      <c r="K21" s="32">
        <v>1199</v>
      </c>
      <c r="L21" s="118">
        <v>1250</v>
      </c>
      <c r="M21" s="32">
        <v>1451</v>
      </c>
      <c r="N21" s="118">
        <v>1361</v>
      </c>
      <c r="O21" s="118">
        <v>1763</v>
      </c>
      <c r="P21" s="118">
        <v>1901</v>
      </c>
      <c r="Q21" s="118">
        <v>2478</v>
      </c>
      <c r="R21" s="118">
        <v>2128</v>
      </c>
      <c r="S21" s="118">
        <v>2765</v>
      </c>
      <c r="T21" s="134">
        <v>2615</v>
      </c>
      <c r="U21" s="134">
        <v>2740</v>
      </c>
      <c r="V21" s="134">
        <v>2016</v>
      </c>
      <c r="W21" s="134">
        <v>2569</v>
      </c>
      <c r="X21" s="139">
        <v>2575</v>
      </c>
      <c r="Y21" s="118">
        <v>3045</v>
      </c>
      <c r="Z21" s="118">
        <v>2486</v>
      </c>
    </row>
    <row r="22" spans="1:26" x14ac:dyDescent="0.25">
      <c r="A22" s="9" t="s">
        <v>13</v>
      </c>
      <c r="B22" s="118">
        <v>474</v>
      </c>
      <c r="C22" s="118">
        <v>607</v>
      </c>
      <c r="D22" s="118">
        <v>481</v>
      </c>
      <c r="E22" s="118">
        <v>732</v>
      </c>
      <c r="F22" s="118">
        <v>850</v>
      </c>
      <c r="G22" s="118">
        <v>866</v>
      </c>
      <c r="H22" s="118">
        <v>1027</v>
      </c>
      <c r="I22" s="118">
        <v>1160</v>
      </c>
      <c r="J22" s="118">
        <v>1068</v>
      </c>
      <c r="K22" s="32">
        <v>1035</v>
      </c>
      <c r="L22" s="118">
        <v>1134</v>
      </c>
      <c r="M22" s="32">
        <v>1071</v>
      </c>
      <c r="N22" s="118">
        <v>950</v>
      </c>
      <c r="O22" s="118">
        <v>1943</v>
      </c>
      <c r="P22" s="118">
        <v>2015</v>
      </c>
      <c r="Q22" s="118">
        <v>2367</v>
      </c>
      <c r="R22" s="118">
        <v>2500</v>
      </c>
      <c r="S22" s="118">
        <v>1659</v>
      </c>
      <c r="T22" s="134">
        <v>1646</v>
      </c>
      <c r="U22" s="134">
        <v>1872</v>
      </c>
      <c r="V22" s="134">
        <v>1792</v>
      </c>
      <c r="W22" s="134">
        <v>2118</v>
      </c>
      <c r="X22" s="139">
        <v>2269</v>
      </c>
      <c r="Y22" s="118">
        <v>2263</v>
      </c>
      <c r="Z22" s="118">
        <v>2327</v>
      </c>
    </row>
    <row r="23" spans="1:26" x14ac:dyDescent="0.25">
      <c r="A23" s="9" t="s">
        <v>14</v>
      </c>
      <c r="B23" s="118">
        <v>1019</v>
      </c>
      <c r="C23" s="118">
        <v>1021</v>
      </c>
      <c r="D23" s="118">
        <v>1230</v>
      </c>
      <c r="E23" s="118">
        <v>1090</v>
      </c>
      <c r="F23" s="118">
        <v>1171</v>
      </c>
      <c r="G23" s="118">
        <v>1554</v>
      </c>
      <c r="H23" s="118">
        <v>2071</v>
      </c>
      <c r="I23" s="118">
        <v>2356</v>
      </c>
      <c r="J23" s="118">
        <v>2368</v>
      </c>
      <c r="K23" s="32">
        <v>2285</v>
      </c>
      <c r="L23" s="118">
        <v>2218</v>
      </c>
      <c r="M23" s="32">
        <v>2437</v>
      </c>
      <c r="N23" s="118">
        <v>2845</v>
      </c>
      <c r="O23" s="118">
        <v>3034</v>
      </c>
      <c r="P23" s="118">
        <v>3240</v>
      </c>
      <c r="Q23" s="118">
        <v>3121</v>
      </c>
      <c r="R23" s="118">
        <v>3550</v>
      </c>
      <c r="S23" s="118">
        <v>3678</v>
      </c>
      <c r="T23" s="134">
        <v>3060</v>
      </c>
      <c r="U23" s="134">
        <v>3253</v>
      </c>
      <c r="V23" s="134">
        <v>2951</v>
      </c>
      <c r="W23" s="134">
        <v>3244</v>
      </c>
      <c r="X23" s="139">
        <v>1699</v>
      </c>
      <c r="Y23" s="118">
        <v>2191</v>
      </c>
      <c r="Z23" s="118">
        <v>2316</v>
      </c>
    </row>
    <row r="24" spans="1:26" x14ac:dyDescent="0.25">
      <c r="A24" s="9" t="s">
        <v>15</v>
      </c>
      <c r="B24" s="118">
        <v>1218</v>
      </c>
      <c r="C24" s="118">
        <v>1165</v>
      </c>
      <c r="D24" s="118">
        <v>1351</v>
      </c>
      <c r="E24" s="118">
        <v>1543</v>
      </c>
      <c r="F24" s="118">
        <v>1602</v>
      </c>
      <c r="G24" s="118">
        <v>1567</v>
      </c>
      <c r="H24" s="118">
        <v>1515</v>
      </c>
      <c r="I24" s="118">
        <v>2061</v>
      </c>
      <c r="J24" s="118">
        <v>2005</v>
      </c>
      <c r="K24" s="32">
        <v>2312</v>
      </c>
      <c r="L24" s="118">
        <v>2025</v>
      </c>
      <c r="M24" s="32">
        <v>1826</v>
      </c>
      <c r="N24" s="118">
        <v>1726</v>
      </c>
      <c r="O24" s="118">
        <v>2717</v>
      </c>
      <c r="P24" s="118">
        <v>2446</v>
      </c>
      <c r="Q24" s="118">
        <v>1601</v>
      </c>
      <c r="R24" s="118">
        <v>1489</v>
      </c>
      <c r="S24" s="118">
        <v>1475</v>
      </c>
      <c r="T24" s="134">
        <v>1392</v>
      </c>
      <c r="U24" s="134">
        <v>3106</v>
      </c>
      <c r="V24" s="134">
        <v>2870</v>
      </c>
      <c r="W24" s="134">
        <v>2312</v>
      </c>
      <c r="X24" s="139">
        <v>3634</v>
      </c>
      <c r="Y24" s="118">
        <v>4128</v>
      </c>
      <c r="Z24" s="118">
        <v>4515</v>
      </c>
    </row>
    <row r="25" spans="1:26" x14ac:dyDescent="0.25">
      <c r="A25" s="9" t="s">
        <v>16</v>
      </c>
      <c r="B25" s="118">
        <v>774</v>
      </c>
      <c r="C25" s="118">
        <v>495</v>
      </c>
      <c r="D25" s="118">
        <v>908</v>
      </c>
      <c r="E25" s="118">
        <v>826</v>
      </c>
      <c r="F25" s="118">
        <v>714</v>
      </c>
      <c r="G25" s="118">
        <v>668</v>
      </c>
      <c r="H25" s="118">
        <v>847</v>
      </c>
      <c r="I25" s="118">
        <v>1082</v>
      </c>
      <c r="J25" s="118">
        <v>1189</v>
      </c>
      <c r="K25" s="32">
        <v>1475</v>
      </c>
      <c r="L25" s="118">
        <v>1321</v>
      </c>
      <c r="M25" s="32">
        <v>1059</v>
      </c>
      <c r="N25" s="118">
        <v>1285</v>
      </c>
      <c r="O25" s="118">
        <v>1865</v>
      </c>
      <c r="P25" s="118">
        <v>2699</v>
      </c>
      <c r="Q25" s="118">
        <v>3392</v>
      </c>
      <c r="R25" s="118">
        <v>2291</v>
      </c>
      <c r="S25" s="118">
        <v>2330</v>
      </c>
      <c r="T25" s="134">
        <v>2691</v>
      </c>
      <c r="U25" s="134">
        <v>2996</v>
      </c>
      <c r="V25" s="134">
        <v>2331</v>
      </c>
      <c r="W25" s="134">
        <v>4090</v>
      </c>
      <c r="X25" s="139">
        <v>4860</v>
      </c>
      <c r="Y25" s="118">
        <v>5723</v>
      </c>
      <c r="Z25" s="118">
        <v>5645</v>
      </c>
    </row>
    <row r="26" spans="1:26" x14ac:dyDescent="0.25">
      <c r="A26" s="9" t="s">
        <v>17</v>
      </c>
      <c r="B26" s="118">
        <v>959</v>
      </c>
      <c r="C26" s="118">
        <v>851</v>
      </c>
      <c r="D26" s="118">
        <v>1017</v>
      </c>
      <c r="E26" s="118">
        <v>935</v>
      </c>
      <c r="F26" s="118">
        <v>1017</v>
      </c>
      <c r="G26" s="118">
        <v>962</v>
      </c>
      <c r="H26" s="118">
        <v>650</v>
      </c>
      <c r="I26" s="118">
        <v>1427</v>
      </c>
      <c r="J26" s="118">
        <v>1058</v>
      </c>
      <c r="K26" s="32">
        <v>1274</v>
      </c>
      <c r="L26" s="118">
        <v>1013</v>
      </c>
      <c r="M26" s="32">
        <v>2968</v>
      </c>
      <c r="N26" s="118">
        <v>2235</v>
      </c>
      <c r="O26" s="118">
        <v>2463</v>
      </c>
      <c r="P26" s="118">
        <v>2456</v>
      </c>
      <c r="Q26" s="118">
        <v>3022</v>
      </c>
      <c r="R26" s="118">
        <v>3428</v>
      </c>
      <c r="S26" s="118">
        <v>3643</v>
      </c>
      <c r="T26" s="134">
        <v>4088</v>
      </c>
      <c r="U26" s="134">
        <v>3932</v>
      </c>
      <c r="V26" s="134">
        <v>3230</v>
      </c>
      <c r="W26" s="134">
        <v>3810</v>
      </c>
      <c r="X26" s="139">
        <v>4508</v>
      </c>
      <c r="Y26" s="118">
        <v>5082</v>
      </c>
      <c r="Z26" s="118">
        <v>5236</v>
      </c>
    </row>
    <row r="27" spans="1:26" x14ac:dyDescent="0.25">
      <c r="A27" s="9" t="s">
        <v>18</v>
      </c>
      <c r="B27" s="118">
        <v>397</v>
      </c>
      <c r="C27" s="118">
        <v>570</v>
      </c>
      <c r="D27" s="118">
        <v>538</v>
      </c>
      <c r="E27" s="118">
        <v>716</v>
      </c>
      <c r="F27" s="118">
        <v>532</v>
      </c>
      <c r="G27" s="118">
        <v>455</v>
      </c>
      <c r="H27" s="118">
        <v>572</v>
      </c>
      <c r="I27" s="118">
        <v>666</v>
      </c>
      <c r="J27" s="118">
        <v>462</v>
      </c>
      <c r="K27" s="32">
        <v>783</v>
      </c>
      <c r="L27" s="118">
        <v>305</v>
      </c>
      <c r="M27" s="32">
        <v>247</v>
      </c>
      <c r="N27" s="118">
        <v>1589</v>
      </c>
      <c r="O27" s="118">
        <v>1864</v>
      </c>
      <c r="P27" s="118">
        <v>2511</v>
      </c>
      <c r="Q27" s="118">
        <v>3307</v>
      </c>
      <c r="R27" s="118">
        <v>2412</v>
      </c>
      <c r="S27" s="118">
        <v>1851</v>
      </c>
      <c r="T27" s="134">
        <v>1717</v>
      </c>
      <c r="U27" s="134">
        <v>3360</v>
      </c>
      <c r="V27" s="134">
        <v>3497</v>
      </c>
      <c r="W27" s="134">
        <v>4759</v>
      </c>
      <c r="X27" s="139">
        <v>4740</v>
      </c>
      <c r="Y27" s="118">
        <v>5141</v>
      </c>
      <c r="Z27" s="118">
        <v>4524</v>
      </c>
    </row>
    <row r="28" spans="1:26" ht="18" x14ac:dyDescent="0.25">
      <c r="A28" s="8" t="s">
        <v>95</v>
      </c>
      <c r="B28" s="120">
        <v>6914</v>
      </c>
      <c r="C28" s="120">
        <v>6997</v>
      </c>
      <c r="D28" s="120">
        <v>7272</v>
      </c>
      <c r="E28" s="120">
        <v>8101</v>
      </c>
      <c r="F28" s="120">
        <v>7807</v>
      </c>
      <c r="G28" s="120">
        <v>8605</v>
      </c>
      <c r="H28" s="120">
        <v>8247</v>
      </c>
      <c r="I28" s="120">
        <v>13834</v>
      </c>
      <c r="J28" s="120">
        <v>15233</v>
      </c>
      <c r="K28" s="31">
        <v>16558</v>
      </c>
      <c r="L28" s="120">
        <v>13235</v>
      </c>
      <c r="M28" s="31">
        <v>14310</v>
      </c>
      <c r="N28" s="120">
        <v>15105</v>
      </c>
      <c r="O28" s="120">
        <v>17821</v>
      </c>
      <c r="P28" s="120">
        <v>26389</v>
      </c>
      <c r="Q28" s="120">
        <v>24623</v>
      </c>
      <c r="R28" s="120">
        <v>20056</v>
      </c>
      <c r="S28" s="120">
        <v>17097</v>
      </c>
      <c r="T28" s="133">
        <v>20073</v>
      </c>
      <c r="U28" s="133">
        <v>26079</v>
      </c>
      <c r="V28" s="133">
        <v>28556</v>
      </c>
      <c r="W28" s="133">
        <v>36687</v>
      </c>
      <c r="X28" s="105">
        <v>38700</v>
      </c>
      <c r="Y28" s="120">
        <v>39927</v>
      </c>
      <c r="Z28" s="120">
        <v>42526</v>
      </c>
    </row>
    <row r="29" spans="1:26" x14ac:dyDescent="0.25">
      <c r="A29" s="9" t="s">
        <v>19</v>
      </c>
      <c r="B29" s="118">
        <v>314</v>
      </c>
      <c r="C29" s="118">
        <v>429</v>
      </c>
      <c r="D29" s="118">
        <v>335</v>
      </c>
      <c r="E29" s="118">
        <v>364</v>
      </c>
      <c r="F29" s="118">
        <v>399</v>
      </c>
      <c r="G29" s="118">
        <v>416</v>
      </c>
      <c r="H29" s="118">
        <v>426</v>
      </c>
      <c r="I29" s="118">
        <v>643</v>
      </c>
      <c r="J29" s="118">
        <v>606</v>
      </c>
      <c r="K29" s="32">
        <v>693</v>
      </c>
      <c r="L29" s="118">
        <v>616</v>
      </c>
      <c r="M29" s="32">
        <v>805</v>
      </c>
      <c r="N29" s="118">
        <v>729</v>
      </c>
      <c r="O29" s="118">
        <v>802</v>
      </c>
      <c r="P29" s="118">
        <v>892</v>
      </c>
      <c r="Q29" s="118">
        <v>703</v>
      </c>
      <c r="R29" s="118">
        <v>951</v>
      </c>
      <c r="S29" s="118">
        <v>851</v>
      </c>
      <c r="T29" s="134">
        <v>1168</v>
      </c>
      <c r="U29" s="134">
        <v>1474</v>
      </c>
      <c r="V29" s="134">
        <v>1429</v>
      </c>
      <c r="W29" s="134">
        <v>2012</v>
      </c>
      <c r="X29" s="139">
        <v>1896</v>
      </c>
      <c r="Y29" s="118">
        <v>1912</v>
      </c>
      <c r="Z29" s="118">
        <v>2364</v>
      </c>
    </row>
    <row r="30" spans="1:26" x14ac:dyDescent="0.25">
      <c r="A30" s="9" t="s">
        <v>20</v>
      </c>
      <c r="B30" s="118">
        <v>1193</v>
      </c>
      <c r="C30" s="118">
        <v>515</v>
      </c>
      <c r="D30" s="118">
        <v>472</v>
      </c>
      <c r="E30" s="118">
        <v>648</v>
      </c>
      <c r="F30" s="118">
        <v>514</v>
      </c>
      <c r="G30" s="118">
        <v>548</v>
      </c>
      <c r="H30" s="118">
        <v>623</v>
      </c>
      <c r="I30" s="118">
        <v>765</v>
      </c>
      <c r="J30" s="118">
        <v>982</v>
      </c>
      <c r="K30" s="32">
        <v>817</v>
      </c>
      <c r="L30" s="118">
        <v>785</v>
      </c>
      <c r="M30" s="32">
        <v>710</v>
      </c>
      <c r="N30" s="118">
        <v>657</v>
      </c>
      <c r="O30" s="118">
        <v>666</v>
      </c>
      <c r="P30" s="118">
        <v>643</v>
      </c>
      <c r="Q30" s="118">
        <v>643</v>
      </c>
      <c r="R30" s="118">
        <v>707</v>
      </c>
      <c r="S30" s="118">
        <v>957</v>
      </c>
      <c r="T30" s="134">
        <v>1287</v>
      </c>
      <c r="U30" s="134">
        <v>1299</v>
      </c>
      <c r="V30" s="134">
        <v>1235</v>
      </c>
      <c r="W30" s="134">
        <v>1219</v>
      </c>
      <c r="X30" s="139">
        <v>1370</v>
      </c>
      <c r="Y30" s="118">
        <v>1515</v>
      </c>
      <c r="Z30" s="118">
        <v>1725</v>
      </c>
    </row>
    <row r="31" spans="1:26" x14ac:dyDescent="0.25">
      <c r="A31" s="9" t="s">
        <v>21</v>
      </c>
      <c r="B31" s="118">
        <v>452</v>
      </c>
      <c r="C31" s="118">
        <v>539</v>
      </c>
      <c r="D31" s="118">
        <v>587</v>
      </c>
      <c r="E31" s="118">
        <v>586</v>
      </c>
      <c r="F31" s="118">
        <v>502</v>
      </c>
      <c r="G31" s="118">
        <v>627</v>
      </c>
      <c r="H31" s="118">
        <v>588</v>
      </c>
      <c r="I31" s="118">
        <v>1065</v>
      </c>
      <c r="J31" s="118">
        <v>1468</v>
      </c>
      <c r="K31" s="32">
        <v>1593</v>
      </c>
      <c r="L31" s="118">
        <v>1466</v>
      </c>
      <c r="M31" s="32">
        <v>1786</v>
      </c>
      <c r="N31" s="118">
        <v>1832</v>
      </c>
      <c r="O31" s="118">
        <v>1460</v>
      </c>
      <c r="P31" s="118">
        <v>1777</v>
      </c>
      <c r="Q31" s="118">
        <v>1726</v>
      </c>
      <c r="R31" s="118">
        <v>1717</v>
      </c>
      <c r="S31" s="118">
        <v>1634</v>
      </c>
      <c r="T31" s="134">
        <v>1599</v>
      </c>
      <c r="U31" s="134">
        <v>1419</v>
      </c>
      <c r="V31" s="134">
        <v>1818</v>
      </c>
      <c r="W31" s="134">
        <v>1982</v>
      </c>
      <c r="X31" s="139">
        <v>2082</v>
      </c>
      <c r="Y31" s="118">
        <v>1948</v>
      </c>
      <c r="Z31" s="118">
        <v>1902</v>
      </c>
    </row>
    <row r="32" spans="1:26" x14ac:dyDescent="0.25">
      <c r="A32" s="4" t="s">
        <v>22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34"/>
      <c r="U32" s="134"/>
      <c r="V32" s="134"/>
      <c r="W32" s="12"/>
      <c r="X32" s="139"/>
      <c r="Y32" s="118"/>
      <c r="Z32" s="118"/>
    </row>
    <row r="33" spans="1:26" ht="19.5" x14ac:dyDescent="0.25">
      <c r="A33" s="14" t="s">
        <v>23</v>
      </c>
      <c r="B33" s="118">
        <v>43</v>
      </c>
      <c r="C33" s="118">
        <v>26</v>
      </c>
      <c r="D33" s="118">
        <v>29</v>
      </c>
      <c r="E33" s="118">
        <v>31</v>
      </c>
      <c r="F33" s="118">
        <v>14</v>
      </c>
      <c r="G33" s="118">
        <v>77</v>
      </c>
      <c r="H33" s="118">
        <v>100</v>
      </c>
      <c r="I33" s="118">
        <v>91</v>
      </c>
      <c r="J33" s="118">
        <v>179</v>
      </c>
      <c r="K33" s="32">
        <v>112</v>
      </c>
      <c r="L33" s="118">
        <v>126</v>
      </c>
      <c r="M33" s="32">
        <v>133</v>
      </c>
      <c r="N33" s="118">
        <v>130</v>
      </c>
      <c r="O33" s="118">
        <v>124</v>
      </c>
      <c r="P33" s="118">
        <v>104</v>
      </c>
      <c r="Q33" s="118">
        <v>98</v>
      </c>
      <c r="R33" s="118">
        <v>121</v>
      </c>
      <c r="S33" s="118">
        <v>115</v>
      </c>
      <c r="T33" s="134">
        <v>87</v>
      </c>
      <c r="U33" s="134">
        <v>63</v>
      </c>
      <c r="V33" s="134">
        <v>94</v>
      </c>
      <c r="W33" s="134">
        <v>87</v>
      </c>
      <c r="X33" s="139">
        <v>152</v>
      </c>
      <c r="Y33" s="118">
        <v>158</v>
      </c>
      <c r="Z33" s="118">
        <v>121</v>
      </c>
    </row>
    <row r="34" spans="1:26" ht="19.5" x14ac:dyDescent="0.25">
      <c r="A34" s="14" t="s">
        <v>93</v>
      </c>
      <c r="B34" s="118">
        <v>409</v>
      </c>
      <c r="C34" s="118">
        <f>C31-C33</f>
        <v>513</v>
      </c>
      <c r="D34" s="118">
        <f>D31-D33</f>
        <v>558</v>
      </c>
      <c r="E34" s="118">
        <f>E31-E33</f>
        <v>555</v>
      </c>
      <c r="F34" s="118">
        <v>488</v>
      </c>
      <c r="G34" s="118">
        <v>550</v>
      </c>
      <c r="H34" s="118">
        <v>488</v>
      </c>
      <c r="I34" s="118">
        <v>974</v>
      </c>
      <c r="J34" s="118">
        <v>1289</v>
      </c>
      <c r="K34" s="32">
        <v>1481</v>
      </c>
      <c r="L34" s="118">
        <v>1340</v>
      </c>
      <c r="M34" s="32">
        <v>1653</v>
      </c>
      <c r="N34" s="118">
        <v>1702</v>
      </c>
      <c r="O34" s="118">
        <v>1336</v>
      </c>
      <c r="P34" s="118">
        <v>1673</v>
      </c>
      <c r="Q34" s="118">
        <v>1628</v>
      </c>
      <c r="R34" s="118">
        <v>1596</v>
      </c>
      <c r="S34" s="118">
        <v>1519</v>
      </c>
      <c r="T34" s="134">
        <v>1512</v>
      </c>
      <c r="U34" s="134">
        <v>1356</v>
      </c>
      <c r="V34" s="134">
        <v>1724</v>
      </c>
      <c r="W34" s="134">
        <v>1895</v>
      </c>
      <c r="X34" s="139">
        <v>1930</v>
      </c>
      <c r="Y34" s="118">
        <v>1790</v>
      </c>
      <c r="Z34" s="118">
        <v>1781</v>
      </c>
    </row>
    <row r="35" spans="1:26" x14ac:dyDescent="0.25">
      <c r="A35" s="9" t="s">
        <v>24</v>
      </c>
      <c r="B35" s="118">
        <v>961</v>
      </c>
      <c r="C35" s="118">
        <v>1051</v>
      </c>
      <c r="D35" s="118">
        <v>1110</v>
      </c>
      <c r="E35" s="118">
        <v>1034</v>
      </c>
      <c r="F35" s="118">
        <v>1046</v>
      </c>
      <c r="G35" s="118">
        <v>1230</v>
      </c>
      <c r="H35" s="118">
        <v>1105</v>
      </c>
      <c r="I35" s="118">
        <v>1765</v>
      </c>
      <c r="J35" s="118">
        <v>2090</v>
      </c>
      <c r="K35" s="32">
        <v>2121</v>
      </c>
      <c r="L35" s="118">
        <v>1905</v>
      </c>
      <c r="M35" s="32">
        <v>2053</v>
      </c>
      <c r="N35" s="118">
        <v>1857</v>
      </c>
      <c r="O35" s="118">
        <v>4779</v>
      </c>
      <c r="P35" s="118">
        <v>6527</v>
      </c>
      <c r="Q35" s="118">
        <v>6182</v>
      </c>
      <c r="R35" s="118">
        <v>3849</v>
      </c>
      <c r="S35" s="118">
        <v>2172</v>
      </c>
      <c r="T35" s="134">
        <v>2560</v>
      </c>
      <c r="U35" s="134">
        <v>3142</v>
      </c>
      <c r="V35" s="134">
        <v>2488</v>
      </c>
      <c r="W35" s="134">
        <v>3486</v>
      </c>
      <c r="X35" s="139">
        <v>3623</v>
      </c>
      <c r="Y35" s="118">
        <v>4199</v>
      </c>
      <c r="Z35" s="118">
        <v>4176</v>
      </c>
    </row>
    <row r="36" spans="1:26" x14ac:dyDescent="0.25">
      <c r="A36" s="9" t="s">
        <v>25</v>
      </c>
      <c r="B36" s="118">
        <v>334</v>
      </c>
      <c r="C36" s="118">
        <v>352</v>
      </c>
      <c r="D36" s="118">
        <v>403</v>
      </c>
      <c r="E36" s="118">
        <v>550</v>
      </c>
      <c r="F36" s="118">
        <v>500</v>
      </c>
      <c r="G36" s="118">
        <v>553</v>
      </c>
      <c r="H36" s="118">
        <v>573</v>
      </c>
      <c r="I36" s="118">
        <v>1352</v>
      </c>
      <c r="J36" s="118">
        <v>1380</v>
      </c>
      <c r="K36" s="32">
        <v>1063</v>
      </c>
      <c r="L36" s="118">
        <v>720</v>
      </c>
      <c r="M36" s="32">
        <v>789</v>
      </c>
      <c r="N36" s="118">
        <v>842</v>
      </c>
      <c r="O36" s="118">
        <v>1370</v>
      </c>
      <c r="P36" s="118">
        <v>3109</v>
      </c>
      <c r="Q36" s="118">
        <v>2773</v>
      </c>
      <c r="R36" s="118">
        <v>2494</v>
      </c>
      <c r="S36" s="118">
        <v>1744</v>
      </c>
      <c r="T36" s="134">
        <v>1722</v>
      </c>
      <c r="U36" s="134">
        <v>2140</v>
      </c>
      <c r="V36" s="134">
        <v>3043</v>
      </c>
      <c r="W36" s="134">
        <v>4164</v>
      </c>
      <c r="X36" s="139">
        <v>4367</v>
      </c>
      <c r="Y36" s="118">
        <v>4384</v>
      </c>
      <c r="Z36" s="118">
        <v>4964</v>
      </c>
    </row>
    <row r="37" spans="1:26" x14ac:dyDescent="0.25">
      <c r="A37" s="9" t="s">
        <v>26</v>
      </c>
      <c r="B37" s="118">
        <v>1966</v>
      </c>
      <c r="C37" s="118">
        <v>2053</v>
      </c>
      <c r="D37" s="118">
        <v>2382</v>
      </c>
      <c r="E37" s="118">
        <v>2776</v>
      </c>
      <c r="F37" s="118">
        <v>2751</v>
      </c>
      <c r="G37" s="118">
        <v>3136</v>
      </c>
      <c r="H37" s="118">
        <v>3061</v>
      </c>
      <c r="I37" s="118">
        <v>5109</v>
      </c>
      <c r="J37" s="118">
        <v>5261</v>
      </c>
      <c r="K37" s="32">
        <v>5826</v>
      </c>
      <c r="L37" s="118">
        <v>4285</v>
      </c>
      <c r="M37" s="32">
        <v>4794</v>
      </c>
      <c r="N37" s="118">
        <v>5269</v>
      </c>
      <c r="O37" s="118">
        <v>4647</v>
      </c>
      <c r="P37" s="118">
        <v>6989</v>
      </c>
      <c r="Q37" s="118">
        <v>6794</v>
      </c>
      <c r="R37" s="118">
        <v>5462</v>
      </c>
      <c r="S37" s="118">
        <v>5856</v>
      </c>
      <c r="T37" s="134">
        <v>6737</v>
      </c>
      <c r="U37" s="134">
        <v>10317</v>
      </c>
      <c r="V37" s="134">
        <v>13279</v>
      </c>
      <c r="W37" s="134">
        <v>17403</v>
      </c>
      <c r="X37" s="139">
        <v>19390</v>
      </c>
      <c r="Y37" s="118">
        <v>19274</v>
      </c>
      <c r="Z37" s="118">
        <v>21384</v>
      </c>
    </row>
    <row r="38" spans="1:26" x14ac:dyDescent="0.25">
      <c r="A38" s="9" t="s">
        <v>27</v>
      </c>
      <c r="B38" s="118">
        <v>108</v>
      </c>
      <c r="C38" s="118">
        <v>294</v>
      </c>
      <c r="D38" s="118">
        <v>127</v>
      </c>
      <c r="E38" s="118">
        <v>133</v>
      </c>
      <c r="F38" s="118">
        <v>147</v>
      </c>
      <c r="G38" s="118">
        <v>186</v>
      </c>
      <c r="H38" s="118">
        <v>108</v>
      </c>
      <c r="I38" s="118">
        <v>191</v>
      </c>
      <c r="J38" s="118">
        <v>142</v>
      </c>
      <c r="K38" s="32">
        <v>116</v>
      </c>
      <c r="L38" s="118">
        <v>74</v>
      </c>
      <c r="M38" s="32">
        <v>168</v>
      </c>
      <c r="N38" s="118">
        <v>97</v>
      </c>
      <c r="O38" s="118">
        <v>96</v>
      </c>
      <c r="P38" s="118">
        <v>169</v>
      </c>
      <c r="Q38" s="118">
        <v>175</v>
      </c>
      <c r="R38" s="118">
        <v>213</v>
      </c>
      <c r="S38" s="118">
        <v>240</v>
      </c>
      <c r="T38" s="134">
        <v>334</v>
      </c>
      <c r="U38" s="134">
        <v>434</v>
      </c>
      <c r="V38" s="134">
        <v>364</v>
      </c>
      <c r="W38" s="134">
        <v>454</v>
      </c>
      <c r="X38" s="139">
        <v>492</v>
      </c>
      <c r="Y38" s="118">
        <v>535</v>
      </c>
      <c r="Z38" s="118">
        <v>626</v>
      </c>
    </row>
    <row r="39" spans="1:26" x14ac:dyDescent="0.25">
      <c r="A39" s="9" t="s">
        <v>28</v>
      </c>
      <c r="B39" s="118">
        <v>725</v>
      </c>
      <c r="C39" s="118">
        <v>703</v>
      </c>
      <c r="D39" s="118">
        <v>779</v>
      </c>
      <c r="E39" s="118">
        <v>754</v>
      </c>
      <c r="F39" s="118">
        <v>859</v>
      </c>
      <c r="G39" s="118">
        <v>796</v>
      </c>
      <c r="H39" s="118">
        <v>756</v>
      </c>
      <c r="I39" s="118">
        <v>948</v>
      </c>
      <c r="J39" s="118">
        <v>1144</v>
      </c>
      <c r="K39" s="32">
        <v>1566</v>
      </c>
      <c r="L39" s="118">
        <v>1693</v>
      </c>
      <c r="M39" s="32">
        <v>1604</v>
      </c>
      <c r="N39" s="118">
        <v>1962</v>
      </c>
      <c r="O39" s="118">
        <v>1709</v>
      </c>
      <c r="P39" s="118">
        <v>1994</v>
      </c>
      <c r="Q39" s="118">
        <v>1999</v>
      </c>
      <c r="R39" s="118">
        <v>1596</v>
      </c>
      <c r="S39" s="118">
        <v>1220</v>
      </c>
      <c r="T39" s="134">
        <v>1430</v>
      </c>
      <c r="U39" s="134">
        <v>1762</v>
      </c>
      <c r="V39" s="134">
        <v>1723</v>
      </c>
      <c r="W39" s="134">
        <v>2015</v>
      </c>
      <c r="X39" s="139">
        <v>2078</v>
      </c>
      <c r="Y39" s="118">
        <v>2517</v>
      </c>
      <c r="Z39" s="118">
        <v>2067</v>
      </c>
    </row>
    <row r="40" spans="1:26" x14ac:dyDescent="0.25">
      <c r="A40" s="9" t="s">
        <v>29</v>
      </c>
      <c r="B40" s="118">
        <v>436</v>
      </c>
      <c r="C40" s="118">
        <v>433</v>
      </c>
      <c r="D40" s="118">
        <v>501</v>
      </c>
      <c r="E40" s="118">
        <v>487</v>
      </c>
      <c r="F40" s="118">
        <v>499</v>
      </c>
      <c r="G40" s="118">
        <v>482</v>
      </c>
      <c r="H40" s="118">
        <v>417</v>
      </c>
      <c r="I40" s="118">
        <v>615</v>
      </c>
      <c r="J40" s="118">
        <v>665</v>
      </c>
      <c r="K40" s="32">
        <v>890</v>
      </c>
      <c r="L40" s="118">
        <v>647</v>
      </c>
      <c r="M40" s="32">
        <v>649</v>
      </c>
      <c r="N40" s="118">
        <v>972</v>
      </c>
      <c r="O40" s="118">
        <v>996</v>
      </c>
      <c r="P40" s="118">
        <v>1955</v>
      </c>
      <c r="Q40" s="118">
        <v>1757</v>
      </c>
      <c r="R40" s="118">
        <v>1436</v>
      </c>
      <c r="S40" s="118">
        <v>1106</v>
      </c>
      <c r="T40" s="134">
        <v>1047</v>
      </c>
      <c r="U40" s="134">
        <v>2205</v>
      </c>
      <c r="V40" s="134">
        <v>1689</v>
      </c>
      <c r="W40" s="134">
        <v>2250</v>
      </c>
      <c r="X40" s="139">
        <v>1760</v>
      </c>
      <c r="Y40" s="118">
        <v>2084</v>
      </c>
      <c r="Z40" s="118">
        <v>2105</v>
      </c>
    </row>
    <row r="41" spans="1:26" x14ac:dyDescent="0.25">
      <c r="A41" s="9" t="s">
        <v>30</v>
      </c>
      <c r="B41" s="118">
        <v>425</v>
      </c>
      <c r="C41" s="118">
        <v>628</v>
      </c>
      <c r="D41" s="118">
        <v>576</v>
      </c>
      <c r="E41" s="118">
        <v>769</v>
      </c>
      <c r="F41" s="118">
        <v>590</v>
      </c>
      <c r="G41" s="118">
        <v>631</v>
      </c>
      <c r="H41" s="118">
        <v>590</v>
      </c>
      <c r="I41" s="118">
        <v>1381</v>
      </c>
      <c r="J41" s="118">
        <v>1495</v>
      </c>
      <c r="K41" s="32">
        <v>1873</v>
      </c>
      <c r="L41" s="118">
        <v>1044</v>
      </c>
      <c r="M41" s="32">
        <v>952</v>
      </c>
      <c r="N41" s="118">
        <v>888</v>
      </c>
      <c r="O41" s="118">
        <v>1296</v>
      </c>
      <c r="P41" s="118">
        <v>2334</v>
      </c>
      <c r="Q41" s="118">
        <v>1871</v>
      </c>
      <c r="R41" s="118">
        <v>1631</v>
      </c>
      <c r="S41" s="118">
        <v>1317</v>
      </c>
      <c r="T41" s="134">
        <v>2189</v>
      </c>
      <c r="U41" s="134">
        <v>1887</v>
      </c>
      <c r="V41" s="134">
        <v>1488</v>
      </c>
      <c r="W41" s="134">
        <v>1702</v>
      </c>
      <c r="X41" s="139">
        <v>1642</v>
      </c>
      <c r="Y41" s="118">
        <v>1559</v>
      </c>
      <c r="Z41" s="118">
        <v>1213</v>
      </c>
    </row>
    <row r="42" spans="1:26" ht="18" x14ac:dyDescent="0.25">
      <c r="A42" s="8" t="s">
        <v>220</v>
      </c>
      <c r="B42" s="120">
        <v>19334</v>
      </c>
      <c r="C42" s="120">
        <v>20381</v>
      </c>
      <c r="D42" s="120">
        <v>22696</v>
      </c>
      <c r="E42" s="120">
        <v>19359</v>
      </c>
      <c r="F42" s="120">
        <v>19394</v>
      </c>
      <c r="G42" s="120">
        <v>20120</v>
      </c>
      <c r="H42" s="120">
        <v>23966</v>
      </c>
      <c r="I42" s="120">
        <v>32762</v>
      </c>
      <c r="J42" s="120">
        <v>34493</v>
      </c>
      <c r="K42" s="31">
        <v>34258</v>
      </c>
      <c r="L42" s="120">
        <v>31336</v>
      </c>
      <c r="M42" s="31">
        <v>33124</v>
      </c>
      <c r="N42" s="120">
        <v>35893</v>
      </c>
      <c r="O42" s="120">
        <v>35862</v>
      </c>
      <c r="P42" s="120">
        <v>40952</v>
      </c>
      <c r="Q42" s="120">
        <v>39302</v>
      </c>
      <c r="R42" s="120">
        <v>35093</v>
      </c>
      <c r="S42" s="120">
        <v>36618</v>
      </c>
      <c r="T42" s="133">
        <v>34643</v>
      </c>
      <c r="U42" s="133">
        <v>42342</v>
      </c>
      <c r="V42" s="133">
        <v>44510</v>
      </c>
      <c r="W42" s="133">
        <v>57126</v>
      </c>
      <c r="X42" s="105">
        <v>64690</v>
      </c>
      <c r="Y42" s="120">
        <v>71417</v>
      </c>
      <c r="Z42" s="120">
        <v>69257</v>
      </c>
    </row>
    <row r="43" spans="1:26" x14ac:dyDescent="0.25">
      <c r="A43" s="9" t="s">
        <v>31</v>
      </c>
      <c r="B43" s="118">
        <v>487</v>
      </c>
      <c r="C43" s="118">
        <v>525</v>
      </c>
      <c r="D43" s="118">
        <v>1149</v>
      </c>
      <c r="E43" s="118">
        <v>606</v>
      </c>
      <c r="F43" s="118">
        <v>347</v>
      </c>
      <c r="G43" s="118">
        <v>393</v>
      </c>
      <c r="H43" s="118">
        <v>299</v>
      </c>
      <c r="I43" s="118">
        <v>302</v>
      </c>
      <c r="J43" s="118">
        <v>493</v>
      </c>
      <c r="K43" s="32">
        <v>878</v>
      </c>
      <c r="L43" s="118">
        <v>837</v>
      </c>
      <c r="M43" s="32">
        <v>800</v>
      </c>
      <c r="N43" s="118">
        <v>689</v>
      </c>
      <c r="O43" s="118">
        <v>693</v>
      </c>
      <c r="P43" s="118">
        <v>1198</v>
      </c>
      <c r="Q43" s="118">
        <v>1033</v>
      </c>
      <c r="R43" s="118">
        <v>1076</v>
      </c>
      <c r="S43" s="118">
        <v>961</v>
      </c>
      <c r="T43" s="118">
        <v>756</v>
      </c>
      <c r="U43" s="118">
        <v>1082</v>
      </c>
      <c r="V43" s="118">
        <v>1268</v>
      </c>
      <c r="W43" s="118">
        <v>1619</v>
      </c>
      <c r="X43" s="139">
        <v>2381</v>
      </c>
      <c r="Y43" s="118">
        <v>3030</v>
      </c>
      <c r="Z43" s="118">
        <v>2887</v>
      </c>
    </row>
    <row r="44" spans="1:26" x14ac:dyDescent="0.25">
      <c r="A44" s="9" t="s">
        <v>32</v>
      </c>
      <c r="B44" s="118">
        <v>240</v>
      </c>
      <c r="C44" s="118">
        <v>524</v>
      </c>
      <c r="D44" s="118">
        <v>432</v>
      </c>
      <c r="E44" s="118">
        <v>402</v>
      </c>
      <c r="F44" s="118">
        <v>342</v>
      </c>
      <c r="G44" s="118">
        <v>303</v>
      </c>
      <c r="H44" s="118">
        <v>472</v>
      </c>
      <c r="I44" s="118">
        <v>747</v>
      </c>
      <c r="J44" s="118">
        <v>539</v>
      </c>
      <c r="K44" s="32">
        <v>589</v>
      </c>
      <c r="L44" s="118">
        <v>507</v>
      </c>
      <c r="M44" s="32">
        <v>538</v>
      </c>
      <c r="N44" s="118">
        <v>429</v>
      </c>
      <c r="O44" s="118">
        <v>462</v>
      </c>
      <c r="P44" s="118">
        <v>474</v>
      </c>
      <c r="Q44" s="118">
        <v>439</v>
      </c>
      <c r="R44" s="118">
        <v>248</v>
      </c>
      <c r="S44" s="118">
        <v>570</v>
      </c>
      <c r="T44" s="118">
        <v>579</v>
      </c>
      <c r="U44" s="118">
        <v>666</v>
      </c>
      <c r="V44" s="118">
        <v>573</v>
      </c>
      <c r="W44" s="118">
        <v>906</v>
      </c>
      <c r="X44" s="139">
        <v>899</v>
      </c>
      <c r="Y44" s="118">
        <v>877</v>
      </c>
      <c r="Z44" s="118">
        <v>907</v>
      </c>
    </row>
    <row r="45" spans="1:26" x14ac:dyDescent="0.25">
      <c r="A45" s="9" t="s">
        <v>33</v>
      </c>
      <c r="B45" s="118"/>
      <c r="C45" s="118"/>
      <c r="D45" s="118"/>
      <c r="E45" s="118"/>
      <c r="F45" s="90"/>
      <c r="G45" s="118"/>
      <c r="H45" s="118"/>
      <c r="I45" s="118"/>
      <c r="J45" s="118"/>
      <c r="K45" s="32"/>
      <c r="L45" s="118"/>
      <c r="M45" s="118"/>
      <c r="N45" s="118"/>
      <c r="O45" s="118"/>
      <c r="P45" s="118">
        <v>1548</v>
      </c>
      <c r="Q45" s="118">
        <v>723</v>
      </c>
      <c r="R45" s="118">
        <v>475</v>
      </c>
      <c r="S45" s="118">
        <v>3842</v>
      </c>
      <c r="T45" s="118">
        <v>2666</v>
      </c>
      <c r="U45" s="118">
        <v>4118</v>
      </c>
      <c r="V45" s="118">
        <v>4624</v>
      </c>
      <c r="W45" s="118">
        <v>3598</v>
      </c>
      <c r="X45" s="139">
        <v>5166</v>
      </c>
      <c r="Y45" s="118">
        <v>7119</v>
      </c>
      <c r="Z45" s="118">
        <v>8178</v>
      </c>
    </row>
    <row r="46" spans="1:26" x14ac:dyDescent="0.25">
      <c r="A46" s="9" t="s">
        <v>34</v>
      </c>
      <c r="B46" s="118">
        <v>8558</v>
      </c>
      <c r="C46" s="118">
        <v>8925</v>
      </c>
      <c r="D46" s="118">
        <v>10644</v>
      </c>
      <c r="E46" s="118">
        <v>8720</v>
      </c>
      <c r="F46" s="118">
        <v>9236</v>
      </c>
      <c r="G46" s="118">
        <v>9476</v>
      </c>
      <c r="H46" s="118">
        <v>11823</v>
      </c>
      <c r="I46" s="118">
        <v>17725</v>
      </c>
      <c r="J46" s="118">
        <v>18453</v>
      </c>
      <c r="K46" s="32">
        <v>17084</v>
      </c>
      <c r="L46" s="118">
        <v>14631</v>
      </c>
      <c r="M46" s="32">
        <v>15129</v>
      </c>
      <c r="N46" s="118">
        <v>15618</v>
      </c>
      <c r="O46" s="118">
        <v>16748</v>
      </c>
      <c r="P46" s="118">
        <v>17918</v>
      </c>
      <c r="Q46" s="118">
        <v>16151</v>
      </c>
      <c r="R46" s="118">
        <v>14636</v>
      </c>
      <c r="S46" s="118">
        <v>13688</v>
      </c>
      <c r="T46" s="118">
        <v>14640</v>
      </c>
      <c r="U46" s="118">
        <v>17202</v>
      </c>
      <c r="V46" s="118">
        <v>18225</v>
      </c>
      <c r="W46" s="118">
        <v>28892</v>
      </c>
      <c r="X46" s="139">
        <v>35891</v>
      </c>
      <c r="Y46" s="118">
        <v>36968</v>
      </c>
      <c r="Z46" s="118">
        <v>32704</v>
      </c>
    </row>
    <row r="47" spans="1:26" x14ac:dyDescent="0.25">
      <c r="A47" s="9" t="s">
        <v>35</v>
      </c>
      <c r="B47" s="118">
        <v>1861</v>
      </c>
      <c r="C47" s="118">
        <v>2297</v>
      </c>
      <c r="D47" s="118">
        <v>1973</v>
      </c>
      <c r="E47" s="118">
        <v>1822</v>
      </c>
      <c r="F47" s="118">
        <v>1721</v>
      </c>
      <c r="G47" s="118">
        <v>2365</v>
      </c>
      <c r="H47" s="118">
        <v>2979</v>
      </c>
      <c r="I47" s="118">
        <v>2011</v>
      </c>
      <c r="J47" s="118">
        <v>1357</v>
      </c>
      <c r="K47" s="32">
        <v>1505</v>
      </c>
      <c r="L47" s="118">
        <v>1729</v>
      </c>
      <c r="M47" s="32">
        <v>2322</v>
      </c>
      <c r="N47" s="118">
        <v>2846</v>
      </c>
      <c r="O47" s="118">
        <v>2354</v>
      </c>
      <c r="P47" s="118">
        <v>2792</v>
      </c>
      <c r="Q47" s="118">
        <v>3139</v>
      </c>
      <c r="R47" s="118">
        <v>3716</v>
      </c>
      <c r="S47" s="118">
        <v>2519</v>
      </c>
      <c r="T47" s="118">
        <v>2179</v>
      </c>
      <c r="U47" s="118">
        <v>2219</v>
      </c>
      <c r="V47" s="118">
        <v>2729</v>
      </c>
      <c r="W47" s="118">
        <v>3558</v>
      </c>
      <c r="X47" s="139">
        <v>3439</v>
      </c>
      <c r="Y47" s="118">
        <v>3903</v>
      </c>
      <c r="Z47" s="118">
        <v>3766</v>
      </c>
    </row>
    <row r="48" spans="1:26" x14ac:dyDescent="0.25">
      <c r="A48" s="9" t="s">
        <v>36</v>
      </c>
      <c r="B48" s="118">
        <v>1859</v>
      </c>
      <c r="C48" s="118">
        <v>1925</v>
      </c>
      <c r="D48" s="118">
        <v>1954</v>
      </c>
      <c r="E48" s="118">
        <v>1816</v>
      </c>
      <c r="F48" s="118">
        <v>1581</v>
      </c>
      <c r="G48" s="118">
        <v>1376</v>
      </c>
      <c r="H48" s="118">
        <v>1809</v>
      </c>
      <c r="I48" s="118">
        <v>3269</v>
      </c>
      <c r="J48" s="118">
        <v>3497</v>
      </c>
      <c r="K48" s="32">
        <v>3372</v>
      </c>
      <c r="L48" s="118">
        <v>2720</v>
      </c>
      <c r="M48" s="32">
        <v>2856</v>
      </c>
      <c r="N48" s="118">
        <v>4538</v>
      </c>
      <c r="O48" s="118">
        <v>3912</v>
      </c>
      <c r="P48" s="118">
        <v>5549</v>
      </c>
      <c r="Q48" s="118">
        <v>3798</v>
      </c>
      <c r="R48" s="118">
        <v>3064</v>
      </c>
      <c r="S48" s="118">
        <v>2822</v>
      </c>
      <c r="T48" s="118">
        <v>2483</v>
      </c>
      <c r="U48" s="118">
        <v>3235</v>
      </c>
      <c r="V48" s="118">
        <v>2976</v>
      </c>
      <c r="W48" s="118">
        <v>3402</v>
      </c>
      <c r="X48" s="139">
        <v>3753</v>
      </c>
      <c r="Y48" s="118">
        <v>3826</v>
      </c>
      <c r="Z48" s="118">
        <v>4535</v>
      </c>
    </row>
    <row r="49" spans="1:26" x14ac:dyDescent="0.25">
      <c r="A49" s="9" t="s">
        <v>37</v>
      </c>
      <c r="B49" s="118">
        <v>6329</v>
      </c>
      <c r="C49" s="118">
        <v>6185</v>
      </c>
      <c r="D49" s="118">
        <v>6544</v>
      </c>
      <c r="E49" s="118">
        <v>5993</v>
      </c>
      <c r="F49" s="118">
        <v>6167</v>
      </c>
      <c r="G49" s="118">
        <v>6207</v>
      </c>
      <c r="H49" s="118">
        <v>6584</v>
      </c>
      <c r="I49" s="118">
        <v>8708</v>
      </c>
      <c r="J49" s="118">
        <v>10154</v>
      </c>
      <c r="K49" s="32">
        <v>10830</v>
      </c>
      <c r="L49" s="118">
        <v>10912</v>
      </c>
      <c r="M49" s="32">
        <v>11479</v>
      </c>
      <c r="N49" s="118">
        <v>11773</v>
      </c>
      <c r="O49" s="118">
        <v>11693</v>
      </c>
      <c r="P49" s="118">
        <v>11403</v>
      </c>
      <c r="Q49" s="118">
        <v>13984</v>
      </c>
      <c r="R49" s="118">
        <v>11824</v>
      </c>
      <c r="S49" s="118">
        <v>11858</v>
      </c>
      <c r="T49" s="118">
        <v>10104</v>
      </c>
      <c r="U49" s="118">
        <v>10407</v>
      </c>
      <c r="V49" s="118">
        <v>10286</v>
      </c>
      <c r="W49" s="118">
        <v>11596</v>
      </c>
      <c r="X49" s="139">
        <v>9975</v>
      </c>
      <c r="Y49" s="118">
        <v>12479</v>
      </c>
      <c r="Z49" s="118">
        <v>14024</v>
      </c>
    </row>
    <row r="50" spans="1:26" x14ac:dyDescent="0.25">
      <c r="A50" s="9" t="s">
        <v>38</v>
      </c>
      <c r="B50" s="118"/>
      <c r="C50" s="118"/>
      <c r="D50" s="118"/>
      <c r="E50" s="118"/>
      <c r="F50" s="118"/>
      <c r="G50" s="118"/>
      <c r="H50" s="118"/>
      <c r="I50" s="118"/>
      <c r="J50" s="118"/>
      <c r="K50" s="32"/>
      <c r="L50" s="118"/>
      <c r="M50" s="118"/>
      <c r="N50" s="118"/>
      <c r="O50" s="118"/>
      <c r="P50" s="118">
        <v>70</v>
      </c>
      <c r="Q50" s="118">
        <v>35</v>
      </c>
      <c r="R50" s="118">
        <v>54</v>
      </c>
      <c r="S50" s="118">
        <v>358</v>
      </c>
      <c r="T50" s="118">
        <v>1236</v>
      </c>
      <c r="U50" s="118">
        <v>3413</v>
      </c>
      <c r="V50" s="118">
        <v>3829</v>
      </c>
      <c r="W50" s="118">
        <v>3555</v>
      </c>
      <c r="X50" s="139">
        <v>3186</v>
      </c>
      <c r="Y50" s="118">
        <v>3215</v>
      </c>
      <c r="Z50" s="118">
        <v>2256</v>
      </c>
    </row>
    <row r="51" spans="1:26" ht="18" x14ac:dyDescent="0.25">
      <c r="A51" s="8" t="s">
        <v>115</v>
      </c>
      <c r="B51" s="120">
        <v>10189</v>
      </c>
      <c r="C51" s="120">
        <v>11758</v>
      </c>
      <c r="D51" s="120">
        <v>11111</v>
      </c>
      <c r="E51" s="120">
        <v>11710</v>
      </c>
      <c r="F51" s="120">
        <v>11208</v>
      </c>
      <c r="G51" s="120">
        <v>11567</v>
      </c>
      <c r="H51" s="120">
        <v>11445</v>
      </c>
      <c r="I51" s="120">
        <v>14785</v>
      </c>
      <c r="J51" s="120">
        <v>14548</v>
      </c>
      <c r="K51" s="31">
        <v>14846</v>
      </c>
      <c r="L51" s="120">
        <v>15760</v>
      </c>
      <c r="M51" s="31">
        <v>15026</v>
      </c>
      <c r="N51" s="120">
        <v>19647</v>
      </c>
      <c r="O51" s="120">
        <v>18699</v>
      </c>
      <c r="P51" s="120">
        <v>28869</v>
      </c>
      <c r="Q51" s="120">
        <v>26025</v>
      </c>
      <c r="R51" s="120">
        <v>25838</v>
      </c>
      <c r="S51" s="120">
        <v>21931</v>
      </c>
      <c r="T51" s="133">
        <v>15264</v>
      </c>
      <c r="U51" s="133">
        <v>16608</v>
      </c>
      <c r="V51" s="133">
        <v>17740</v>
      </c>
      <c r="W51" s="133">
        <v>24033</v>
      </c>
      <c r="X51" s="105">
        <v>28873</v>
      </c>
      <c r="Y51" s="120">
        <v>35929</v>
      </c>
      <c r="Z51" s="120">
        <v>43522</v>
      </c>
    </row>
    <row r="52" spans="1:26" x14ac:dyDescent="0.25">
      <c r="A52" s="9" t="s">
        <v>39</v>
      </c>
      <c r="B52" s="118">
        <v>3385</v>
      </c>
      <c r="C52" s="118">
        <v>4815</v>
      </c>
      <c r="D52" s="118">
        <v>3727</v>
      </c>
      <c r="E52" s="118">
        <v>4633</v>
      </c>
      <c r="F52" s="118">
        <v>4572</v>
      </c>
      <c r="G52" s="118">
        <v>4493</v>
      </c>
      <c r="H52" s="118">
        <v>4601</v>
      </c>
      <c r="I52" s="118">
        <v>5260</v>
      </c>
      <c r="J52" s="118">
        <v>5420</v>
      </c>
      <c r="K52" s="32">
        <v>6800</v>
      </c>
      <c r="L52" s="118">
        <v>7509</v>
      </c>
      <c r="M52" s="32">
        <v>7133</v>
      </c>
      <c r="N52" s="118">
        <v>8253</v>
      </c>
      <c r="O52" s="118">
        <v>6987</v>
      </c>
      <c r="P52" s="118">
        <v>7896</v>
      </c>
      <c r="Q52" s="118">
        <v>9108</v>
      </c>
      <c r="R52" s="118">
        <v>9362</v>
      </c>
      <c r="S52" s="118">
        <v>7892</v>
      </c>
      <c r="T52" s="134">
        <v>3598</v>
      </c>
      <c r="U52" s="134">
        <v>3655</v>
      </c>
      <c r="V52" s="134">
        <v>3096</v>
      </c>
      <c r="W52" s="134">
        <v>3213</v>
      </c>
      <c r="X52" s="139">
        <v>3427</v>
      </c>
      <c r="Y52" s="118">
        <v>7657</v>
      </c>
      <c r="Z52" s="118">
        <v>12477</v>
      </c>
    </row>
    <row r="53" spans="1:26" x14ac:dyDescent="0.25">
      <c r="A53" s="9" t="s">
        <v>40</v>
      </c>
      <c r="B53" s="118">
        <v>126</v>
      </c>
      <c r="C53" s="118">
        <v>243</v>
      </c>
      <c r="D53" s="118">
        <v>155</v>
      </c>
      <c r="E53" s="118">
        <v>206</v>
      </c>
      <c r="F53" s="118">
        <v>139</v>
      </c>
      <c r="G53" s="118">
        <v>284</v>
      </c>
      <c r="H53" s="118">
        <v>297</v>
      </c>
      <c r="I53" s="118">
        <v>1743</v>
      </c>
      <c r="J53" s="118">
        <v>442</v>
      </c>
      <c r="K53" s="32">
        <v>298</v>
      </c>
      <c r="L53" s="118">
        <v>939</v>
      </c>
      <c r="M53" s="32">
        <v>616</v>
      </c>
      <c r="N53" s="118">
        <v>492</v>
      </c>
      <c r="O53" s="118">
        <v>527</v>
      </c>
      <c r="P53" s="118">
        <v>1381</v>
      </c>
      <c r="Q53" s="118">
        <v>1001</v>
      </c>
      <c r="R53" s="118">
        <v>1329</v>
      </c>
      <c r="S53" s="118">
        <v>1176</v>
      </c>
      <c r="T53" s="134">
        <v>1067</v>
      </c>
      <c r="U53" s="134">
        <v>842</v>
      </c>
      <c r="V53" s="134">
        <v>690</v>
      </c>
      <c r="W53" s="134">
        <v>546</v>
      </c>
      <c r="X53" s="139">
        <v>574</v>
      </c>
      <c r="Y53" s="118">
        <v>763</v>
      </c>
      <c r="Z53" s="118">
        <v>755</v>
      </c>
    </row>
    <row r="54" spans="1:26" ht="19.5" x14ac:dyDescent="0.25">
      <c r="A54" s="9" t="s">
        <v>157</v>
      </c>
      <c r="B54" s="118">
        <v>1099</v>
      </c>
      <c r="C54" s="118">
        <v>1341</v>
      </c>
      <c r="D54" s="118">
        <v>1418</v>
      </c>
      <c r="E54" s="118">
        <v>1281</v>
      </c>
      <c r="F54" s="118">
        <v>1238</v>
      </c>
      <c r="G54" s="118">
        <v>1503</v>
      </c>
      <c r="H54" s="118">
        <v>1302</v>
      </c>
      <c r="I54" s="118">
        <v>1334</v>
      </c>
      <c r="J54" s="118">
        <v>1545</v>
      </c>
      <c r="K54" s="32">
        <v>1633</v>
      </c>
      <c r="L54" s="118">
        <v>1654</v>
      </c>
      <c r="M54" s="32">
        <v>1523</v>
      </c>
      <c r="N54" s="118">
        <v>1564</v>
      </c>
      <c r="O54" s="118">
        <v>1815</v>
      </c>
      <c r="P54" s="118">
        <v>2038</v>
      </c>
      <c r="Q54" s="118">
        <v>2458</v>
      </c>
      <c r="R54" s="118">
        <v>2007</v>
      </c>
      <c r="S54" s="118">
        <v>2125</v>
      </c>
      <c r="T54" s="134">
        <v>2342</v>
      </c>
      <c r="U54" s="134">
        <v>2313</v>
      </c>
      <c r="V54" s="134">
        <v>3422</v>
      </c>
      <c r="W54" s="134">
        <v>3458</v>
      </c>
      <c r="X54" s="139">
        <v>2316</v>
      </c>
      <c r="Y54" s="118">
        <v>2365</v>
      </c>
      <c r="Z54" s="118">
        <v>2922</v>
      </c>
    </row>
    <row r="55" spans="1:26" ht="19.5" x14ac:dyDescent="0.25">
      <c r="A55" s="9" t="s">
        <v>162</v>
      </c>
      <c r="B55" s="118">
        <v>340</v>
      </c>
      <c r="C55" s="118">
        <v>471</v>
      </c>
      <c r="D55" s="118">
        <v>399</v>
      </c>
      <c r="E55" s="118">
        <v>495</v>
      </c>
      <c r="F55" s="118">
        <v>380</v>
      </c>
      <c r="G55" s="118">
        <v>365</v>
      </c>
      <c r="H55" s="118">
        <v>422</v>
      </c>
      <c r="I55" s="118">
        <v>441</v>
      </c>
      <c r="J55" s="118">
        <v>555</v>
      </c>
      <c r="K55" s="32">
        <v>361</v>
      </c>
      <c r="L55" s="118">
        <v>424</v>
      </c>
      <c r="M55" s="32">
        <v>412</v>
      </c>
      <c r="N55" s="118">
        <v>367</v>
      </c>
      <c r="O55" s="118">
        <v>504</v>
      </c>
      <c r="P55" s="118">
        <v>721</v>
      </c>
      <c r="Q55" s="118">
        <v>1011</v>
      </c>
      <c r="R55" s="118">
        <v>717</v>
      </c>
      <c r="S55" s="118">
        <v>467</v>
      </c>
      <c r="T55" s="134">
        <v>588</v>
      </c>
      <c r="U55" s="134">
        <v>933</v>
      </c>
      <c r="V55" s="134">
        <v>797</v>
      </c>
      <c r="W55" s="134">
        <v>1614</v>
      </c>
      <c r="X55" s="139">
        <v>1563</v>
      </c>
      <c r="Y55" s="118">
        <v>1802</v>
      </c>
      <c r="Z55" s="118">
        <v>1982</v>
      </c>
    </row>
    <row r="56" spans="1:26" ht="19.5" x14ac:dyDescent="0.25">
      <c r="A56" s="9" t="s">
        <v>142</v>
      </c>
      <c r="B56" s="118">
        <v>856</v>
      </c>
      <c r="C56" s="118">
        <v>935</v>
      </c>
      <c r="D56" s="118">
        <v>1070</v>
      </c>
      <c r="E56" s="118">
        <v>827</v>
      </c>
      <c r="F56" s="118">
        <v>648</v>
      </c>
      <c r="G56" s="118">
        <v>728</v>
      </c>
      <c r="H56" s="118">
        <v>585</v>
      </c>
      <c r="I56" s="118">
        <v>732</v>
      </c>
      <c r="J56" s="118">
        <v>649</v>
      </c>
      <c r="K56" s="32">
        <v>661</v>
      </c>
      <c r="L56" s="118">
        <v>842</v>
      </c>
      <c r="M56" s="32">
        <v>650</v>
      </c>
      <c r="N56" s="118">
        <v>675</v>
      </c>
      <c r="O56" s="118">
        <v>398</v>
      </c>
      <c r="P56" s="118">
        <v>361</v>
      </c>
      <c r="Q56" s="118">
        <v>406</v>
      </c>
      <c r="R56" s="118">
        <v>394</v>
      </c>
      <c r="S56" s="118">
        <v>547</v>
      </c>
      <c r="T56" s="134">
        <v>491</v>
      </c>
      <c r="U56" s="134">
        <v>748</v>
      </c>
      <c r="V56" s="134">
        <v>888</v>
      </c>
      <c r="W56" s="134">
        <v>2121</v>
      </c>
      <c r="X56" s="139">
        <v>1644</v>
      </c>
      <c r="Y56" s="118">
        <v>1730</v>
      </c>
      <c r="Z56" s="118">
        <v>1996</v>
      </c>
    </row>
    <row r="57" spans="1:26" x14ac:dyDescent="0.25">
      <c r="A57" s="9" t="s">
        <v>44</v>
      </c>
      <c r="B57" s="118" t="s">
        <v>96</v>
      </c>
      <c r="C57" s="118" t="s">
        <v>96</v>
      </c>
      <c r="D57" s="118" t="s">
        <v>96</v>
      </c>
      <c r="E57" s="118" t="s">
        <v>96</v>
      </c>
      <c r="F57" s="118" t="s">
        <v>96</v>
      </c>
      <c r="G57" s="118">
        <v>452</v>
      </c>
      <c r="H57" s="118">
        <v>441</v>
      </c>
      <c r="I57" s="118">
        <v>450</v>
      </c>
      <c r="J57" s="118">
        <v>525</v>
      </c>
      <c r="K57" s="32">
        <v>644</v>
      </c>
      <c r="L57" s="118">
        <v>668</v>
      </c>
      <c r="M57" s="32">
        <v>799</v>
      </c>
      <c r="N57" s="118">
        <v>2684</v>
      </c>
      <c r="O57" s="118">
        <v>2720</v>
      </c>
      <c r="P57" s="118">
        <v>10252</v>
      </c>
      <c r="Q57" s="118">
        <v>6899</v>
      </c>
      <c r="R57" s="118">
        <v>7615</v>
      </c>
      <c r="S57" s="118">
        <v>6342</v>
      </c>
      <c r="T57" s="134">
        <v>3253</v>
      </c>
      <c r="U57" s="134">
        <v>3089</v>
      </c>
      <c r="V57" s="134">
        <v>3732</v>
      </c>
      <c r="W57" s="134">
        <v>5618</v>
      </c>
      <c r="X57" s="139">
        <v>11628</v>
      </c>
      <c r="Y57" s="118">
        <v>12756</v>
      </c>
      <c r="Z57" s="118">
        <v>14590</v>
      </c>
    </row>
    <row r="58" spans="1:26" x14ac:dyDescent="0.25">
      <c r="A58" s="9" t="s">
        <v>45</v>
      </c>
      <c r="B58" s="118">
        <v>4383</v>
      </c>
      <c r="C58" s="118">
        <v>3953</v>
      </c>
      <c r="D58" s="118">
        <v>4342</v>
      </c>
      <c r="E58" s="118">
        <v>4268</v>
      </c>
      <c r="F58" s="118">
        <v>4231</v>
      </c>
      <c r="G58" s="118">
        <v>3742</v>
      </c>
      <c r="H58" s="118">
        <v>3797</v>
      </c>
      <c r="I58" s="118">
        <v>4825</v>
      </c>
      <c r="J58" s="118">
        <v>5412</v>
      </c>
      <c r="K58" s="32">
        <v>4449</v>
      </c>
      <c r="L58" s="118">
        <v>3724</v>
      </c>
      <c r="M58" s="32">
        <v>3893</v>
      </c>
      <c r="N58" s="118">
        <v>5612</v>
      </c>
      <c r="O58" s="118">
        <v>5748</v>
      </c>
      <c r="P58" s="118">
        <v>6220</v>
      </c>
      <c r="Q58" s="118">
        <v>5142</v>
      </c>
      <c r="R58" s="118">
        <v>4414</v>
      </c>
      <c r="S58" s="118">
        <v>3382</v>
      </c>
      <c r="T58" s="134">
        <v>3925</v>
      </c>
      <c r="U58" s="134">
        <v>5028</v>
      </c>
      <c r="V58" s="134">
        <v>5115</v>
      </c>
      <c r="W58" s="134">
        <v>7463</v>
      </c>
      <c r="X58" s="139">
        <v>7721</v>
      </c>
      <c r="Y58" s="118">
        <v>8856</v>
      </c>
      <c r="Z58" s="118">
        <v>8800</v>
      </c>
    </row>
    <row r="59" spans="1:26" ht="18" x14ac:dyDescent="0.25">
      <c r="A59" s="8" t="s">
        <v>111</v>
      </c>
      <c r="B59" s="120">
        <v>33363</v>
      </c>
      <c r="C59" s="120">
        <v>34461</v>
      </c>
      <c r="D59" s="120">
        <v>35721</v>
      </c>
      <c r="E59" s="120">
        <v>34346</v>
      </c>
      <c r="F59" s="120">
        <v>34612</v>
      </c>
      <c r="G59" s="120">
        <v>37711</v>
      </c>
      <c r="H59" s="120">
        <v>43063</v>
      </c>
      <c r="I59" s="120">
        <v>53000</v>
      </c>
      <c r="J59" s="120">
        <v>62225</v>
      </c>
      <c r="K59" s="31">
        <v>66496</v>
      </c>
      <c r="L59" s="120">
        <v>62348</v>
      </c>
      <c r="M59" s="31">
        <v>64819</v>
      </c>
      <c r="N59" s="120">
        <v>66010</v>
      </c>
      <c r="O59" s="120">
        <v>71348</v>
      </c>
      <c r="P59" s="120">
        <v>72871</v>
      </c>
      <c r="Q59" s="120">
        <v>69169</v>
      </c>
      <c r="R59" s="120">
        <v>68921</v>
      </c>
      <c r="S59" s="120">
        <v>67348</v>
      </c>
      <c r="T59" s="120">
        <v>64582</v>
      </c>
      <c r="U59" s="133">
        <v>68978</v>
      </c>
      <c r="V59" s="133">
        <v>72558</v>
      </c>
      <c r="W59" s="133">
        <v>87361</v>
      </c>
      <c r="X59" s="105">
        <v>90754</v>
      </c>
      <c r="Y59" s="120">
        <v>94300</v>
      </c>
      <c r="Z59" s="120">
        <v>110679</v>
      </c>
    </row>
    <row r="60" spans="1:26" x14ac:dyDescent="0.25">
      <c r="A60" s="9" t="s">
        <v>46</v>
      </c>
      <c r="B60" s="118">
        <v>9255</v>
      </c>
      <c r="C60" s="118">
        <v>9677</v>
      </c>
      <c r="D60" s="118">
        <v>9340</v>
      </c>
      <c r="E60" s="118">
        <v>9358</v>
      </c>
      <c r="F60" s="118">
        <v>9636</v>
      </c>
      <c r="G60" s="118">
        <v>10133</v>
      </c>
      <c r="H60" s="118">
        <v>10759</v>
      </c>
      <c r="I60" s="118">
        <v>11486</v>
      </c>
      <c r="J60" s="118">
        <v>16528</v>
      </c>
      <c r="K60" s="32">
        <v>17946</v>
      </c>
      <c r="L60" s="118">
        <v>14401</v>
      </c>
      <c r="M60" s="32">
        <v>14605</v>
      </c>
      <c r="N60" s="118">
        <v>15379</v>
      </c>
      <c r="O60" s="118">
        <v>15724</v>
      </c>
      <c r="P60" s="118">
        <v>15974</v>
      </c>
      <c r="Q60" s="118">
        <v>14907</v>
      </c>
      <c r="R60" s="118">
        <v>18054</v>
      </c>
      <c r="S60" s="118">
        <v>17698</v>
      </c>
      <c r="T60" s="134">
        <v>13789</v>
      </c>
      <c r="U60" s="134">
        <v>13605</v>
      </c>
      <c r="V60" s="134">
        <v>14507</v>
      </c>
      <c r="W60" s="134">
        <v>16725</v>
      </c>
      <c r="X60" s="139">
        <v>16846</v>
      </c>
      <c r="Y60" s="118">
        <v>18539</v>
      </c>
      <c r="Z60" s="118">
        <v>20833</v>
      </c>
    </row>
    <row r="61" spans="1:26" x14ac:dyDescent="0.25">
      <c r="A61" s="9" t="s">
        <v>47</v>
      </c>
      <c r="B61" s="118">
        <v>911</v>
      </c>
      <c r="C61" s="118">
        <v>803</v>
      </c>
      <c r="D61" s="118">
        <v>890</v>
      </c>
      <c r="E61" s="118">
        <v>859</v>
      </c>
      <c r="F61" s="118">
        <v>936</v>
      </c>
      <c r="G61" s="118">
        <v>1065</v>
      </c>
      <c r="H61" s="118">
        <v>1442</v>
      </c>
      <c r="I61" s="118">
        <v>1888</v>
      </c>
      <c r="J61" s="118">
        <v>1891</v>
      </c>
      <c r="K61" s="32">
        <v>1976</v>
      </c>
      <c r="L61" s="118">
        <v>1954</v>
      </c>
      <c r="M61" s="32">
        <v>1918</v>
      </c>
      <c r="N61" s="118">
        <v>1924</v>
      </c>
      <c r="O61" s="118">
        <v>2038</v>
      </c>
      <c r="P61" s="118">
        <v>1943</v>
      </c>
      <c r="Q61" s="118">
        <v>1822</v>
      </c>
      <c r="R61" s="118">
        <v>1576</v>
      </c>
      <c r="S61" s="118">
        <v>1241</v>
      </c>
      <c r="T61" s="134">
        <v>1180</v>
      </c>
      <c r="U61" s="134">
        <v>1481</v>
      </c>
      <c r="V61" s="134">
        <v>1285</v>
      </c>
      <c r="W61" s="134">
        <v>1447</v>
      </c>
      <c r="X61" s="139">
        <v>2067</v>
      </c>
      <c r="Y61" s="118">
        <v>2159</v>
      </c>
      <c r="Z61" s="118">
        <v>2452</v>
      </c>
    </row>
    <row r="62" spans="1:26" x14ac:dyDescent="0.25">
      <c r="A62" s="9" t="s">
        <v>48</v>
      </c>
      <c r="B62" s="118">
        <v>1040</v>
      </c>
      <c r="C62" s="118">
        <v>1075</v>
      </c>
      <c r="D62" s="118">
        <v>854</v>
      </c>
      <c r="E62" s="118">
        <v>867</v>
      </c>
      <c r="F62" s="118">
        <v>823</v>
      </c>
      <c r="G62" s="118">
        <v>819</v>
      </c>
      <c r="H62" s="118">
        <v>990</v>
      </c>
      <c r="I62" s="118">
        <v>1195</v>
      </c>
      <c r="J62" s="118">
        <v>1230</v>
      </c>
      <c r="K62" s="32">
        <v>1119</v>
      </c>
      <c r="L62" s="118">
        <v>1324</v>
      </c>
      <c r="M62" s="32">
        <v>1186</v>
      </c>
      <c r="N62" s="118">
        <v>1214</v>
      </c>
      <c r="O62" s="118">
        <v>1295</v>
      </c>
      <c r="P62" s="118">
        <v>1295</v>
      </c>
      <c r="Q62" s="118">
        <v>1283</v>
      </c>
      <c r="R62" s="118">
        <v>1262</v>
      </c>
      <c r="S62" s="118">
        <v>1139</v>
      </c>
      <c r="T62" s="134">
        <v>1148</v>
      </c>
      <c r="U62" s="134">
        <v>1478</v>
      </c>
      <c r="V62" s="134">
        <v>1401</v>
      </c>
      <c r="W62" s="134">
        <v>1586</v>
      </c>
      <c r="X62" s="139">
        <v>1628</v>
      </c>
      <c r="Y62" s="118">
        <v>1392</v>
      </c>
      <c r="Z62" s="118">
        <v>1855</v>
      </c>
    </row>
    <row r="63" spans="1:26" x14ac:dyDescent="0.25">
      <c r="A63" s="9" t="s">
        <v>49</v>
      </c>
      <c r="B63" s="118">
        <v>5838</v>
      </c>
      <c r="C63" s="118">
        <v>5353</v>
      </c>
      <c r="D63" s="118">
        <v>5617</v>
      </c>
      <c r="E63" s="118">
        <v>5023</v>
      </c>
      <c r="F63" s="118">
        <v>4499</v>
      </c>
      <c r="G63" s="118">
        <v>5534</v>
      </c>
      <c r="H63" s="118">
        <v>7166</v>
      </c>
      <c r="I63" s="118">
        <v>7554</v>
      </c>
      <c r="J63" s="118">
        <v>8437</v>
      </c>
      <c r="K63" s="32">
        <v>7144</v>
      </c>
      <c r="L63" s="118">
        <v>8218</v>
      </c>
      <c r="M63" s="32">
        <v>8595</v>
      </c>
      <c r="N63" s="118">
        <v>9745</v>
      </c>
      <c r="O63" s="118">
        <v>11839</v>
      </c>
      <c r="P63" s="118">
        <v>10499</v>
      </c>
      <c r="Q63" s="118">
        <v>10645</v>
      </c>
      <c r="R63" s="118">
        <v>9852</v>
      </c>
      <c r="S63" s="118">
        <v>9717</v>
      </c>
      <c r="T63" s="134">
        <v>9769</v>
      </c>
      <c r="U63" s="134">
        <v>9849</v>
      </c>
      <c r="V63" s="134">
        <v>12081</v>
      </c>
      <c r="W63" s="134">
        <v>16212</v>
      </c>
      <c r="X63" s="139">
        <v>16396</v>
      </c>
      <c r="Y63" s="118">
        <v>13922</v>
      </c>
      <c r="Z63" s="118">
        <v>18291</v>
      </c>
    </row>
    <row r="64" spans="1:26" x14ac:dyDescent="0.25">
      <c r="A64" s="9" t="s">
        <v>50</v>
      </c>
      <c r="B64" s="118">
        <v>1713</v>
      </c>
      <c r="C64" s="118">
        <v>1809</v>
      </c>
      <c r="D64" s="118">
        <v>1953</v>
      </c>
      <c r="E64" s="118">
        <v>2173</v>
      </c>
      <c r="F64" s="118">
        <v>2227</v>
      </c>
      <c r="G64" s="118">
        <v>2315</v>
      </c>
      <c r="H64" s="118">
        <v>2409</v>
      </c>
      <c r="I64" s="118">
        <v>2765</v>
      </c>
      <c r="J64" s="118">
        <v>3041</v>
      </c>
      <c r="K64" s="32">
        <v>3426</v>
      </c>
      <c r="L64" s="118">
        <v>2747</v>
      </c>
      <c r="M64" s="32">
        <v>3070</v>
      </c>
      <c r="N64" s="118">
        <v>2798</v>
      </c>
      <c r="O64" s="118">
        <v>2512</v>
      </c>
      <c r="P64" s="118">
        <v>2642</v>
      </c>
      <c r="Q64" s="118">
        <v>3116</v>
      </c>
      <c r="R64" s="118">
        <v>3064</v>
      </c>
      <c r="S64" s="118">
        <v>3007</v>
      </c>
      <c r="T64" s="134">
        <v>3203</v>
      </c>
      <c r="U64" s="134">
        <v>4167</v>
      </c>
      <c r="V64" s="134">
        <v>4108</v>
      </c>
      <c r="W64" s="134">
        <v>4274</v>
      </c>
      <c r="X64" s="139">
        <v>7066</v>
      </c>
      <c r="Y64" s="118">
        <v>7881</v>
      </c>
      <c r="Z64" s="118">
        <v>8465</v>
      </c>
    </row>
    <row r="65" spans="1:26" x14ac:dyDescent="0.25">
      <c r="A65" s="9" t="s">
        <v>51</v>
      </c>
      <c r="B65" s="118">
        <v>2741</v>
      </c>
      <c r="C65" s="118">
        <v>2899</v>
      </c>
      <c r="D65" s="118">
        <v>3400</v>
      </c>
      <c r="E65" s="118">
        <v>3106</v>
      </c>
      <c r="F65" s="118">
        <v>2984</v>
      </c>
      <c r="G65" s="118">
        <v>3226</v>
      </c>
      <c r="H65" s="118">
        <v>3479</v>
      </c>
      <c r="I65" s="118">
        <v>4580</v>
      </c>
      <c r="J65" s="118">
        <v>4751</v>
      </c>
      <c r="K65" s="32">
        <v>4025</v>
      </c>
      <c r="L65" s="118">
        <v>3987</v>
      </c>
      <c r="M65" s="32">
        <v>3978</v>
      </c>
      <c r="N65" s="118">
        <v>3561</v>
      </c>
      <c r="O65" s="118">
        <v>3352</v>
      </c>
      <c r="P65" s="118">
        <v>3126</v>
      </c>
      <c r="Q65" s="118">
        <v>2412</v>
      </c>
      <c r="R65" s="118">
        <v>1756</v>
      </c>
      <c r="S65" s="118">
        <v>1624</v>
      </c>
      <c r="T65" s="134">
        <v>1426</v>
      </c>
      <c r="U65" s="134">
        <v>1502</v>
      </c>
      <c r="V65" s="134">
        <v>1466</v>
      </c>
      <c r="W65" s="134">
        <v>3416</v>
      </c>
      <c r="X65" s="139">
        <v>4301</v>
      </c>
      <c r="Y65" s="118">
        <v>2797</v>
      </c>
      <c r="Z65" s="118">
        <v>3078</v>
      </c>
    </row>
    <row r="66" spans="1:26" x14ac:dyDescent="0.25">
      <c r="A66" s="9" t="s">
        <v>52</v>
      </c>
      <c r="B66" s="118">
        <v>1343</v>
      </c>
      <c r="C66" s="118">
        <v>1629</v>
      </c>
      <c r="D66" s="118">
        <v>1876</v>
      </c>
      <c r="E66" s="118">
        <v>1828</v>
      </c>
      <c r="F66" s="118">
        <v>1997</v>
      </c>
      <c r="G66" s="118">
        <v>2243</v>
      </c>
      <c r="H66" s="118">
        <v>2518</v>
      </c>
      <c r="I66" s="118">
        <v>3576</v>
      </c>
      <c r="J66" s="118">
        <v>3990</v>
      </c>
      <c r="K66" s="32">
        <v>4182</v>
      </c>
      <c r="L66" s="118">
        <v>3359</v>
      </c>
      <c r="M66" s="32">
        <v>3169</v>
      </c>
      <c r="N66" s="118">
        <v>3654</v>
      </c>
      <c r="O66" s="118">
        <v>5055</v>
      </c>
      <c r="P66" s="118">
        <v>5675</v>
      </c>
      <c r="Q66" s="118">
        <v>5101</v>
      </c>
      <c r="R66" s="118">
        <v>3701</v>
      </c>
      <c r="S66" s="118">
        <v>4676</v>
      </c>
      <c r="T66" s="134">
        <v>4582</v>
      </c>
      <c r="U66" s="134">
        <v>6147</v>
      </c>
      <c r="V66" s="134">
        <v>5539</v>
      </c>
      <c r="W66" s="134">
        <v>6464</v>
      </c>
      <c r="X66" s="139">
        <v>9798</v>
      </c>
      <c r="Y66" s="118">
        <v>10690</v>
      </c>
      <c r="Z66" s="118">
        <v>10522</v>
      </c>
    </row>
    <row r="67" spans="1:26" x14ac:dyDescent="0.25">
      <c r="A67" s="9" t="s">
        <v>53</v>
      </c>
      <c r="B67" s="118">
        <v>1094</v>
      </c>
      <c r="C67" s="118">
        <v>1094</v>
      </c>
      <c r="D67" s="118">
        <v>971</v>
      </c>
      <c r="E67" s="118">
        <v>881</v>
      </c>
      <c r="F67" s="118">
        <v>1037</v>
      </c>
      <c r="G67" s="118">
        <v>1166</v>
      </c>
      <c r="H67" s="118">
        <v>1418</v>
      </c>
      <c r="I67" s="118">
        <v>2115</v>
      </c>
      <c r="J67" s="118">
        <v>2115</v>
      </c>
      <c r="K67" s="32">
        <v>1920</v>
      </c>
      <c r="L67" s="118">
        <v>1529</v>
      </c>
      <c r="M67" s="32">
        <v>1515</v>
      </c>
      <c r="N67" s="118">
        <v>1658</v>
      </c>
      <c r="O67" s="118">
        <v>1657</v>
      </c>
      <c r="P67" s="118">
        <v>2790</v>
      </c>
      <c r="Q67" s="118">
        <v>2763</v>
      </c>
      <c r="R67" s="118">
        <v>2169</v>
      </c>
      <c r="S67" s="118">
        <v>1999</v>
      </c>
      <c r="T67" s="118">
        <v>2173</v>
      </c>
      <c r="U67" s="134">
        <v>2150</v>
      </c>
      <c r="V67" s="134">
        <v>1970</v>
      </c>
      <c r="W67" s="134">
        <v>2542</v>
      </c>
      <c r="X67" s="139">
        <v>2770</v>
      </c>
      <c r="Y67" s="118">
        <v>3146</v>
      </c>
      <c r="Z67" s="118">
        <v>3762</v>
      </c>
    </row>
    <row r="68" spans="1:26" x14ac:dyDescent="0.25">
      <c r="A68" s="9" t="s">
        <v>54</v>
      </c>
      <c r="B68" s="118">
        <v>1889</v>
      </c>
      <c r="C68" s="118">
        <v>1840</v>
      </c>
      <c r="D68" s="118">
        <v>1822</v>
      </c>
      <c r="E68" s="118">
        <v>2142</v>
      </c>
      <c r="F68" s="118">
        <v>2324</v>
      </c>
      <c r="G68" s="118">
        <v>2449</v>
      </c>
      <c r="H68" s="118">
        <v>2399</v>
      </c>
      <c r="I68" s="118">
        <v>2927</v>
      </c>
      <c r="J68" s="118">
        <v>6048</v>
      </c>
      <c r="K68" s="32">
        <v>10954</v>
      </c>
      <c r="L68" s="118">
        <v>11240</v>
      </c>
      <c r="M68" s="32">
        <v>11497</v>
      </c>
      <c r="N68" s="118">
        <v>9713</v>
      </c>
      <c r="O68" s="118">
        <v>8383</v>
      </c>
      <c r="P68" s="118">
        <v>7383</v>
      </c>
      <c r="Q68" s="118">
        <v>5654</v>
      </c>
      <c r="R68" s="118">
        <v>6906</v>
      </c>
      <c r="S68" s="118">
        <v>5375</v>
      </c>
      <c r="T68" s="134">
        <v>5967</v>
      </c>
      <c r="U68" s="134">
        <v>6034</v>
      </c>
      <c r="V68" s="134">
        <v>6301</v>
      </c>
      <c r="W68" s="134">
        <v>8912</v>
      </c>
      <c r="X68" s="139">
        <v>7801</v>
      </c>
      <c r="Y68" s="118">
        <v>7883</v>
      </c>
      <c r="Z68" s="118">
        <v>9951</v>
      </c>
    </row>
    <row r="69" spans="1:26" x14ac:dyDescent="0.25">
      <c r="A69" s="9" t="s">
        <v>55</v>
      </c>
      <c r="B69" s="118">
        <v>1910</v>
      </c>
      <c r="C69" s="118">
        <v>2561</v>
      </c>
      <c r="D69" s="118">
        <v>2873</v>
      </c>
      <c r="E69" s="118">
        <v>2982</v>
      </c>
      <c r="F69" s="118">
        <v>2998</v>
      </c>
      <c r="G69" s="118">
        <v>3398</v>
      </c>
      <c r="H69" s="118">
        <v>3593</v>
      </c>
      <c r="I69" s="118">
        <v>3702</v>
      </c>
      <c r="J69" s="118">
        <v>3374</v>
      </c>
      <c r="K69" s="32">
        <v>3159</v>
      </c>
      <c r="L69" s="118">
        <v>2829</v>
      </c>
      <c r="M69" s="32">
        <v>4103</v>
      </c>
      <c r="N69" s="118">
        <v>3459</v>
      </c>
      <c r="O69" s="118">
        <v>4310</v>
      </c>
      <c r="P69" s="118">
        <v>5311</v>
      </c>
      <c r="Q69" s="118">
        <v>4372</v>
      </c>
      <c r="R69" s="118">
        <v>3360</v>
      </c>
      <c r="S69" s="118">
        <v>3233</v>
      </c>
      <c r="T69" s="134">
        <v>3644</v>
      </c>
      <c r="U69" s="134">
        <v>3711</v>
      </c>
      <c r="V69" s="134">
        <v>3924</v>
      </c>
      <c r="W69" s="134">
        <v>5639</v>
      </c>
      <c r="X69" s="139">
        <v>4735</v>
      </c>
      <c r="Y69" s="118">
        <v>6176</v>
      </c>
      <c r="Z69" s="118">
        <v>7448</v>
      </c>
    </row>
    <row r="70" spans="1:26" x14ac:dyDescent="0.25">
      <c r="A70" s="9" t="s">
        <v>56</v>
      </c>
      <c r="B70" s="118">
        <v>973</v>
      </c>
      <c r="C70" s="118">
        <v>862</v>
      </c>
      <c r="D70" s="118">
        <v>1075</v>
      </c>
      <c r="E70" s="118">
        <v>959</v>
      </c>
      <c r="F70" s="118">
        <v>1070</v>
      </c>
      <c r="G70" s="118">
        <v>1175</v>
      </c>
      <c r="H70" s="118">
        <v>1459</v>
      </c>
      <c r="I70" s="118">
        <v>2150</v>
      </c>
      <c r="J70" s="118">
        <v>2053</v>
      </c>
      <c r="K70" s="32">
        <v>1958</v>
      </c>
      <c r="L70" s="118">
        <v>2947</v>
      </c>
      <c r="M70" s="32">
        <v>2835</v>
      </c>
      <c r="N70" s="118">
        <v>3035</v>
      </c>
      <c r="O70" s="118">
        <v>3537</v>
      </c>
      <c r="P70" s="118">
        <v>2871</v>
      </c>
      <c r="Q70" s="118">
        <v>2999</v>
      </c>
      <c r="R70" s="118">
        <v>3099</v>
      </c>
      <c r="S70" s="118">
        <v>3768</v>
      </c>
      <c r="T70" s="134">
        <v>2850</v>
      </c>
      <c r="U70" s="134">
        <v>3535</v>
      </c>
      <c r="V70" s="134">
        <v>3379</v>
      </c>
      <c r="W70" s="134">
        <v>3512</v>
      </c>
      <c r="X70" s="139">
        <v>3068</v>
      </c>
      <c r="Y70" s="118">
        <v>2922</v>
      </c>
      <c r="Z70" s="118">
        <v>3475</v>
      </c>
    </row>
    <row r="71" spans="1:26" x14ac:dyDescent="0.25">
      <c r="A71" s="9" t="s">
        <v>57</v>
      </c>
      <c r="B71" s="118">
        <v>1954</v>
      </c>
      <c r="C71" s="118">
        <v>2006</v>
      </c>
      <c r="D71" s="118">
        <v>2207</v>
      </c>
      <c r="E71" s="118">
        <v>1859</v>
      </c>
      <c r="F71" s="118">
        <v>1776</v>
      </c>
      <c r="G71" s="118">
        <v>1763</v>
      </c>
      <c r="H71" s="118">
        <v>2019</v>
      </c>
      <c r="I71" s="118">
        <v>3276</v>
      </c>
      <c r="J71" s="118">
        <v>2699</v>
      </c>
      <c r="K71" s="32">
        <v>2662</v>
      </c>
      <c r="L71" s="118">
        <v>2445</v>
      </c>
      <c r="M71" s="32">
        <v>3137</v>
      </c>
      <c r="N71" s="118">
        <v>3611</v>
      </c>
      <c r="O71" s="118">
        <v>4884</v>
      </c>
      <c r="P71" s="118">
        <v>6065</v>
      </c>
      <c r="Q71" s="118">
        <v>6458</v>
      </c>
      <c r="R71" s="118">
        <v>6123</v>
      </c>
      <c r="S71" s="118">
        <v>5948</v>
      </c>
      <c r="T71" s="134">
        <v>7467</v>
      </c>
      <c r="U71" s="134">
        <v>6998</v>
      </c>
      <c r="V71" s="134">
        <v>7067</v>
      </c>
      <c r="W71" s="134">
        <v>8210</v>
      </c>
      <c r="X71" s="139">
        <v>8394</v>
      </c>
      <c r="Y71" s="118">
        <v>8568</v>
      </c>
      <c r="Z71" s="118">
        <v>11253</v>
      </c>
    </row>
    <row r="72" spans="1:26" x14ac:dyDescent="0.25">
      <c r="A72" s="9" t="s">
        <v>58</v>
      </c>
      <c r="B72" s="118">
        <v>1984</v>
      </c>
      <c r="C72" s="118">
        <v>1999</v>
      </c>
      <c r="D72" s="118">
        <v>2044</v>
      </c>
      <c r="E72" s="118">
        <v>1674</v>
      </c>
      <c r="F72" s="118">
        <v>1619</v>
      </c>
      <c r="G72" s="118">
        <v>1538</v>
      </c>
      <c r="H72" s="118">
        <v>2251</v>
      </c>
      <c r="I72" s="118">
        <v>4109</v>
      </c>
      <c r="J72" s="118">
        <v>4219</v>
      </c>
      <c r="K72" s="32">
        <v>4028</v>
      </c>
      <c r="L72" s="118">
        <v>3593</v>
      </c>
      <c r="M72" s="32">
        <v>3076</v>
      </c>
      <c r="N72" s="118">
        <v>3973</v>
      </c>
      <c r="O72" s="118">
        <v>4400</v>
      </c>
      <c r="P72" s="118">
        <v>4581</v>
      </c>
      <c r="Q72" s="118">
        <v>3284</v>
      </c>
      <c r="R72" s="118">
        <v>3020</v>
      </c>
      <c r="S72" s="118">
        <v>2327</v>
      </c>
      <c r="T72" s="134">
        <v>2218</v>
      </c>
      <c r="U72" s="134">
        <v>2938</v>
      </c>
      <c r="V72" s="134">
        <v>4167</v>
      </c>
      <c r="W72" s="134">
        <v>4516</v>
      </c>
      <c r="X72" s="139">
        <v>3759</v>
      </c>
      <c r="Y72" s="118">
        <v>5345</v>
      </c>
      <c r="Z72" s="118">
        <v>6008</v>
      </c>
    </row>
    <row r="73" spans="1:26" x14ac:dyDescent="0.25">
      <c r="A73" s="9" t="s">
        <v>59</v>
      </c>
      <c r="B73" s="118">
        <v>718</v>
      </c>
      <c r="C73" s="118">
        <v>854</v>
      </c>
      <c r="D73" s="118">
        <v>799</v>
      </c>
      <c r="E73" s="118">
        <v>635</v>
      </c>
      <c r="F73" s="118">
        <v>686</v>
      </c>
      <c r="G73" s="118">
        <v>887</v>
      </c>
      <c r="H73" s="118">
        <v>1161</v>
      </c>
      <c r="I73" s="118">
        <v>1677</v>
      </c>
      <c r="J73" s="118">
        <v>1849</v>
      </c>
      <c r="K73" s="32">
        <v>1997</v>
      </c>
      <c r="L73" s="118">
        <v>1775</v>
      </c>
      <c r="M73" s="32">
        <v>2135</v>
      </c>
      <c r="N73" s="118">
        <v>2286</v>
      </c>
      <c r="O73" s="118">
        <v>2362</v>
      </c>
      <c r="P73" s="118">
        <v>2716</v>
      </c>
      <c r="Q73" s="118">
        <v>4353</v>
      </c>
      <c r="R73" s="118">
        <v>4979</v>
      </c>
      <c r="S73" s="118">
        <v>5596</v>
      </c>
      <c r="T73" s="134">
        <v>5166</v>
      </c>
      <c r="U73" s="134">
        <v>5383</v>
      </c>
      <c r="V73" s="134">
        <v>5363</v>
      </c>
      <c r="W73" s="134">
        <v>3906</v>
      </c>
      <c r="X73" s="139">
        <v>2125</v>
      </c>
      <c r="Y73" s="118">
        <v>2880</v>
      </c>
      <c r="Z73" s="118">
        <v>3286</v>
      </c>
    </row>
    <row r="74" spans="1:26" ht="18" x14ac:dyDescent="0.25">
      <c r="A74" s="8" t="s">
        <v>127</v>
      </c>
      <c r="B74" s="120">
        <v>7393</v>
      </c>
      <c r="C74" s="120">
        <v>8011</v>
      </c>
      <c r="D74" s="120">
        <v>8712</v>
      </c>
      <c r="E74" s="120">
        <v>8609</v>
      </c>
      <c r="F74" s="120">
        <v>8723</v>
      </c>
      <c r="G74" s="120">
        <v>9548</v>
      </c>
      <c r="H74" s="120">
        <v>11604</v>
      </c>
      <c r="I74" s="120">
        <v>16569</v>
      </c>
      <c r="J74" s="120">
        <v>18597</v>
      </c>
      <c r="K74" s="31">
        <v>18789</v>
      </c>
      <c r="L74" s="120">
        <v>16333</v>
      </c>
      <c r="M74" s="31">
        <v>16351</v>
      </c>
      <c r="N74" s="120">
        <v>15939</v>
      </c>
      <c r="O74" s="120">
        <v>19740</v>
      </c>
      <c r="P74" s="120">
        <v>26616</v>
      </c>
      <c r="Q74" s="120">
        <v>27606</v>
      </c>
      <c r="R74" s="120">
        <v>20290</v>
      </c>
      <c r="S74" s="120">
        <v>20572</v>
      </c>
      <c r="T74" s="133">
        <v>19225</v>
      </c>
      <c r="U74" s="133">
        <v>22133</v>
      </c>
      <c r="V74" s="133">
        <v>27641</v>
      </c>
      <c r="W74" s="133">
        <v>32881</v>
      </c>
      <c r="X74" s="105">
        <v>30808</v>
      </c>
      <c r="Y74" s="120">
        <v>38608</v>
      </c>
      <c r="Z74" s="120">
        <v>38793</v>
      </c>
    </row>
    <row r="75" spans="1:26" x14ac:dyDescent="0.25">
      <c r="A75" s="9" t="s">
        <v>60</v>
      </c>
      <c r="B75" s="118">
        <v>688</v>
      </c>
      <c r="C75" s="118">
        <v>631</v>
      </c>
      <c r="D75" s="118">
        <v>634</v>
      </c>
      <c r="E75" s="118">
        <v>603</v>
      </c>
      <c r="F75" s="118">
        <v>603</v>
      </c>
      <c r="G75" s="118">
        <v>703</v>
      </c>
      <c r="H75" s="118">
        <v>870</v>
      </c>
      <c r="I75" s="118">
        <v>1316</v>
      </c>
      <c r="J75" s="118">
        <v>1703</v>
      </c>
      <c r="K75" s="32">
        <v>1546</v>
      </c>
      <c r="L75" s="118">
        <v>1109</v>
      </c>
      <c r="M75" s="32">
        <v>1133</v>
      </c>
      <c r="N75" s="118">
        <v>1719</v>
      </c>
      <c r="O75" s="118">
        <v>1977</v>
      </c>
      <c r="P75" s="118">
        <v>2393</v>
      </c>
      <c r="Q75" s="118">
        <v>2022</v>
      </c>
      <c r="R75" s="118">
        <v>1942</v>
      </c>
      <c r="S75" s="118">
        <v>1153</v>
      </c>
      <c r="T75" s="134">
        <v>1370</v>
      </c>
      <c r="U75" s="134">
        <v>1732</v>
      </c>
      <c r="V75" s="134">
        <v>1540</v>
      </c>
      <c r="W75" s="134">
        <v>1959</v>
      </c>
      <c r="X75" s="139">
        <v>1694</v>
      </c>
      <c r="Y75" s="118">
        <v>2089</v>
      </c>
      <c r="Z75" s="118">
        <v>2210</v>
      </c>
    </row>
    <row r="76" spans="1:26" x14ac:dyDescent="0.25">
      <c r="A76" s="9" t="s">
        <v>61</v>
      </c>
      <c r="B76" s="118">
        <v>2316</v>
      </c>
      <c r="C76" s="118">
        <v>2353</v>
      </c>
      <c r="D76" s="118">
        <v>2606</v>
      </c>
      <c r="E76" s="118">
        <v>2776</v>
      </c>
      <c r="F76" s="118">
        <v>2651</v>
      </c>
      <c r="G76" s="118">
        <v>2766</v>
      </c>
      <c r="H76" s="118">
        <v>3289</v>
      </c>
      <c r="I76" s="118">
        <v>5105</v>
      </c>
      <c r="J76" s="118">
        <v>4962</v>
      </c>
      <c r="K76" s="32">
        <v>5050</v>
      </c>
      <c r="L76" s="118">
        <v>5376</v>
      </c>
      <c r="M76" s="32">
        <v>5322</v>
      </c>
      <c r="N76" s="118">
        <v>5109</v>
      </c>
      <c r="O76" s="118">
        <v>4951</v>
      </c>
      <c r="P76" s="118">
        <v>8169</v>
      </c>
      <c r="Q76" s="118">
        <v>8294</v>
      </c>
      <c r="R76" s="118">
        <v>6457</v>
      </c>
      <c r="S76" s="118">
        <v>6487</v>
      </c>
      <c r="T76" s="134">
        <v>6174</v>
      </c>
      <c r="U76" s="134">
        <v>7122</v>
      </c>
      <c r="V76" s="134">
        <v>8272</v>
      </c>
      <c r="W76" s="134">
        <v>10877</v>
      </c>
      <c r="X76" s="139">
        <v>9755</v>
      </c>
      <c r="Y76" s="118">
        <v>12225</v>
      </c>
      <c r="Z76" s="118">
        <v>12686</v>
      </c>
    </row>
    <row r="77" spans="1:26" x14ac:dyDescent="0.25">
      <c r="A77" s="9" t="s">
        <v>62</v>
      </c>
      <c r="B77" s="118">
        <v>2722</v>
      </c>
      <c r="C77" s="118">
        <v>3254</v>
      </c>
      <c r="D77" s="118">
        <v>3543</v>
      </c>
      <c r="E77" s="118">
        <v>3302</v>
      </c>
      <c r="F77" s="118">
        <v>3333</v>
      </c>
      <c r="G77" s="118">
        <v>3204</v>
      </c>
      <c r="H77" s="118">
        <v>4252</v>
      </c>
      <c r="I77" s="118">
        <v>5432</v>
      </c>
      <c r="J77" s="118">
        <v>6170</v>
      </c>
      <c r="K77" s="32">
        <v>6408</v>
      </c>
      <c r="L77" s="118">
        <v>5884</v>
      </c>
      <c r="M77" s="32">
        <v>6514</v>
      </c>
      <c r="N77" s="118">
        <v>5384</v>
      </c>
      <c r="O77" s="118">
        <v>8216</v>
      </c>
      <c r="P77" s="118">
        <v>8991</v>
      </c>
      <c r="Q77" s="118">
        <v>9886</v>
      </c>
      <c r="R77" s="118">
        <v>7499</v>
      </c>
      <c r="S77" s="118">
        <v>8539</v>
      </c>
      <c r="T77" s="134">
        <v>6469</v>
      </c>
      <c r="U77" s="134">
        <v>7645</v>
      </c>
      <c r="V77" s="134">
        <v>12122</v>
      </c>
      <c r="W77" s="134">
        <v>12068</v>
      </c>
      <c r="X77" s="139">
        <v>11037</v>
      </c>
      <c r="Y77" s="118">
        <v>14900</v>
      </c>
      <c r="Z77" s="118">
        <v>13707</v>
      </c>
    </row>
    <row r="78" spans="1:26" x14ac:dyDescent="0.25">
      <c r="A78" s="4" t="s">
        <v>63</v>
      </c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34"/>
      <c r="U78" s="134"/>
      <c r="V78" s="134"/>
      <c r="W78" s="12"/>
      <c r="X78" s="139"/>
      <c r="Y78" s="118"/>
      <c r="Z78" s="118"/>
    </row>
    <row r="79" spans="1:26" ht="19.5" x14ac:dyDescent="0.25">
      <c r="A79" s="14" t="s">
        <v>88</v>
      </c>
      <c r="B79" s="118">
        <v>1116</v>
      </c>
      <c r="C79" s="118">
        <v>1510</v>
      </c>
      <c r="D79" s="118">
        <v>1420</v>
      </c>
      <c r="E79" s="118">
        <v>1380</v>
      </c>
      <c r="F79" s="118">
        <v>1364</v>
      </c>
      <c r="G79" s="118">
        <v>1069</v>
      </c>
      <c r="H79" s="118">
        <v>1359</v>
      </c>
      <c r="I79" s="118">
        <v>2091</v>
      </c>
      <c r="J79" s="118">
        <v>1890</v>
      </c>
      <c r="K79" s="32">
        <v>2141</v>
      </c>
      <c r="L79" s="118">
        <v>1696</v>
      </c>
      <c r="M79" s="32">
        <v>1526</v>
      </c>
      <c r="N79" s="118">
        <v>1880</v>
      </c>
      <c r="O79" s="118">
        <v>1992</v>
      </c>
      <c r="P79" s="118">
        <v>2077</v>
      </c>
      <c r="Q79" s="118">
        <v>1648</v>
      </c>
      <c r="R79" s="118">
        <v>1376</v>
      </c>
      <c r="S79" s="118">
        <v>1313</v>
      </c>
      <c r="T79" s="134">
        <v>1418</v>
      </c>
      <c r="U79" s="134">
        <v>2573</v>
      </c>
      <c r="V79" s="134">
        <v>5353</v>
      </c>
      <c r="W79" s="134">
        <v>4188</v>
      </c>
      <c r="X79" s="139">
        <v>2777</v>
      </c>
      <c r="Y79" s="118">
        <v>4549</v>
      </c>
      <c r="Z79" s="118">
        <v>3460</v>
      </c>
    </row>
    <row r="80" spans="1:26" ht="19.5" x14ac:dyDescent="0.25">
      <c r="A80" s="14" t="s">
        <v>163</v>
      </c>
      <c r="B80" s="118">
        <v>236</v>
      </c>
      <c r="C80" s="118">
        <v>347</v>
      </c>
      <c r="D80" s="118">
        <v>378</v>
      </c>
      <c r="E80" s="118">
        <v>387</v>
      </c>
      <c r="F80" s="118">
        <v>329</v>
      </c>
      <c r="G80" s="118">
        <v>343</v>
      </c>
      <c r="H80" s="118">
        <v>430</v>
      </c>
      <c r="I80" s="118">
        <v>607</v>
      </c>
      <c r="J80" s="118">
        <v>614</v>
      </c>
      <c r="K80" s="32">
        <v>455</v>
      </c>
      <c r="L80" s="118">
        <v>366</v>
      </c>
      <c r="M80" s="32">
        <v>481</v>
      </c>
      <c r="N80" s="118">
        <v>491</v>
      </c>
      <c r="O80" s="118">
        <v>511</v>
      </c>
      <c r="P80" s="118">
        <v>469</v>
      </c>
      <c r="Q80" s="118">
        <v>487</v>
      </c>
      <c r="R80" s="118">
        <v>479</v>
      </c>
      <c r="S80" s="118">
        <v>545</v>
      </c>
      <c r="T80" s="134">
        <v>546</v>
      </c>
      <c r="U80" s="134">
        <v>583</v>
      </c>
      <c r="V80" s="134">
        <v>631</v>
      </c>
      <c r="W80" s="134">
        <v>601</v>
      </c>
      <c r="X80" s="139">
        <v>751</v>
      </c>
      <c r="Y80" s="118">
        <v>691</v>
      </c>
      <c r="Z80" s="118">
        <v>998</v>
      </c>
    </row>
    <row r="81" spans="1:26" ht="19.5" x14ac:dyDescent="0.25">
      <c r="A81" s="14" t="s">
        <v>87</v>
      </c>
      <c r="B81" s="118">
        <v>1370</v>
      </c>
      <c r="C81" s="118">
        <v>1397</v>
      </c>
      <c r="D81" s="118">
        <f>D77-D79-D80</f>
        <v>1745</v>
      </c>
      <c r="E81" s="118">
        <v>1535</v>
      </c>
      <c r="F81" s="118">
        <v>1640</v>
      </c>
      <c r="G81" s="118">
        <v>1792</v>
      </c>
      <c r="H81" s="118">
        <v>2463</v>
      </c>
      <c r="I81" s="118">
        <v>2734</v>
      </c>
      <c r="J81" s="118">
        <v>3666</v>
      </c>
      <c r="K81" s="32">
        <v>3812</v>
      </c>
      <c r="L81" s="118">
        <v>3822</v>
      </c>
      <c r="M81" s="32">
        <v>4507</v>
      </c>
      <c r="N81" s="118">
        <v>3013</v>
      </c>
      <c r="O81" s="118">
        <v>5713</v>
      </c>
      <c r="P81" s="118">
        <v>6445</v>
      </c>
      <c r="Q81" s="118">
        <v>7751</v>
      </c>
      <c r="R81" s="118">
        <v>5644</v>
      </c>
      <c r="S81" s="118">
        <v>6681</v>
      </c>
      <c r="T81" s="134">
        <v>4505</v>
      </c>
      <c r="U81" s="134">
        <v>4489</v>
      </c>
      <c r="V81" s="134">
        <v>6138</v>
      </c>
      <c r="W81" s="134">
        <v>7279</v>
      </c>
      <c r="X81" s="139">
        <v>7509</v>
      </c>
      <c r="Y81" s="118">
        <v>9660</v>
      </c>
      <c r="Z81" s="118">
        <v>9249</v>
      </c>
    </row>
    <row r="82" spans="1:26" x14ac:dyDescent="0.25">
      <c r="A82" s="9" t="s">
        <v>65</v>
      </c>
      <c r="B82" s="118">
        <v>1667</v>
      </c>
      <c r="C82" s="118">
        <v>1773</v>
      </c>
      <c r="D82" s="118">
        <v>1929</v>
      </c>
      <c r="E82" s="118">
        <v>1928</v>
      </c>
      <c r="F82" s="118">
        <v>2136</v>
      </c>
      <c r="G82" s="118">
        <v>2875</v>
      </c>
      <c r="H82" s="118">
        <v>3193</v>
      </c>
      <c r="I82" s="118">
        <v>4716</v>
      </c>
      <c r="J82" s="118">
        <v>5762</v>
      </c>
      <c r="K82" s="32">
        <v>5785</v>
      </c>
      <c r="L82" s="118">
        <v>3964</v>
      </c>
      <c r="M82" s="32">
        <v>3382</v>
      </c>
      <c r="N82" s="118">
        <v>3727</v>
      </c>
      <c r="O82" s="118">
        <v>4596</v>
      </c>
      <c r="P82" s="118">
        <v>7063</v>
      </c>
      <c r="Q82" s="118">
        <v>7404</v>
      </c>
      <c r="R82" s="118">
        <v>4392</v>
      </c>
      <c r="S82" s="118">
        <v>4393</v>
      </c>
      <c r="T82" s="134">
        <v>5212</v>
      </c>
      <c r="U82" s="134">
        <v>5634</v>
      </c>
      <c r="V82" s="134">
        <v>5707</v>
      </c>
      <c r="W82" s="134">
        <v>7977</v>
      </c>
      <c r="X82" s="139">
        <v>8322</v>
      </c>
      <c r="Y82" s="118">
        <v>9394</v>
      </c>
      <c r="Z82" s="118">
        <v>10190</v>
      </c>
    </row>
    <row r="83" spans="1:26" ht="18" x14ac:dyDescent="0.25">
      <c r="A83" s="8" t="s">
        <v>100</v>
      </c>
      <c r="B83" s="120">
        <v>10336</v>
      </c>
      <c r="C83" s="120">
        <v>10595</v>
      </c>
      <c r="D83" s="120">
        <v>11263</v>
      </c>
      <c r="E83" s="120">
        <v>14090</v>
      </c>
      <c r="F83" s="120">
        <v>12937</v>
      </c>
      <c r="G83" s="120">
        <v>14597</v>
      </c>
      <c r="H83" s="120">
        <v>19282</v>
      </c>
      <c r="I83" s="120">
        <v>22711</v>
      </c>
      <c r="J83" s="120">
        <v>23933</v>
      </c>
      <c r="K83" s="31">
        <f>SUM(K84:K93)</f>
        <v>22570</v>
      </c>
      <c r="L83" s="120">
        <v>21961</v>
      </c>
      <c r="M83" s="31">
        <v>24661</v>
      </c>
      <c r="N83" s="120">
        <v>26609</v>
      </c>
      <c r="O83" s="120">
        <v>28515</v>
      </c>
      <c r="P83" s="120">
        <v>35634</v>
      </c>
      <c r="Q83" s="120">
        <v>34765</v>
      </c>
      <c r="R83" s="120">
        <v>29021</v>
      </c>
      <c r="S83" s="120">
        <v>26703</v>
      </c>
      <c r="T83" s="133">
        <v>26596</v>
      </c>
      <c r="U83" s="133">
        <v>33699</v>
      </c>
      <c r="V83" s="133">
        <v>34606</v>
      </c>
      <c r="W83" s="133">
        <v>40502</v>
      </c>
      <c r="X83" s="105">
        <v>36577</v>
      </c>
      <c r="Y83" s="120">
        <v>42255</v>
      </c>
      <c r="Z83" s="120">
        <v>48414</v>
      </c>
    </row>
    <row r="84" spans="1:26" x14ac:dyDescent="0.25">
      <c r="A84" s="9" t="s">
        <v>66</v>
      </c>
      <c r="B84" s="118">
        <v>287</v>
      </c>
      <c r="C84" s="118">
        <v>238</v>
      </c>
      <c r="D84" s="118">
        <v>298</v>
      </c>
      <c r="E84" s="118">
        <v>311</v>
      </c>
      <c r="F84" s="118">
        <v>437</v>
      </c>
      <c r="G84" s="118">
        <v>527</v>
      </c>
      <c r="H84" s="118">
        <v>597</v>
      </c>
      <c r="I84" s="118">
        <v>709</v>
      </c>
      <c r="J84" s="118">
        <v>609</v>
      </c>
      <c r="K84" s="32">
        <v>659</v>
      </c>
      <c r="L84" s="118">
        <v>737</v>
      </c>
      <c r="M84" s="32">
        <v>899</v>
      </c>
      <c r="N84" s="118">
        <v>658</v>
      </c>
      <c r="O84" s="118">
        <v>842</v>
      </c>
      <c r="P84" s="118">
        <v>966</v>
      </c>
      <c r="Q84" s="118">
        <v>1271</v>
      </c>
      <c r="R84" s="118">
        <v>1312</v>
      </c>
      <c r="S84" s="118">
        <v>1446</v>
      </c>
      <c r="T84" s="134">
        <v>1324</v>
      </c>
      <c r="U84" s="134">
        <v>1149</v>
      </c>
      <c r="V84" s="134">
        <v>1161</v>
      </c>
      <c r="W84" s="134">
        <v>1894</v>
      </c>
      <c r="X84" s="139">
        <v>1863</v>
      </c>
      <c r="Y84" s="118">
        <v>1969</v>
      </c>
      <c r="Z84" s="118">
        <v>2549</v>
      </c>
    </row>
    <row r="85" spans="1:26" x14ac:dyDescent="0.25">
      <c r="A85" s="9" t="s">
        <v>68</v>
      </c>
      <c r="B85" s="118">
        <v>188</v>
      </c>
      <c r="C85" s="118">
        <v>156</v>
      </c>
      <c r="D85" s="118">
        <v>139</v>
      </c>
      <c r="E85" s="118">
        <v>258</v>
      </c>
      <c r="F85" s="118">
        <v>152</v>
      </c>
      <c r="G85" s="118">
        <v>162</v>
      </c>
      <c r="H85" s="118">
        <v>332</v>
      </c>
      <c r="I85" s="118">
        <v>423</v>
      </c>
      <c r="J85" s="118">
        <v>572</v>
      </c>
      <c r="K85" s="32">
        <v>507</v>
      </c>
      <c r="L85" s="118">
        <v>548</v>
      </c>
      <c r="M85" s="32">
        <v>602</v>
      </c>
      <c r="N85" s="118">
        <v>566</v>
      </c>
      <c r="O85" s="118">
        <v>844</v>
      </c>
      <c r="P85" s="118">
        <v>990</v>
      </c>
      <c r="Q85" s="118">
        <v>1280</v>
      </c>
      <c r="R85" s="118">
        <v>918</v>
      </c>
      <c r="S85" s="118">
        <v>950</v>
      </c>
      <c r="T85" s="134">
        <v>859</v>
      </c>
      <c r="U85" s="134">
        <v>974</v>
      </c>
      <c r="V85" s="134">
        <v>1157</v>
      </c>
      <c r="W85" s="134">
        <v>1448</v>
      </c>
      <c r="X85" s="139">
        <v>1556</v>
      </c>
      <c r="Y85" s="118">
        <v>1555</v>
      </c>
      <c r="Z85" s="118">
        <v>3034</v>
      </c>
    </row>
    <row r="86" spans="1:26" x14ac:dyDescent="0.25">
      <c r="A86" s="9" t="s">
        <v>69</v>
      </c>
      <c r="B86" s="118">
        <v>335</v>
      </c>
      <c r="C86" s="118">
        <v>291</v>
      </c>
      <c r="D86" s="118">
        <v>383</v>
      </c>
      <c r="E86" s="118">
        <v>330</v>
      </c>
      <c r="F86" s="118">
        <v>404</v>
      </c>
      <c r="G86" s="118">
        <v>435</v>
      </c>
      <c r="H86" s="118">
        <v>519</v>
      </c>
      <c r="I86" s="118">
        <v>669</v>
      </c>
      <c r="J86" s="118">
        <v>590</v>
      </c>
      <c r="K86" s="32">
        <v>722</v>
      </c>
      <c r="L86" s="118">
        <v>553</v>
      </c>
      <c r="M86" s="32">
        <v>537</v>
      </c>
      <c r="N86" s="118">
        <v>660</v>
      </c>
      <c r="O86" s="118">
        <v>766</v>
      </c>
      <c r="P86" s="118">
        <v>1235</v>
      </c>
      <c r="Q86" s="118">
        <v>2012</v>
      </c>
      <c r="R86" s="118">
        <v>752</v>
      </c>
      <c r="S86" s="118">
        <v>827</v>
      </c>
      <c r="T86" s="134">
        <v>949</v>
      </c>
      <c r="U86" s="134">
        <v>1160</v>
      </c>
      <c r="V86" s="134">
        <v>1075</v>
      </c>
      <c r="W86" s="134">
        <v>1773</v>
      </c>
      <c r="X86" s="139">
        <v>1471</v>
      </c>
      <c r="Y86" s="118">
        <v>1855</v>
      </c>
      <c r="Z86" s="118">
        <v>1789</v>
      </c>
    </row>
    <row r="87" spans="1:26" x14ac:dyDescent="0.25">
      <c r="A87" s="9" t="s">
        <v>70</v>
      </c>
      <c r="B87" s="118">
        <v>2804</v>
      </c>
      <c r="C87" s="118">
        <v>2839</v>
      </c>
      <c r="D87" s="118">
        <v>2689</v>
      </c>
      <c r="E87" s="118">
        <v>2637</v>
      </c>
      <c r="F87" s="118">
        <v>2339</v>
      </c>
      <c r="G87" s="118">
        <v>2486</v>
      </c>
      <c r="H87" s="118">
        <v>2646</v>
      </c>
      <c r="I87" s="118">
        <v>3391</v>
      </c>
      <c r="J87" s="118">
        <v>3456</v>
      </c>
      <c r="K87" s="32">
        <v>3223</v>
      </c>
      <c r="L87" s="118">
        <v>3352</v>
      </c>
      <c r="M87" s="32">
        <v>3272</v>
      </c>
      <c r="N87" s="118">
        <v>3937</v>
      </c>
      <c r="O87" s="118">
        <v>3654</v>
      </c>
      <c r="P87" s="118">
        <v>3781</v>
      </c>
      <c r="Q87" s="118">
        <v>3141</v>
      </c>
      <c r="R87" s="118">
        <v>2418</v>
      </c>
      <c r="S87" s="118">
        <v>2292</v>
      </c>
      <c r="T87" s="134">
        <v>2909</v>
      </c>
      <c r="U87" s="134">
        <v>3007</v>
      </c>
      <c r="V87" s="134">
        <v>3084</v>
      </c>
      <c r="W87" s="134">
        <v>3735</v>
      </c>
      <c r="X87" s="139">
        <v>3740</v>
      </c>
      <c r="Y87" s="118">
        <v>4546</v>
      </c>
      <c r="Z87" s="118">
        <v>5032</v>
      </c>
    </row>
    <row r="88" spans="1:26" x14ac:dyDescent="0.25">
      <c r="A88" s="9" t="s">
        <v>72</v>
      </c>
      <c r="B88" s="118">
        <v>1252</v>
      </c>
      <c r="C88" s="118">
        <v>1261</v>
      </c>
      <c r="D88" s="118">
        <v>1312</v>
      </c>
      <c r="E88" s="118">
        <v>1680</v>
      </c>
      <c r="F88" s="118">
        <v>1615</v>
      </c>
      <c r="G88" s="118">
        <v>1454</v>
      </c>
      <c r="H88" s="118">
        <v>1906</v>
      </c>
      <c r="I88" s="118">
        <v>2832</v>
      </c>
      <c r="J88" s="118">
        <v>3078</v>
      </c>
      <c r="K88" s="32">
        <v>2933</v>
      </c>
      <c r="L88" s="118">
        <v>2526</v>
      </c>
      <c r="M88" s="32">
        <v>2507</v>
      </c>
      <c r="N88" s="118">
        <v>3011</v>
      </c>
      <c r="O88" s="118">
        <v>3360</v>
      </c>
      <c r="P88" s="118">
        <v>4964</v>
      </c>
      <c r="Q88" s="118">
        <v>4949</v>
      </c>
      <c r="R88" s="118">
        <v>3564</v>
      </c>
      <c r="S88" s="118">
        <v>3108</v>
      </c>
      <c r="T88" s="134">
        <v>3079</v>
      </c>
      <c r="U88" s="134">
        <v>8759</v>
      </c>
      <c r="V88" s="134">
        <v>6530</v>
      </c>
      <c r="W88" s="134">
        <v>5707</v>
      </c>
      <c r="X88" s="139">
        <v>4861</v>
      </c>
      <c r="Y88" s="118">
        <v>5864</v>
      </c>
      <c r="Z88" s="118">
        <v>6001</v>
      </c>
    </row>
    <row r="89" spans="1:26" x14ac:dyDescent="0.25">
      <c r="A89" s="9" t="s">
        <v>73</v>
      </c>
      <c r="B89" s="118">
        <v>794</v>
      </c>
      <c r="C89" s="118">
        <v>848</v>
      </c>
      <c r="D89" s="118">
        <v>932</v>
      </c>
      <c r="E89" s="118">
        <v>908</v>
      </c>
      <c r="F89" s="118">
        <v>1090</v>
      </c>
      <c r="G89" s="118">
        <v>1033</v>
      </c>
      <c r="H89" s="118">
        <v>1290</v>
      </c>
      <c r="I89" s="118">
        <v>1677</v>
      </c>
      <c r="J89" s="118">
        <v>2135</v>
      </c>
      <c r="K89" s="32">
        <v>1745</v>
      </c>
      <c r="L89" s="118">
        <v>1592</v>
      </c>
      <c r="M89" s="32">
        <v>2655</v>
      </c>
      <c r="N89" s="118">
        <v>2574</v>
      </c>
      <c r="O89" s="118">
        <v>3573</v>
      </c>
      <c r="P89" s="118">
        <v>3132</v>
      </c>
      <c r="Q89" s="118">
        <v>3029</v>
      </c>
      <c r="R89" s="118">
        <v>3800</v>
      </c>
      <c r="S89" s="118">
        <v>3917</v>
      </c>
      <c r="T89" s="134">
        <v>5883</v>
      </c>
      <c r="U89" s="134">
        <v>6099</v>
      </c>
      <c r="V89" s="134">
        <v>6450</v>
      </c>
      <c r="W89" s="134">
        <v>8413</v>
      </c>
      <c r="X89" s="139">
        <v>7444</v>
      </c>
      <c r="Y89" s="118">
        <v>8577</v>
      </c>
      <c r="Z89" s="118">
        <v>9957</v>
      </c>
    </row>
    <row r="90" spans="1:26" x14ac:dyDescent="0.25">
      <c r="A90" s="9" t="s">
        <v>74</v>
      </c>
      <c r="B90" s="118">
        <v>1833</v>
      </c>
      <c r="C90" s="118">
        <v>2147</v>
      </c>
      <c r="D90" s="118">
        <v>2832</v>
      </c>
      <c r="E90" s="118">
        <v>2809</v>
      </c>
      <c r="F90" s="118">
        <v>3356</v>
      </c>
      <c r="G90" s="118">
        <v>4244</v>
      </c>
      <c r="H90" s="118">
        <v>4359</v>
      </c>
      <c r="I90" s="118">
        <v>5175</v>
      </c>
      <c r="J90" s="118">
        <v>4931</v>
      </c>
      <c r="K90" s="32">
        <v>5415</v>
      </c>
      <c r="L90" s="118">
        <v>5093</v>
      </c>
      <c r="M90" s="32">
        <v>5401</v>
      </c>
      <c r="N90" s="118">
        <v>7311</v>
      </c>
      <c r="O90" s="118">
        <v>6894</v>
      </c>
      <c r="P90" s="118">
        <v>7290</v>
      </c>
      <c r="Q90" s="118">
        <v>7270</v>
      </c>
      <c r="R90" s="118">
        <v>6336</v>
      </c>
      <c r="S90" s="118">
        <v>6239</v>
      </c>
      <c r="T90" s="134">
        <v>4072</v>
      </c>
      <c r="U90" s="134">
        <v>4181</v>
      </c>
      <c r="V90" s="134">
        <v>5906</v>
      </c>
      <c r="W90" s="134">
        <v>5894</v>
      </c>
      <c r="X90" s="139">
        <v>3673</v>
      </c>
      <c r="Y90" s="118">
        <v>4999</v>
      </c>
      <c r="Z90" s="118">
        <v>5492</v>
      </c>
    </row>
    <row r="91" spans="1:26" x14ac:dyDescent="0.25">
      <c r="A91" s="9" t="s">
        <v>75</v>
      </c>
      <c r="B91" s="118">
        <v>1275</v>
      </c>
      <c r="C91" s="118">
        <v>1599</v>
      </c>
      <c r="D91" s="118">
        <v>1464</v>
      </c>
      <c r="E91" s="118">
        <v>3552</v>
      </c>
      <c r="F91" s="118">
        <v>1522</v>
      </c>
      <c r="G91" s="118">
        <v>1554</v>
      </c>
      <c r="H91" s="118">
        <v>3569</v>
      </c>
      <c r="I91" s="118">
        <v>2876</v>
      </c>
      <c r="J91" s="118">
        <v>3400</v>
      </c>
      <c r="K91" s="32">
        <v>3100</v>
      </c>
      <c r="L91" s="118">
        <v>2791</v>
      </c>
      <c r="M91" s="32">
        <v>3567</v>
      </c>
      <c r="N91" s="118">
        <v>3881</v>
      </c>
      <c r="O91" s="118">
        <v>4496</v>
      </c>
      <c r="P91" s="118">
        <v>8659</v>
      </c>
      <c r="Q91" s="118">
        <v>7165</v>
      </c>
      <c r="R91" s="118">
        <v>6217</v>
      </c>
      <c r="S91" s="118">
        <v>4942</v>
      </c>
      <c r="T91" s="134">
        <v>4571</v>
      </c>
      <c r="U91" s="134">
        <v>4291</v>
      </c>
      <c r="V91" s="134">
        <v>4721</v>
      </c>
      <c r="W91" s="134">
        <v>5867</v>
      </c>
      <c r="X91" s="139">
        <v>6754</v>
      </c>
      <c r="Y91" s="118">
        <v>7256</v>
      </c>
      <c r="Z91" s="118">
        <v>7711</v>
      </c>
    </row>
    <row r="92" spans="1:26" x14ac:dyDescent="0.25">
      <c r="A92" s="9" t="s">
        <v>76</v>
      </c>
      <c r="B92" s="118">
        <v>929</v>
      </c>
      <c r="C92" s="118">
        <v>685</v>
      </c>
      <c r="D92" s="118">
        <v>636</v>
      </c>
      <c r="E92" s="118">
        <v>994</v>
      </c>
      <c r="F92" s="118">
        <v>1317</v>
      </c>
      <c r="G92" s="118">
        <v>2083</v>
      </c>
      <c r="H92" s="118">
        <v>3156</v>
      </c>
      <c r="I92" s="118">
        <v>3970</v>
      </c>
      <c r="J92" s="118">
        <v>4155</v>
      </c>
      <c r="K92" s="32">
        <v>3125</v>
      </c>
      <c r="L92" s="118">
        <v>3442</v>
      </c>
      <c r="M92" s="32">
        <v>4259</v>
      </c>
      <c r="N92" s="118">
        <v>2930</v>
      </c>
      <c r="O92" s="118">
        <v>2646</v>
      </c>
      <c r="P92" s="118">
        <v>2221</v>
      </c>
      <c r="Q92" s="118">
        <v>2209</v>
      </c>
      <c r="R92" s="118">
        <v>1740</v>
      </c>
      <c r="S92" s="118">
        <v>1320</v>
      </c>
      <c r="T92" s="134">
        <v>1369</v>
      </c>
      <c r="U92" s="134">
        <v>2301</v>
      </c>
      <c r="V92" s="134">
        <v>1865</v>
      </c>
      <c r="W92" s="134">
        <v>2982</v>
      </c>
      <c r="X92" s="139">
        <v>3192</v>
      </c>
      <c r="Y92" s="118">
        <v>3398</v>
      </c>
      <c r="Z92" s="118">
        <v>4337</v>
      </c>
    </row>
    <row r="93" spans="1:26" x14ac:dyDescent="0.25">
      <c r="A93" s="9" t="s">
        <v>77</v>
      </c>
      <c r="B93" s="118">
        <v>639</v>
      </c>
      <c r="C93" s="118">
        <v>531</v>
      </c>
      <c r="D93" s="118">
        <v>578</v>
      </c>
      <c r="E93" s="118">
        <v>611</v>
      </c>
      <c r="F93" s="118">
        <v>705</v>
      </c>
      <c r="G93" s="118">
        <v>619</v>
      </c>
      <c r="H93" s="118">
        <v>908</v>
      </c>
      <c r="I93" s="118">
        <v>989</v>
      </c>
      <c r="J93" s="118">
        <v>1007</v>
      </c>
      <c r="K93" s="32">
        <v>1141</v>
      </c>
      <c r="L93" s="118">
        <v>1327</v>
      </c>
      <c r="M93" s="32">
        <v>962</v>
      </c>
      <c r="N93" s="118">
        <v>1081</v>
      </c>
      <c r="O93" s="118">
        <v>1440</v>
      </c>
      <c r="P93" s="118">
        <v>2396</v>
      </c>
      <c r="Q93" s="118">
        <v>2439</v>
      </c>
      <c r="R93" s="118">
        <v>1964</v>
      </c>
      <c r="S93" s="118">
        <v>1662</v>
      </c>
      <c r="T93" s="134">
        <v>1581</v>
      </c>
      <c r="U93" s="134">
        <v>1778</v>
      </c>
      <c r="V93" s="134">
        <v>2657</v>
      </c>
      <c r="W93" s="134">
        <v>2789</v>
      </c>
      <c r="X93" s="139">
        <v>2023</v>
      </c>
      <c r="Y93" s="118">
        <v>2236</v>
      </c>
      <c r="Z93" s="118">
        <v>2512</v>
      </c>
    </row>
    <row r="94" spans="1:26" ht="18" x14ac:dyDescent="0.25">
      <c r="A94" s="8" t="s">
        <v>91</v>
      </c>
      <c r="B94" s="120">
        <v>6211</v>
      </c>
      <c r="C94" s="120">
        <v>6895</v>
      </c>
      <c r="D94" s="120">
        <v>6385</v>
      </c>
      <c r="E94" s="120">
        <v>6907</v>
      </c>
      <c r="F94" s="120">
        <v>6223</v>
      </c>
      <c r="G94" s="120">
        <v>6326</v>
      </c>
      <c r="H94" s="120">
        <v>6919</v>
      </c>
      <c r="I94" s="120">
        <v>8754</v>
      </c>
      <c r="J94" s="120">
        <v>8547</v>
      </c>
      <c r="K94" s="31">
        <f>SUM(K95:K105)</f>
        <v>9249</v>
      </c>
      <c r="L94" s="120">
        <v>8842</v>
      </c>
      <c r="M94" s="31">
        <v>10548</v>
      </c>
      <c r="N94" s="120">
        <v>11658</v>
      </c>
      <c r="O94" s="120">
        <v>12560</v>
      </c>
      <c r="P94" s="120">
        <v>14634</v>
      </c>
      <c r="Q94" s="120">
        <v>12567</v>
      </c>
      <c r="R94" s="120">
        <v>14023</v>
      </c>
      <c r="S94" s="120">
        <v>12396</v>
      </c>
      <c r="T94" s="120">
        <v>11287</v>
      </c>
      <c r="U94" s="133">
        <v>14314</v>
      </c>
      <c r="V94" s="133">
        <v>13196</v>
      </c>
      <c r="W94" s="133">
        <v>16625</v>
      </c>
      <c r="X94" s="105">
        <v>19849</v>
      </c>
      <c r="Y94" s="120">
        <v>22155</v>
      </c>
      <c r="Z94" s="120">
        <v>24835</v>
      </c>
    </row>
    <row r="95" spans="1:26" x14ac:dyDescent="0.25">
      <c r="A95" s="29" t="s">
        <v>67</v>
      </c>
      <c r="B95" s="118">
        <v>1474</v>
      </c>
      <c r="C95" s="118">
        <v>1822</v>
      </c>
      <c r="D95" s="118">
        <v>1923</v>
      </c>
      <c r="E95" s="118">
        <v>1916</v>
      </c>
      <c r="F95" s="118">
        <v>1681</v>
      </c>
      <c r="G95" s="118">
        <v>1659</v>
      </c>
      <c r="H95" s="118">
        <v>1770</v>
      </c>
      <c r="I95" s="118">
        <v>2497</v>
      </c>
      <c r="J95" s="118">
        <v>2508</v>
      </c>
      <c r="K95" s="32">
        <v>2251</v>
      </c>
      <c r="L95" s="118">
        <v>2713</v>
      </c>
      <c r="M95" s="32">
        <v>3178</v>
      </c>
      <c r="N95" s="118">
        <v>3397</v>
      </c>
      <c r="O95" s="118">
        <v>3670</v>
      </c>
      <c r="P95" s="118">
        <v>3226</v>
      </c>
      <c r="Q95" s="118">
        <v>2647</v>
      </c>
      <c r="R95" s="118">
        <v>2499</v>
      </c>
      <c r="S95" s="118">
        <v>2134</v>
      </c>
      <c r="T95" s="134">
        <v>1770</v>
      </c>
      <c r="U95" s="134">
        <v>2557</v>
      </c>
      <c r="V95" s="134">
        <v>2489</v>
      </c>
      <c r="W95" s="134">
        <v>2364</v>
      </c>
      <c r="X95" s="139">
        <v>2590</v>
      </c>
      <c r="Y95" s="118">
        <v>3026</v>
      </c>
      <c r="Z95" s="118">
        <v>3179</v>
      </c>
    </row>
    <row r="96" spans="1:26" x14ac:dyDescent="0.25">
      <c r="A96" s="9" t="s">
        <v>78</v>
      </c>
      <c r="B96" s="118">
        <v>2315</v>
      </c>
      <c r="C96" s="118">
        <v>2781</v>
      </c>
      <c r="D96" s="118">
        <v>1841</v>
      </c>
      <c r="E96" s="118">
        <v>2238</v>
      </c>
      <c r="F96" s="118">
        <v>1572</v>
      </c>
      <c r="G96" s="118">
        <v>1972</v>
      </c>
      <c r="H96" s="118">
        <v>1910</v>
      </c>
      <c r="I96" s="118">
        <v>2044</v>
      </c>
      <c r="J96" s="118">
        <v>1787</v>
      </c>
      <c r="K96" s="32">
        <v>1864</v>
      </c>
      <c r="L96" s="118">
        <v>1793</v>
      </c>
      <c r="M96" s="32">
        <v>2282</v>
      </c>
      <c r="N96" s="118">
        <v>2340</v>
      </c>
      <c r="O96" s="118">
        <v>2382</v>
      </c>
      <c r="P96" s="118">
        <v>2639</v>
      </c>
      <c r="Q96" s="118">
        <v>2672</v>
      </c>
      <c r="R96" s="118">
        <v>2879</v>
      </c>
      <c r="S96" s="118">
        <v>2517</v>
      </c>
      <c r="T96" s="134">
        <v>2583</v>
      </c>
      <c r="U96" s="134">
        <v>3127</v>
      </c>
      <c r="V96" s="134">
        <v>3028</v>
      </c>
      <c r="W96" s="134">
        <v>4015</v>
      </c>
      <c r="X96" s="139">
        <v>4823</v>
      </c>
      <c r="Y96" s="118">
        <v>4951</v>
      </c>
      <c r="Z96" s="118">
        <v>4931</v>
      </c>
    </row>
    <row r="97" spans="1:26" x14ac:dyDescent="0.25">
      <c r="A97" s="9" t="s">
        <v>71</v>
      </c>
      <c r="B97" s="118">
        <v>479</v>
      </c>
      <c r="C97" s="118">
        <v>444</v>
      </c>
      <c r="D97" s="118">
        <v>413</v>
      </c>
      <c r="E97" s="118">
        <v>546</v>
      </c>
      <c r="F97" s="118">
        <v>629</v>
      </c>
      <c r="G97" s="118">
        <v>758</v>
      </c>
      <c r="H97" s="118">
        <v>1028</v>
      </c>
      <c r="I97" s="118">
        <v>1352</v>
      </c>
      <c r="J97" s="118">
        <v>1233</v>
      </c>
      <c r="K97" s="32">
        <v>1312</v>
      </c>
      <c r="L97" s="118">
        <v>1129</v>
      </c>
      <c r="M97" s="32">
        <v>1407</v>
      </c>
      <c r="N97" s="118">
        <v>1250</v>
      </c>
      <c r="O97" s="118">
        <v>1440</v>
      </c>
      <c r="P97" s="118">
        <v>1790</v>
      </c>
      <c r="Q97" s="118">
        <v>1353</v>
      </c>
      <c r="R97" s="118">
        <v>3120</v>
      </c>
      <c r="S97" s="118">
        <v>2172</v>
      </c>
      <c r="T97" s="134">
        <v>1444</v>
      </c>
      <c r="U97" s="134">
        <v>1907</v>
      </c>
      <c r="V97" s="134">
        <v>1474</v>
      </c>
      <c r="W97" s="134">
        <v>1507</v>
      </c>
      <c r="X97" s="139">
        <v>2028</v>
      </c>
      <c r="Y97" s="118">
        <v>2759</v>
      </c>
      <c r="Z97" s="118">
        <v>3102</v>
      </c>
    </row>
    <row r="98" spans="1:26" x14ac:dyDescent="0.25">
      <c r="A98" s="9" t="s">
        <v>79</v>
      </c>
      <c r="B98" s="118">
        <v>55</v>
      </c>
      <c r="C98" s="118">
        <v>34</v>
      </c>
      <c r="D98" s="118">
        <v>82</v>
      </c>
      <c r="E98" s="118">
        <v>89</v>
      </c>
      <c r="F98" s="118">
        <v>78</v>
      </c>
      <c r="G98" s="118">
        <v>45</v>
      </c>
      <c r="H98" s="118">
        <v>73</v>
      </c>
      <c r="I98" s="118">
        <v>88</v>
      </c>
      <c r="J98" s="118">
        <v>105</v>
      </c>
      <c r="K98" s="32">
        <v>82</v>
      </c>
      <c r="L98" s="118">
        <v>72</v>
      </c>
      <c r="M98" s="32">
        <v>87</v>
      </c>
      <c r="N98" s="118">
        <v>216</v>
      </c>
      <c r="O98" s="118">
        <v>155</v>
      </c>
      <c r="P98" s="118">
        <v>263</v>
      </c>
      <c r="Q98" s="118">
        <v>275</v>
      </c>
      <c r="R98" s="118">
        <v>287</v>
      </c>
      <c r="S98" s="118">
        <v>277</v>
      </c>
      <c r="T98" s="134">
        <v>268</v>
      </c>
      <c r="U98" s="134">
        <v>259</v>
      </c>
      <c r="V98" s="134">
        <v>438</v>
      </c>
      <c r="W98" s="134">
        <v>475</v>
      </c>
      <c r="X98" s="139">
        <v>474</v>
      </c>
      <c r="Y98" s="118">
        <v>566</v>
      </c>
      <c r="Z98" s="118">
        <v>651</v>
      </c>
    </row>
    <row r="99" spans="1:26" x14ac:dyDescent="0.25">
      <c r="A99" s="9" t="s">
        <v>80</v>
      </c>
      <c r="B99" s="118">
        <v>660</v>
      </c>
      <c r="C99" s="118">
        <v>723</v>
      </c>
      <c r="D99" s="118">
        <v>800</v>
      </c>
      <c r="E99" s="118">
        <v>778</v>
      </c>
      <c r="F99" s="118">
        <v>788</v>
      </c>
      <c r="G99" s="118">
        <v>825</v>
      </c>
      <c r="H99" s="118">
        <v>1021</v>
      </c>
      <c r="I99" s="118">
        <v>1230</v>
      </c>
      <c r="J99" s="118">
        <v>1288</v>
      </c>
      <c r="K99" s="32">
        <v>1595</v>
      </c>
      <c r="L99" s="118">
        <v>1215</v>
      </c>
      <c r="M99" s="32">
        <v>1261</v>
      </c>
      <c r="N99" s="118">
        <v>1500</v>
      </c>
      <c r="O99" s="118">
        <v>1669</v>
      </c>
      <c r="P99" s="118">
        <v>2659</v>
      </c>
      <c r="Q99" s="118">
        <v>1945</v>
      </c>
      <c r="R99" s="118">
        <v>1628</v>
      </c>
      <c r="S99" s="118">
        <v>1837</v>
      </c>
      <c r="T99" s="134">
        <v>1916</v>
      </c>
      <c r="U99" s="134">
        <v>2298</v>
      </c>
      <c r="V99" s="134">
        <v>2109</v>
      </c>
      <c r="W99" s="134">
        <v>3192</v>
      </c>
      <c r="X99" s="139">
        <v>4140</v>
      </c>
      <c r="Y99" s="118">
        <v>4416</v>
      </c>
      <c r="Z99" s="118">
        <v>5690</v>
      </c>
    </row>
    <row r="100" spans="1:26" x14ac:dyDescent="0.25">
      <c r="A100" s="9" t="s">
        <v>81</v>
      </c>
      <c r="B100" s="118">
        <v>349</v>
      </c>
      <c r="C100" s="118">
        <v>335</v>
      </c>
      <c r="D100" s="118">
        <v>358</v>
      </c>
      <c r="E100" s="118">
        <v>310</v>
      </c>
      <c r="F100" s="118">
        <v>404</v>
      </c>
      <c r="G100" s="118">
        <v>362</v>
      </c>
      <c r="H100" s="118">
        <v>350</v>
      </c>
      <c r="I100" s="118">
        <v>492</v>
      </c>
      <c r="J100" s="118">
        <v>462</v>
      </c>
      <c r="K100" s="32">
        <v>790</v>
      </c>
      <c r="L100" s="118">
        <v>581</v>
      </c>
      <c r="M100" s="32">
        <v>810</v>
      </c>
      <c r="N100" s="118">
        <v>1072</v>
      </c>
      <c r="O100" s="118">
        <v>946</v>
      </c>
      <c r="P100" s="118">
        <v>1648</v>
      </c>
      <c r="Q100" s="118">
        <v>1508</v>
      </c>
      <c r="R100" s="118">
        <v>1472</v>
      </c>
      <c r="S100" s="118">
        <v>1310</v>
      </c>
      <c r="T100" s="134">
        <v>1344</v>
      </c>
      <c r="U100" s="134">
        <v>1247</v>
      </c>
      <c r="V100" s="134">
        <v>1161</v>
      </c>
      <c r="W100" s="134">
        <v>1314</v>
      </c>
      <c r="X100" s="139">
        <v>1777</v>
      </c>
      <c r="Y100" s="118">
        <v>2333</v>
      </c>
      <c r="Z100" s="118">
        <v>1949</v>
      </c>
    </row>
    <row r="101" spans="1:26" x14ac:dyDescent="0.25">
      <c r="A101" s="9" t="s">
        <v>82</v>
      </c>
      <c r="B101" s="118">
        <v>481</v>
      </c>
      <c r="C101" s="118">
        <v>434</v>
      </c>
      <c r="D101" s="118">
        <v>434</v>
      </c>
      <c r="E101" s="118">
        <v>393</v>
      </c>
      <c r="F101" s="118">
        <v>310</v>
      </c>
      <c r="G101" s="118">
        <v>349</v>
      </c>
      <c r="H101" s="118">
        <v>365</v>
      </c>
      <c r="I101" s="118">
        <v>458</v>
      </c>
      <c r="J101" s="118">
        <v>408</v>
      </c>
      <c r="K101" s="32">
        <v>410</v>
      </c>
      <c r="L101" s="118">
        <v>463</v>
      </c>
      <c r="M101" s="32">
        <v>643</v>
      </c>
      <c r="N101" s="118">
        <v>831</v>
      </c>
      <c r="O101" s="118">
        <v>726</v>
      </c>
      <c r="P101" s="118">
        <v>807</v>
      </c>
      <c r="Q101" s="118">
        <v>640</v>
      </c>
      <c r="R101" s="118">
        <v>417</v>
      </c>
      <c r="S101" s="118">
        <v>415</v>
      </c>
      <c r="T101" s="118">
        <v>407</v>
      </c>
      <c r="U101" s="134">
        <v>696</v>
      </c>
      <c r="V101" s="134">
        <v>635</v>
      </c>
      <c r="W101" s="134">
        <v>1135</v>
      </c>
      <c r="X101" s="139">
        <v>1464</v>
      </c>
      <c r="Y101" s="118">
        <v>1932</v>
      </c>
      <c r="Z101" s="118">
        <v>2194</v>
      </c>
    </row>
    <row r="102" spans="1:26" x14ac:dyDescent="0.25">
      <c r="A102" s="9" t="s">
        <v>83</v>
      </c>
      <c r="B102" s="118">
        <v>11</v>
      </c>
      <c r="C102" s="118">
        <v>26</v>
      </c>
      <c r="D102" s="118">
        <v>25</v>
      </c>
      <c r="E102" s="118">
        <v>34</v>
      </c>
      <c r="F102" s="118">
        <v>13</v>
      </c>
      <c r="G102" s="118">
        <v>9</v>
      </c>
      <c r="H102" s="118">
        <v>21</v>
      </c>
      <c r="I102" s="118">
        <v>43</v>
      </c>
      <c r="J102" s="118">
        <v>76</v>
      </c>
      <c r="K102" s="32">
        <v>88</v>
      </c>
      <c r="L102" s="118">
        <v>103</v>
      </c>
      <c r="M102" s="32">
        <v>114</v>
      </c>
      <c r="N102" s="118">
        <v>60</v>
      </c>
      <c r="O102" s="118">
        <v>58</v>
      </c>
      <c r="P102" s="118">
        <v>32</v>
      </c>
      <c r="Q102" s="118">
        <v>58</v>
      </c>
      <c r="R102" s="118">
        <v>81</v>
      </c>
      <c r="S102" s="118">
        <v>85</v>
      </c>
      <c r="T102" s="134">
        <v>71</v>
      </c>
      <c r="U102" s="134">
        <v>75</v>
      </c>
      <c r="V102" s="134">
        <v>71</v>
      </c>
      <c r="W102" s="134">
        <v>51</v>
      </c>
      <c r="X102" s="139">
        <v>56</v>
      </c>
      <c r="Y102" s="118">
        <v>62</v>
      </c>
      <c r="Z102" s="118">
        <v>59</v>
      </c>
    </row>
    <row r="103" spans="1:26" x14ac:dyDescent="0.25">
      <c r="A103" s="9" t="s">
        <v>84</v>
      </c>
      <c r="B103" s="118">
        <v>339</v>
      </c>
      <c r="C103" s="118">
        <v>226</v>
      </c>
      <c r="D103" s="118">
        <v>281</v>
      </c>
      <c r="E103" s="118">
        <v>192</v>
      </c>
      <c r="F103" s="118">
        <v>222</v>
      </c>
      <c r="G103" s="118">
        <v>202</v>
      </c>
      <c r="H103" s="118">
        <v>231</v>
      </c>
      <c r="I103" s="118">
        <v>327</v>
      </c>
      <c r="J103" s="118">
        <v>437</v>
      </c>
      <c r="K103" s="32">
        <v>607</v>
      </c>
      <c r="L103" s="118">
        <v>539</v>
      </c>
      <c r="M103" s="32">
        <v>527</v>
      </c>
      <c r="N103" s="118">
        <v>720</v>
      </c>
      <c r="O103" s="118">
        <v>944</v>
      </c>
      <c r="P103" s="118">
        <v>973</v>
      </c>
      <c r="Q103" s="118">
        <v>1031</v>
      </c>
      <c r="R103" s="118">
        <v>1163</v>
      </c>
      <c r="S103" s="118">
        <v>1384</v>
      </c>
      <c r="T103" s="134">
        <v>1199</v>
      </c>
      <c r="U103" s="134">
        <v>1808</v>
      </c>
      <c r="V103" s="134">
        <v>1572</v>
      </c>
      <c r="W103" s="134">
        <v>2196</v>
      </c>
      <c r="X103" s="139">
        <v>2224</v>
      </c>
      <c r="Y103" s="118">
        <v>1883</v>
      </c>
      <c r="Z103" s="118">
        <v>2723</v>
      </c>
    </row>
    <row r="104" spans="1:26" ht="19.5" x14ac:dyDescent="0.25">
      <c r="A104" s="9" t="s">
        <v>85</v>
      </c>
      <c r="B104" s="118">
        <v>41</v>
      </c>
      <c r="C104" s="118">
        <v>57</v>
      </c>
      <c r="D104" s="118">
        <v>89</v>
      </c>
      <c r="E104" s="118">
        <v>93</v>
      </c>
      <c r="F104" s="118">
        <v>129</v>
      </c>
      <c r="G104" s="118">
        <v>115</v>
      </c>
      <c r="H104" s="118">
        <v>116</v>
      </c>
      <c r="I104" s="118">
        <v>180</v>
      </c>
      <c r="J104" s="118">
        <v>230</v>
      </c>
      <c r="K104" s="32">
        <v>238</v>
      </c>
      <c r="L104" s="118">
        <v>225</v>
      </c>
      <c r="M104" s="32">
        <v>227</v>
      </c>
      <c r="N104" s="118">
        <v>261</v>
      </c>
      <c r="O104" s="118">
        <v>561</v>
      </c>
      <c r="P104" s="118">
        <v>589</v>
      </c>
      <c r="Q104" s="118">
        <v>431</v>
      </c>
      <c r="R104" s="118">
        <v>472</v>
      </c>
      <c r="S104" s="118">
        <v>242</v>
      </c>
      <c r="T104" s="134">
        <v>272</v>
      </c>
      <c r="U104" s="134">
        <v>313</v>
      </c>
      <c r="V104" s="134">
        <v>203</v>
      </c>
      <c r="W104" s="134">
        <v>363</v>
      </c>
      <c r="X104" s="139">
        <v>246</v>
      </c>
      <c r="Y104" s="118">
        <v>185</v>
      </c>
      <c r="Z104" s="118">
        <v>273</v>
      </c>
    </row>
    <row r="105" spans="1:26" ht="20.25" thickBot="1" x14ac:dyDescent="0.3">
      <c r="A105" s="71" t="s">
        <v>86</v>
      </c>
      <c r="B105" s="127">
        <v>7</v>
      </c>
      <c r="C105" s="127">
        <v>13</v>
      </c>
      <c r="D105" s="127">
        <v>139</v>
      </c>
      <c r="E105" s="127">
        <v>318</v>
      </c>
      <c r="F105" s="127">
        <v>397</v>
      </c>
      <c r="G105" s="127">
        <v>30</v>
      </c>
      <c r="H105" s="127">
        <v>34</v>
      </c>
      <c r="I105" s="127">
        <v>43</v>
      </c>
      <c r="J105" s="127">
        <v>13</v>
      </c>
      <c r="K105" s="33">
        <v>12</v>
      </c>
      <c r="L105" s="127">
        <v>9</v>
      </c>
      <c r="M105" s="33">
        <v>12</v>
      </c>
      <c r="N105" s="127">
        <v>11</v>
      </c>
      <c r="O105" s="127">
        <v>9</v>
      </c>
      <c r="P105" s="127">
        <v>8</v>
      </c>
      <c r="Q105" s="127">
        <v>7</v>
      </c>
      <c r="R105" s="127">
        <v>5</v>
      </c>
      <c r="S105" s="127">
        <v>23</v>
      </c>
      <c r="T105" s="135">
        <v>13</v>
      </c>
      <c r="U105" s="135">
        <v>27</v>
      </c>
      <c r="V105" s="135">
        <v>16</v>
      </c>
      <c r="W105" s="135">
        <v>13</v>
      </c>
      <c r="X105" s="135">
        <v>27</v>
      </c>
      <c r="Y105" s="127">
        <v>42</v>
      </c>
      <c r="Z105" s="127">
        <v>84</v>
      </c>
    </row>
    <row r="106" spans="1:26" x14ac:dyDescent="0.25">
      <c r="A106" s="72"/>
      <c r="B106" s="72"/>
      <c r="C106" s="72"/>
      <c r="D106" s="72"/>
      <c r="E106" s="72"/>
      <c r="F106" s="72"/>
      <c r="G106" s="72"/>
      <c r="H106" s="175"/>
      <c r="I106" s="72"/>
      <c r="J106" s="72"/>
      <c r="K106" s="72"/>
      <c r="L106" s="72"/>
      <c r="M106" s="72"/>
      <c r="N106" s="72"/>
      <c r="O106" s="12"/>
      <c r="P106" s="12"/>
      <c r="Q106" s="12"/>
      <c r="R106" s="12"/>
      <c r="S106" s="12"/>
      <c r="T106" s="12"/>
      <c r="V106" s="12"/>
      <c r="W106" s="12"/>
      <c r="X106" s="12"/>
      <c r="Y106" s="12"/>
      <c r="Z106" s="12"/>
    </row>
    <row r="107" spans="1:26" x14ac:dyDescent="0.25">
      <c r="A107" s="72"/>
      <c r="B107" s="72"/>
      <c r="C107" s="72"/>
      <c r="D107" s="72"/>
      <c r="E107" s="72"/>
      <c r="F107" s="72"/>
      <c r="G107" s="72"/>
      <c r="H107" s="176"/>
      <c r="I107" s="72"/>
      <c r="J107" s="72"/>
      <c r="K107" s="72"/>
      <c r="L107" s="72"/>
      <c r="M107" s="72"/>
      <c r="N107" s="72"/>
      <c r="O107" s="12"/>
      <c r="P107" s="12"/>
      <c r="Q107" s="12"/>
      <c r="R107" s="12"/>
      <c r="S107" s="12"/>
      <c r="T107" s="12"/>
      <c r="V107" s="12"/>
      <c r="W107" s="12"/>
      <c r="X107" s="12"/>
      <c r="Y107" s="12"/>
      <c r="Z107" s="12"/>
    </row>
  </sheetData>
  <mergeCells count="4">
    <mergeCell ref="A5:N5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7"/>
  <sheetViews>
    <sheetView zoomScale="80" zoomScaleNormal="80" workbookViewId="0">
      <pane ySplit="8" topLeftCell="A9" activePane="bottomLeft" state="frozen"/>
      <selection sqref="A1:T1"/>
      <selection pane="bottomLeft" activeCell="D1" sqref="D1"/>
    </sheetView>
  </sheetViews>
  <sheetFormatPr defaultColWidth="9.140625" defaultRowHeight="15" x14ac:dyDescent="0.25"/>
  <cols>
    <col min="1" max="1" width="19.28515625" style="1" customWidth="1"/>
    <col min="2" max="18" width="9.140625" style="1"/>
    <col min="19" max="19" width="9.140625" style="12"/>
    <col min="20" max="20" width="9.140625" style="1"/>
    <col min="21" max="21" width="9.140625" style="12"/>
    <col min="22" max="23" width="9.140625" style="1"/>
    <col min="24" max="25" width="9.140625" style="12"/>
    <col min="26" max="16384" width="9.140625" style="1"/>
  </cols>
  <sheetData>
    <row r="1" spans="1:27" ht="30" customHeight="1" x14ac:dyDescent="0.25"/>
    <row r="2" spans="1:27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7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7" x14ac:dyDescent="0.25">
      <c r="A4" s="197" t="s">
        <v>117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7" x14ac:dyDescent="0.25">
      <c r="A5" s="198" t="s">
        <v>212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2"/>
      <c r="V5" s="12"/>
      <c r="W5" s="12"/>
      <c r="Z5" s="12"/>
      <c r="AA5" s="12"/>
    </row>
    <row r="6" spans="1:27" x14ac:dyDescent="0.25">
      <c r="A6" s="36" t="s">
        <v>255</v>
      </c>
      <c r="B6" s="36"/>
      <c r="C6" s="36"/>
      <c r="D6" s="36"/>
      <c r="E6" s="36"/>
      <c r="F6" s="36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12"/>
      <c r="V6" s="12"/>
      <c r="W6" s="12"/>
      <c r="Z6" s="12"/>
      <c r="AA6" s="12"/>
    </row>
    <row r="7" spans="1:27" ht="15.75" thickBot="1" x14ac:dyDescent="0.3">
      <c r="A7" s="60" t="s">
        <v>186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12"/>
      <c r="V7" s="12"/>
      <c r="W7" s="12"/>
      <c r="Z7" s="12"/>
      <c r="AA7" s="12"/>
    </row>
    <row r="8" spans="1:27" ht="15.75" thickBot="1" x14ac:dyDescent="0.3">
      <c r="A8" s="2"/>
      <c r="B8" s="2">
        <v>2000</v>
      </c>
      <c r="C8" s="2">
        <v>2001</v>
      </c>
      <c r="D8" s="2">
        <v>2002</v>
      </c>
      <c r="E8" s="2">
        <v>2003</v>
      </c>
      <c r="F8" s="2">
        <v>2004</v>
      </c>
      <c r="G8" s="2">
        <v>2005</v>
      </c>
      <c r="H8" s="2">
        <v>2006</v>
      </c>
      <c r="I8" s="2">
        <v>2007</v>
      </c>
      <c r="J8" s="2">
        <v>2008</v>
      </c>
      <c r="K8" s="2">
        <v>2009</v>
      </c>
      <c r="L8" s="2">
        <v>2010</v>
      </c>
      <c r="M8" s="2">
        <v>2011</v>
      </c>
      <c r="N8" s="2">
        <v>2012</v>
      </c>
      <c r="O8" s="2">
        <v>2013</v>
      </c>
      <c r="P8" s="2">
        <v>2014</v>
      </c>
      <c r="Q8" s="2">
        <v>2015</v>
      </c>
      <c r="R8" s="2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  <c r="AA8" s="12"/>
    </row>
    <row r="9" spans="1:27" x14ac:dyDescent="0.25">
      <c r="A9" s="19" t="s">
        <v>0</v>
      </c>
      <c r="B9" s="119">
        <v>44673.599999999999</v>
      </c>
      <c r="C9" s="119">
        <v>47650.5</v>
      </c>
      <c r="D9" s="119">
        <v>49589.4</v>
      </c>
      <c r="E9" s="126">
        <v>53715.4</v>
      </c>
      <c r="F9" s="119">
        <v>59949.5</v>
      </c>
      <c r="G9" s="123">
        <v>66289.100000000006</v>
      </c>
      <c r="H9" s="119">
        <v>75553.7</v>
      </c>
      <c r="I9" s="119">
        <v>98068.6</v>
      </c>
      <c r="J9" s="119">
        <v>102516.7</v>
      </c>
      <c r="K9" s="61">
        <v>95056.5</v>
      </c>
      <c r="L9" s="123">
        <v>91454.1</v>
      </c>
      <c r="M9" s="61">
        <v>98982.5</v>
      </c>
      <c r="N9" s="123">
        <v>110376.7</v>
      </c>
      <c r="O9" s="123">
        <v>117785</v>
      </c>
      <c r="P9" s="123">
        <v>138614.20000000001</v>
      </c>
      <c r="Q9" s="123">
        <v>139436.5</v>
      </c>
      <c r="R9" s="123">
        <v>135849.9</v>
      </c>
      <c r="S9" s="123">
        <v>137355.6</v>
      </c>
      <c r="T9" s="130">
        <v>132721.4</v>
      </c>
      <c r="U9" s="130">
        <v>146745.4</v>
      </c>
      <c r="V9" s="130">
        <v>143409.70000000001</v>
      </c>
      <c r="W9" s="130">
        <v>148409.79999999999</v>
      </c>
      <c r="X9" s="130">
        <v>160189.6</v>
      </c>
      <c r="Y9" s="130">
        <v>175042.2</v>
      </c>
      <c r="Z9" s="130">
        <v>170780.7</v>
      </c>
      <c r="AA9" s="12"/>
    </row>
    <row r="10" spans="1:27" ht="18" x14ac:dyDescent="0.25">
      <c r="A10" s="8" t="s">
        <v>92</v>
      </c>
      <c r="B10" s="123">
        <v>14298.9</v>
      </c>
      <c r="C10" s="123">
        <v>15293.9</v>
      </c>
      <c r="D10" s="123">
        <v>17216.7</v>
      </c>
      <c r="E10" s="120">
        <v>18643.599999999999</v>
      </c>
      <c r="F10" s="123">
        <v>22257.9</v>
      </c>
      <c r="G10" s="123">
        <v>23020.7</v>
      </c>
      <c r="H10" s="123">
        <v>26054.5</v>
      </c>
      <c r="I10" s="123">
        <v>32862.6</v>
      </c>
      <c r="J10" s="123">
        <v>31934.2</v>
      </c>
      <c r="K10" s="61">
        <v>30386.5</v>
      </c>
      <c r="L10" s="123">
        <v>27105.1</v>
      </c>
      <c r="M10" s="61">
        <v>27866.2</v>
      </c>
      <c r="N10" s="123">
        <v>32329.7</v>
      </c>
      <c r="O10" s="123">
        <v>36639.800000000003</v>
      </c>
      <c r="P10" s="123">
        <v>43204.3</v>
      </c>
      <c r="Q10" s="123">
        <v>42783.3</v>
      </c>
      <c r="R10" s="123">
        <v>44823.9</v>
      </c>
      <c r="S10" s="123">
        <v>45752.2</v>
      </c>
      <c r="T10" s="130">
        <v>42589.9</v>
      </c>
      <c r="U10" s="130">
        <v>48036.7</v>
      </c>
      <c r="V10" s="130">
        <v>47252.2</v>
      </c>
      <c r="W10" s="130">
        <v>51157.7</v>
      </c>
      <c r="X10" s="130">
        <v>53392.4</v>
      </c>
      <c r="Y10" s="130">
        <v>54630.5</v>
      </c>
      <c r="Z10" s="130">
        <v>50599.5</v>
      </c>
      <c r="AA10" s="12"/>
    </row>
    <row r="11" spans="1:27" x14ac:dyDescent="0.25">
      <c r="A11" s="9" t="s">
        <v>1</v>
      </c>
      <c r="B11" s="129">
        <v>988.1</v>
      </c>
      <c r="C11" s="129">
        <v>899.7</v>
      </c>
      <c r="D11" s="129">
        <v>1119</v>
      </c>
      <c r="E11" s="129">
        <v>971</v>
      </c>
      <c r="F11" s="129">
        <v>1310</v>
      </c>
      <c r="G11" s="129">
        <v>1406.5</v>
      </c>
      <c r="H11" s="129">
        <v>1905.2</v>
      </c>
      <c r="I11" s="129">
        <v>2360.6</v>
      </c>
      <c r="J11" s="129">
        <v>2718.2</v>
      </c>
      <c r="K11" s="62">
        <v>2978.5</v>
      </c>
      <c r="L11" s="129">
        <v>2023.5</v>
      </c>
      <c r="M11" s="62">
        <v>1710.1</v>
      </c>
      <c r="N11" s="129">
        <v>2540.4</v>
      </c>
      <c r="O11" s="129">
        <v>2432</v>
      </c>
      <c r="P11" s="129">
        <v>2245.9</v>
      </c>
      <c r="Q11" s="129">
        <v>2307.5</v>
      </c>
      <c r="R11" s="129">
        <v>2638.8</v>
      </c>
      <c r="S11" s="129">
        <v>2468.6</v>
      </c>
      <c r="T11" s="131">
        <v>2089.9</v>
      </c>
      <c r="U11" s="131">
        <v>2036.2</v>
      </c>
      <c r="V11" s="131">
        <v>1669.1</v>
      </c>
      <c r="W11" s="131">
        <v>1452.5</v>
      </c>
      <c r="X11" s="131">
        <v>1211.7</v>
      </c>
      <c r="Y11" s="131">
        <v>1220.7</v>
      </c>
      <c r="Z11" s="131">
        <v>1094.4000000000001</v>
      </c>
      <c r="AA11" s="12"/>
    </row>
    <row r="12" spans="1:27" x14ac:dyDescent="0.25">
      <c r="A12" s="9" t="s">
        <v>2</v>
      </c>
      <c r="B12" s="129">
        <v>359.8</v>
      </c>
      <c r="C12" s="129">
        <v>334.3</v>
      </c>
      <c r="D12" s="129">
        <v>324.2</v>
      </c>
      <c r="E12" s="118">
        <v>298.5</v>
      </c>
      <c r="F12" s="129">
        <v>368.8</v>
      </c>
      <c r="G12" s="129">
        <v>266.10000000000002</v>
      </c>
      <c r="H12" s="129">
        <v>329.3</v>
      </c>
      <c r="I12" s="129">
        <v>406</v>
      </c>
      <c r="J12" s="129">
        <v>458.6</v>
      </c>
      <c r="K12" s="62">
        <v>520.9</v>
      </c>
      <c r="L12" s="129">
        <v>550.9</v>
      </c>
      <c r="M12" s="62">
        <v>740.8</v>
      </c>
      <c r="N12" s="129">
        <v>715.2</v>
      </c>
      <c r="O12" s="129">
        <v>916.9</v>
      </c>
      <c r="P12" s="129">
        <v>922</v>
      </c>
      <c r="Q12" s="129">
        <v>1146.7</v>
      </c>
      <c r="R12" s="129">
        <v>1114.2</v>
      </c>
      <c r="S12" s="129">
        <v>986.9</v>
      </c>
      <c r="T12" s="131">
        <v>728.7</v>
      </c>
      <c r="U12" s="131">
        <v>699.3</v>
      </c>
      <c r="V12" s="131">
        <v>1154.5</v>
      </c>
      <c r="W12" s="131">
        <v>1115.2</v>
      </c>
      <c r="X12" s="131">
        <v>1574.7</v>
      </c>
      <c r="Y12" s="131">
        <v>852.4</v>
      </c>
      <c r="Z12" s="131">
        <v>1015.5</v>
      </c>
      <c r="AA12" s="12"/>
    </row>
    <row r="13" spans="1:27" x14ac:dyDescent="0.25">
      <c r="A13" s="9" t="s">
        <v>3</v>
      </c>
      <c r="B13" s="129">
        <v>380.5</v>
      </c>
      <c r="C13" s="129">
        <v>325</v>
      </c>
      <c r="D13" s="129">
        <v>356.2</v>
      </c>
      <c r="E13" s="118">
        <v>374.6</v>
      </c>
      <c r="F13" s="129">
        <v>420.5</v>
      </c>
      <c r="G13" s="129">
        <v>431.1</v>
      </c>
      <c r="H13" s="129">
        <v>570.1</v>
      </c>
      <c r="I13" s="129">
        <v>514.4</v>
      </c>
      <c r="J13" s="129">
        <v>677.6</v>
      </c>
      <c r="K13" s="62">
        <v>694.1</v>
      </c>
      <c r="L13" s="129">
        <v>679.3</v>
      </c>
      <c r="M13" s="62">
        <v>582.5</v>
      </c>
      <c r="N13" s="129">
        <v>739</v>
      </c>
      <c r="O13" s="129">
        <v>761</v>
      </c>
      <c r="P13" s="129">
        <v>920.1</v>
      </c>
      <c r="Q13" s="129">
        <v>900.7</v>
      </c>
      <c r="R13" s="129">
        <v>1067.7</v>
      </c>
      <c r="S13" s="129">
        <v>958.3</v>
      </c>
      <c r="T13" s="131">
        <v>965.8</v>
      </c>
      <c r="U13" s="131">
        <v>1112</v>
      </c>
      <c r="V13" s="131">
        <v>983.2</v>
      </c>
      <c r="W13" s="131">
        <v>1159.4000000000001</v>
      </c>
      <c r="X13" s="131">
        <v>1572.9</v>
      </c>
      <c r="Y13" s="131">
        <v>1477.5</v>
      </c>
      <c r="Z13" s="131">
        <v>1399.2</v>
      </c>
      <c r="AA13" s="12"/>
    </row>
    <row r="14" spans="1:27" x14ac:dyDescent="0.25">
      <c r="A14" s="9" t="s">
        <v>4</v>
      </c>
      <c r="B14" s="129">
        <v>834.5</v>
      </c>
      <c r="C14" s="129">
        <v>822.1</v>
      </c>
      <c r="D14" s="129">
        <v>848.1</v>
      </c>
      <c r="E14" s="118">
        <v>1041.9000000000001</v>
      </c>
      <c r="F14" s="129">
        <v>910</v>
      </c>
      <c r="G14" s="129">
        <v>1056.5999999999999</v>
      </c>
      <c r="H14" s="129">
        <v>1125.9000000000001</v>
      </c>
      <c r="I14" s="129">
        <v>1482.1</v>
      </c>
      <c r="J14" s="129">
        <v>1704.9</v>
      </c>
      <c r="K14" s="62">
        <v>1392.4</v>
      </c>
      <c r="L14" s="129">
        <v>1568.4</v>
      </c>
      <c r="M14" s="62">
        <v>1568.6</v>
      </c>
      <c r="N14" s="129">
        <v>1786.6</v>
      </c>
      <c r="O14" s="129">
        <v>2156.5</v>
      </c>
      <c r="P14" s="129">
        <v>2629.7</v>
      </c>
      <c r="Q14" s="129">
        <v>2675.1</v>
      </c>
      <c r="R14" s="129">
        <v>2665.5</v>
      </c>
      <c r="S14" s="129">
        <v>3019.1</v>
      </c>
      <c r="T14" s="131">
        <v>2937.7</v>
      </c>
      <c r="U14" s="131">
        <v>2945.2</v>
      </c>
      <c r="V14" s="131">
        <v>3006</v>
      </c>
      <c r="W14" s="131">
        <v>2955.8</v>
      </c>
      <c r="X14" s="131">
        <v>3174.8</v>
      </c>
      <c r="Y14" s="131">
        <v>3353.7</v>
      </c>
      <c r="Z14" s="131">
        <v>3190.7</v>
      </c>
      <c r="AA14" s="12"/>
    </row>
    <row r="15" spans="1:27" x14ac:dyDescent="0.25">
      <c r="A15" s="9" t="s">
        <v>5</v>
      </c>
      <c r="B15" s="129">
        <v>157.19999999999999</v>
      </c>
      <c r="C15" s="129">
        <v>107.2</v>
      </c>
      <c r="D15" s="129">
        <v>129.19999999999999</v>
      </c>
      <c r="E15" s="118">
        <v>183.9</v>
      </c>
      <c r="F15" s="129">
        <v>161.4</v>
      </c>
      <c r="G15" s="129">
        <v>153.4</v>
      </c>
      <c r="H15" s="129">
        <v>275.60000000000002</v>
      </c>
      <c r="I15" s="129">
        <v>221.6</v>
      </c>
      <c r="J15" s="129">
        <v>285.3</v>
      </c>
      <c r="K15" s="62">
        <v>411.9</v>
      </c>
      <c r="L15" s="129">
        <v>266.89999999999998</v>
      </c>
      <c r="M15" s="62">
        <v>384.4</v>
      </c>
      <c r="N15" s="129">
        <v>374.2</v>
      </c>
      <c r="O15" s="129">
        <v>489.5</v>
      </c>
      <c r="P15" s="129">
        <v>516.70000000000005</v>
      </c>
      <c r="Q15" s="129">
        <v>434.1</v>
      </c>
      <c r="R15" s="129">
        <v>345.2</v>
      </c>
      <c r="S15" s="129">
        <v>558.5</v>
      </c>
      <c r="T15" s="131">
        <v>546.5</v>
      </c>
      <c r="U15" s="131">
        <v>550.20000000000005</v>
      </c>
      <c r="V15" s="131">
        <v>612.5</v>
      </c>
      <c r="W15" s="131">
        <v>483.1</v>
      </c>
      <c r="X15" s="131">
        <v>631.70000000000005</v>
      </c>
      <c r="Y15" s="131">
        <v>692.2</v>
      </c>
      <c r="Z15" s="131">
        <v>674</v>
      </c>
      <c r="AA15" s="12"/>
    </row>
    <row r="16" spans="1:27" x14ac:dyDescent="0.25">
      <c r="A16" s="9" t="s">
        <v>6</v>
      </c>
      <c r="B16" s="129">
        <v>242.4</v>
      </c>
      <c r="C16" s="129">
        <v>287.60000000000002</v>
      </c>
      <c r="D16" s="129">
        <v>285.8</v>
      </c>
      <c r="E16" s="118">
        <v>398.4</v>
      </c>
      <c r="F16" s="129">
        <v>339.2</v>
      </c>
      <c r="G16" s="129">
        <v>415.4</v>
      </c>
      <c r="H16" s="129">
        <v>466.6</v>
      </c>
      <c r="I16" s="129">
        <v>765.9</v>
      </c>
      <c r="J16" s="129">
        <v>1010.1</v>
      </c>
      <c r="K16" s="62">
        <v>800.2</v>
      </c>
      <c r="L16" s="129">
        <v>1065.5999999999999</v>
      </c>
      <c r="M16" s="62">
        <v>960.2</v>
      </c>
      <c r="N16" s="129">
        <v>959.1</v>
      </c>
      <c r="O16" s="129">
        <v>948.1</v>
      </c>
      <c r="P16" s="129">
        <v>1372.8</v>
      </c>
      <c r="Q16" s="129">
        <v>1686.6</v>
      </c>
      <c r="R16" s="129">
        <v>1536.3</v>
      </c>
      <c r="S16" s="129">
        <v>1696.4</v>
      </c>
      <c r="T16" s="131">
        <v>1513.9</v>
      </c>
      <c r="U16" s="131">
        <v>1803.7</v>
      </c>
      <c r="V16" s="131">
        <v>1446.1</v>
      </c>
      <c r="W16" s="131">
        <v>1408</v>
      </c>
      <c r="X16" s="131">
        <v>1354</v>
      </c>
      <c r="Y16" s="131">
        <v>1656.8</v>
      </c>
      <c r="Z16" s="131">
        <v>1382.9</v>
      </c>
      <c r="AA16" s="12"/>
    </row>
    <row r="17" spans="1:27" x14ac:dyDescent="0.25">
      <c r="A17" s="9" t="s">
        <v>7</v>
      </c>
      <c r="B17" s="129">
        <v>203.4</v>
      </c>
      <c r="C17" s="129">
        <v>235.5</v>
      </c>
      <c r="D17" s="129">
        <v>162</v>
      </c>
      <c r="E17" s="118">
        <v>176.4</v>
      </c>
      <c r="F17" s="129">
        <v>210.5</v>
      </c>
      <c r="G17" s="129">
        <v>214.7</v>
      </c>
      <c r="H17" s="129">
        <v>321.7</v>
      </c>
      <c r="I17" s="129">
        <v>235</v>
      </c>
      <c r="J17" s="129">
        <v>228.1</v>
      </c>
      <c r="K17" s="62">
        <v>259.10000000000002</v>
      </c>
      <c r="L17" s="129">
        <v>248.4</v>
      </c>
      <c r="M17" s="62">
        <v>249.2</v>
      </c>
      <c r="N17" s="129">
        <v>249.6</v>
      </c>
      <c r="O17" s="129">
        <v>310.5</v>
      </c>
      <c r="P17" s="129">
        <v>418.7</v>
      </c>
      <c r="Q17" s="129">
        <v>469.9</v>
      </c>
      <c r="R17" s="129">
        <v>450.1</v>
      </c>
      <c r="S17" s="129">
        <v>405.2</v>
      </c>
      <c r="T17" s="131">
        <v>266.89999999999998</v>
      </c>
      <c r="U17" s="131">
        <v>313.10000000000002</v>
      </c>
      <c r="V17" s="131">
        <v>350.7</v>
      </c>
      <c r="W17" s="131">
        <v>458.8</v>
      </c>
      <c r="X17" s="131">
        <v>530.6</v>
      </c>
      <c r="Y17" s="131">
        <v>464.9</v>
      </c>
      <c r="Z17" s="131">
        <v>431.1</v>
      </c>
      <c r="AA17" s="12"/>
    </row>
    <row r="18" spans="1:27" x14ac:dyDescent="0.25">
      <c r="A18" s="9" t="s">
        <v>8</v>
      </c>
      <c r="B18" s="129">
        <v>225.4</v>
      </c>
      <c r="C18" s="129">
        <v>281.60000000000002</v>
      </c>
      <c r="D18" s="129">
        <v>266.5</v>
      </c>
      <c r="E18" s="118">
        <v>388.4</v>
      </c>
      <c r="F18" s="129">
        <v>396.5</v>
      </c>
      <c r="G18" s="129">
        <v>538</v>
      </c>
      <c r="H18" s="129">
        <v>565.4</v>
      </c>
      <c r="I18" s="129">
        <v>667.3</v>
      </c>
      <c r="J18" s="129">
        <v>787.3</v>
      </c>
      <c r="K18" s="62">
        <v>794.9</v>
      </c>
      <c r="L18" s="129">
        <v>655.4</v>
      </c>
      <c r="M18" s="62">
        <v>827.5</v>
      </c>
      <c r="N18" s="129">
        <v>1275.7</v>
      </c>
      <c r="O18" s="129">
        <v>1130.4000000000001</v>
      </c>
      <c r="P18" s="129">
        <v>1395.4</v>
      </c>
      <c r="Q18" s="129">
        <v>1030.4000000000001</v>
      </c>
      <c r="R18" s="129">
        <v>1638.5</v>
      </c>
      <c r="S18" s="129">
        <v>1279.5</v>
      </c>
      <c r="T18" s="131">
        <v>1295</v>
      </c>
      <c r="U18" s="131">
        <v>1448.8</v>
      </c>
      <c r="V18" s="131">
        <v>1356.8</v>
      </c>
      <c r="W18" s="131">
        <v>2043.9</v>
      </c>
      <c r="X18" s="131">
        <v>917.6</v>
      </c>
      <c r="Y18" s="131">
        <v>1150.5</v>
      </c>
      <c r="Z18" s="131">
        <v>1076.8</v>
      </c>
      <c r="AA18" s="12"/>
    </row>
    <row r="19" spans="1:27" x14ac:dyDescent="0.25">
      <c r="A19" s="9" t="s">
        <v>9</v>
      </c>
      <c r="B19" s="129">
        <v>461.7</v>
      </c>
      <c r="C19" s="129">
        <v>569</v>
      </c>
      <c r="D19" s="129">
        <v>450.2</v>
      </c>
      <c r="E19" s="118">
        <v>465.9</v>
      </c>
      <c r="F19" s="129">
        <v>640.9</v>
      </c>
      <c r="G19" s="129">
        <v>659.9</v>
      </c>
      <c r="H19" s="129">
        <v>984.8</v>
      </c>
      <c r="I19" s="129">
        <v>954.5</v>
      </c>
      <c r="J19" s="129">
        <v>1011.6</v>
      </c>
      <c r="K19" s="62">
        <v>954.2</v>
      </c>
      <c r="L19" s="129">
        <v>1032.8</v>
      </c>
      <c r="M19" s="62">
        <v>897.9</v>
      </c>
      <c r="N19" s="129">
        <v>1186.3</v>
      </c>
      <c r="O19" s="129">
        <v>1226.5</v>
      </c>
      <c r="P19" s="129">
        <v>1279</v>
      </c>
      <c r="Q19" s="129">
        <v>1678.1</v>
      </c>
      <c r="R19" s="129">
        <v>1718.2</v>
      </c>
      <c r="S19" s="129">
        <v>2041.1</v>
      </c>
      <c r="T19" s="131">
        <v>1378.4</v>
      </c>
      <c r="U19" s="131">
        <v>1908</v>
      </c>
      <c r="V19" s="131">
        <v>2200.5</v>
      </c>
      <c r="W19" s="131">
        <v>1897.5</v>
      </c>
      <c r="X19" s="131">
        <v>1128.5</v>
      </c>
      <c r="Y19" s="131">
        <v>1027.0999999999999</v>
      </c>
      <c r="Z19" s="131">
        <v>1250.5</v>
      </c>
      <c r="AA19" s="12"/>
    </row>
    <row r="20" spans="1:27" x14ac:dyDescent="0.25">
      <c r="A20" s="9" t="s">
        <v>10</v>
      </c>
      <c r="B20" s="129">
        <v>3365.5</v>
      </c>
      <c r="C20" s="129">
        <v>3822</v>
      </c>
      <c r="D20" s="129">
        <v>4611.5</v>
      </c>
      <c r="E20" s="118">
        <v>5347.7</v>
      </c>
      <c r="F20" s="129">
        <v>7871.4</v>
      </c>
      <c r="G20" s="129">
        <v>7027.2</v>
      </c>
      <c r="H20" s="129">
        <v>8657.2999999999993</v>
      </c>
      <c r="I20" s="129">
        <v>12265</v>
      </c>
      <c r="J20" s="129">
        <v>12119.2</v>
      </c>
      <c r="K20" s="62">
        <v>11858.1</v>
      </c>
      <c r="L20" s="129">
        <v>11177.8</v>
      </c>
      <c r="M20" s="62">
        <v>11325.4</v>
      </c>
      <c r="N20" s="129">
        <v>9700.7999999999993</v>
      </c>
      <c r="O20" s="129">
        <v>11528.4</v>
      </c>
      <c r="P20" s="129">
        <v>16525.7</v>
      </c>
      <c r="Q20" s="129">
        <v>14421</v>
      </c>
      <c r="R20" s="129">
        <v>16686.2</v>
      </c>
      <c r="S20" s="129">
        <v>16461.900000000001</v>
      </c>
      <c r="T20" s="131">
        <v>15465.5</v>
      </c>
      <c r="U20" s="131">
        <v>15751.9</v>
      </c>
      <c r="V20" s="131">
        <v>15924.7</v>
      </c>
      <c r="W20" s="131">
        <v>14823</v>
      </c>
      <c r="X20" s="131">
        <v>20910.3</v>
      </c>
      <c r="Y20" s="131">
        <v>19724.2</v>
      </c>
      <c r="Z20" s="131">
        <v>17952.5</v>
      </c>
      <c r="AA20" s="12"/>
    </row>
    <row r="21" spans="1:27" x14ac:dyDescent="0.25">
      <c r="A21" s="9" t="s">
        <v>11</v>
      </c>
      <c r="B21" s="129">
        <v>331</v>
      </c>
      <c r="C21" s="129">
        <v>358</v>
      </c>
      <c r="D21" s="129">
        <v>379.2</v>
      </c>
      <c r="E21" s="118">
        <v>372.8</v>
      </c>
      <c r="F21" s="129">
        <v>342.4</v>
      </c>
      <c r="G21" s="129">
        <v>375.6</v>
      </c>
      <c r="H21" s="129">
        <v>315.2</v>
      </c>
      <c r="I21" s="129">
        <v>510.1</v>
      </c>
      <c r="J21" s="129">
        <v>612.5</v>
      </c>
      <c r="K21" s="62">
        <v>508.6</v>
      </c>
      <c r="L21" s="129">
        <v>423.3</v>
      </c>
      <c r="M21" s="62">
        <v>525.4</v>
      </c>
      <c r="N21" s="129">
        <v>592.70000000000005</v>
      </c>
      <c r="O21" s="129">
        <v>667.8</v>
      </c>
      <c r="P21" s="129">
        <v>769.3</v>
      </c>
      <c r="Q21" s="129">
        <v>789.5</v>
      </c>
      <c r="R21" s="129">
        <v>590.79999999999995</v>
      </c>
      <c r="S21" s="129">
        <v>486.1</v>
      </c>
      <c r="T21" s="131">
        <v>579.29999999999995</v>
      </c>
      <c r="U21" s="131">
        <v>459.6</v>
      </c>
      <c r="V21" s="131">
        <v>883.5</v>
      </c>
      <c r="W21" s="131">
        <v>977</v>
      </c>
      <c r="X21" s="131">
        <v>843.9</v>
      </c>
      <c r="Y21" s="131">
        <v>521</v>
      </c>
      <c r="Z21" s="131">
        <v>628.79999999999995</v>
      </c>
      <c r="AA21" s="12"/>
    </row>
    <row r="22" spans="1:27" x14ac:dyDescent="0.25">
      <c r="A22" s="9" t="s">
        <v>12</v>
      </c>
      <c r="B22" s="129">
        <v>319.3</v>
      </c>
      <c r="C22" s="129">
        <v>243.3</v>
      </c>
      <c r="D22" s="129">
        <v>318.3</v>
      </c>
      <c r="E22" s="118">
        <v>360.2</v>
      </c>
      <c r="F22" s="129">
        <v>384.8</v>
      </c>
      <c r="G22" s="129">
        <v>373</v>
      </c>
      <c r="H22" s="129">
        <v>499.2</v>
      </c>
      <c r="I22" s="129">
        <v>621.29999999999995</v>
      </c>
      <c r="J22" s="129">
        <v>739.8</v>
      </c>
      <c r="K22" s="62">
        <v>702.1</v>
      </c>
      <c r="L22" s="129">
        <v>654.79999999999995</v>
      </c>
      <c r="M22" s="62">
        <v>684.4</v>
      </c>
      <c r="N22" s="129">
        <v>857.3</v>
      </c>
      <c r="O22" s="129">
        <v>944.5</v>
      </c>
      <c r="P22" s="129">
        <v>924</v>
      </c>
      <c r="Q22" s="129">
        <v>1132.4000000000001</v>
      </c>
      <c r="R22" s="129">
        <v>1043.3</v>
      </c>
      <c r="S22" s="129">
        <v>1166.7</v>
      </c>
      <c r="T22" s="131">
        <v>1368.1</v>
      </c>
      <c r="U22" s="131">
        <v>1410.2</v>
      </c>
      <c r="V22" s="131">
        <v>1262.3</v>
      </c>
      <c r="W22" s="131">
        <v>1019.2</v>
      </c>
      <c r="X22" s="131">
        <v>1073.2</v>
      </c>
      <c r="Y22" s="131">
        <v>1270.5</v>
      </c>
      <c r="Z22" s="131">
        <v>1043.5</v>
      </c>
      <c r="AA22" s="12"/>
    </row>
    <row r="23" spans="1:27" x14ac:dyDescent="0.25">
      <c r="A23" s="9" t="s">
        <v>13</v>
      </c>
      <c r="B23" s="129">
        <v>195.9</v>
      </c>
      <c r="C23" s="129">
        <v>202.9</v>
      </c>
      <c r="D23" s="129">
        <v>222.1</v>
      </c>
      <c r="E23" s="118">
        <v>273.39999999999998</v>
      </c>
      <c r="F23" s="129">
        <v>302.7</v>
      </c>
      <c r="G23" s="129">
        <v>302.89999999999998</v>
      </c>
      <c r="H23" s="129">
        <v>343.5</v>
      </c>
      <c r="I23" s="129">
        <v>371.1</v>
      </c>
      <c r="J23" s="129">
        <v>434.2</v>
      </c>
      <c r="K23" s="62">
        <v>505.3</v>
      </c>
      <c r="L23" s="129">
        <v>453.5</v>
      </c>
      <c r="M23" s="62">
        <v>549.5</v>
      </c>
      <c r="N23" s="129">
        <v>427.7</v>
      </c>
      <c r="O23" s="129">
        <v>643.4</v>
      </c>
      <c r="P23" s="129">
        <v>647.6</v>
      </c>
      <c r="Q23" s="129">
        <v>773.9</v>
      </c>
      <c r="R23" s="129">
        <v>860</v>
      </c>
      <c r="S23" s="129">
        <v>628.70000000000005</v>
      </c>
      <c r="T23" s="131">
        <v>585.4</v>
      </c>
      <c r="U23" s="131">
        <v>726.1</v>
      </c>
      <c r="V23" s="131">
        <v>632.9</v>
      </c>
      <c r="W23" s="131">
        <v>676.2</v>
      </c>
      <c r="X23" s="131">
        <v>662.4</v>
      </c>
      <c r="Y23" s="131">
        <v>736.5</v>
      </c>
      <c r="Z23" s="131">
        <v>731.7</v>
      </c>
      <c r="AA23" s="12"/>
    </row>
    <row r="24" spans="1:27" x14ac:dyDescent="0.25">
      <c r="A24" s="9" t="s">
        <v>14</v>
      </c>
      <c r="B24" s="129">
        <v>336.4</v>
      </c>
      <c r="C24" s="129">
        <v>341.4</v>
      </c>
      <c r="D24" s="129">
        <v>317.8</v>
      </c>
      <c r="E24" s="118">
        <v>337.9</v>
      </c>
      <c r="F24" s="129">
        <v>413.1</v>
      </c>
      <c r="G24" s="129">
        <v>447.1</v>
      </c>
      <c r="H24" s="129">
        <v>542.9</v>
      </c>
      <c r="I24" s="129">
        <v>690.6</v>
      </c>
      <c r="J24" s="129">
        <v>769</v>
      </c>
      <c r="K24" s="62">
        <v>747</v>
      </c>
      <c r="L24" s="129">
        <v>815.6</v>
      </c>
      <c r="M24" s="62">
        <v>1036.0999999999999</v>
      </c>
      <c r="N24" s="129">
        <v>1120.8</v>
      </c>
      <c r="O24" s="129">
        <v>1260.7</v>
      </c>
      <c r="P24" s="129">
        <v>998</v>
      </c>
      <c r="Q24" s="129">
        <v>1133.3</v>
      </c>
      <c r="R24" s="129">
        <v>1381.9</v>
      </c>
      <c r="S24" s="129">
        <v>1665.3</v>
      </c>
      <c r="T24" s="131">
        <v>1222.4000000000001</v>
      </c>
      <c r="U24" s="131">
        <v>1481.9</v>
      </c>
      <c r="V24" s="131">
        <v>1272.4000000000001</v>
      </c>
      <c r="W24" s="131">
        <v>1458.4</v>
      </c>
      <c r="X24" s="131">
        <v>938.1</v>
      </c>
      <c r="Y24" s="131">
        <v>818.5</v>
      </c>
      <c r="Z24" s="131">
        <v>693</v>
      </c>
      <c r="AA24" s="12"/>
    </row>
    <row r="25" spans="1:27" x14ac:dyDescent="0.25">
      <c r="A25" s="9" t="s">
        <v>15</v>
      </c>
      <c r="B25" s="129">
        <v>315.60000000000002</v>
      </c>
      <c r="C25" s="129">
        <v>349</v>
      </c>
      <c r="D25" s="129">
        <v>369</v>
      </c>
      <c r="E25" s="118">
        <v>421.2</v>
      </c>
      <c r="F25" s="129">
        <v>375.7</v>
      </c>
      <c r="G25" s="129">
        <v>499.5</v>
      </c>
      <c r="H25" s="129">
        <v>422.9</v>
      </c>
      <c r="I25" s="129">
        <v>702.3</v>
      </c>
      <c r="J25" s="129">
        <v>535.4</v>
      </c>
      <c r="K25" s="62">
        <v>700.1</v>
      </c>
      <c r="L25" s="129">
        <v>666.5</v>
      </c>
      <c r="M25" s="62">
        <v>669.8</v>
      </c>
      <c r="N25" s="129">
        <v>979.8</v>
      </c>
      <c r="O25" s="129">
        <v>746.4</v>
      </c>
      <c r="P25" s="129">
        <v>860.3</v>
      </c>
      <c r="Q25" s="129">
        <v>778.4</v>
      </c>
      <c r="R25" s="129">
        <v>763.1</v>
      </c>
      <c r="S25" s="129">
        <v>1077.0999999999999</v>
      </c>
      <c r="T25" s="131">
        <v>609.29999999999995</v>
      </c>
      <c r="U25" s="131">
        <v>1097.5999999999999</v>
      </c>
      <c r="V25" s="131">
        <v>956.8</v>
      </c>
      <c r="W25" s="131">
        <v>753.1</v>
      </c>
      <c r="X25" s="131">
        <v>1050.5</v>
      </c>
      <c r="Y25" s="131">
        <v>1151</v>
      </c>
      <c r="Z25" s="131">
        <v>1011.2</v>
      </c>
      <c r="AA25" s="12"/>
    </row>
    <row r="26" spans="1:27" x14ac:dyDescent="0.25">
      <c r="A26" s="9" t="s">
        <v>16</v>
      </c>
      <c r="B26" s="129">
        <v>329.2</v>
      </c>
      <c r="C26" s="129">
        <v>270</v>
      </c>
      <c r="D26" s="129">
        <v>295.10000000000002</v>
      </c>
      <c r="E26" s="118">
        <v>335.7</v>
      </c>
      <c r="F26" s="129">
        <v>354.2</v>
      </c>
      <c r="G26" s="129">
        <v>296.10000000000002</v>
      </c>
      <c r="H26" s="129">
        <v>359.8</v>
      </c>
      <c r="I26" s="129">
        <v>383.1</v>
      </c>
      <c r="J26" s="129">
        <v>511.2</v>
      </c>
      <c r="K26" s="62">
        <v>564.1</v>
      </c>
      <c r="L26" s="129">
        <v>580.4</v>
      </c>
      <c r="M26" s="62">
        <v>394.6</v>
      </c>
      <c r="N26" s="129">
        <v>533.29999999999995</v>
      </c>
      <c r="O26" s="129">
        <v>685.6</v>
      </c>
      <c r="P26" s="129">
        <v>765.9</v>
      </c>
      <c r="Q26" s="129">
        <v>1139.8</v>
      </c>
      <c r="R26" s="129">
        <v>882</v>
      </c>
      <c r="S26" s="129">
        <v>1061.9000000000001</v>
      </c>
      <c r="T26" s="131">
        <v>1169.2</v>
      </c>
      <c r="U26" s="131">
        <v>1349.2</v>
      </c>
      <c r="V26" s="131">
        <v>1563.4</v>
      </c>
      <c r="W26" s="131">
        <v>1282.7</v>
      </c>
      <c r="X26" s="131">
        <v>1371.6</v>
      </c>
      <c r="Y26" s="131">
        <v>1660.4</v>
      </c>
      <c r="Z26" s="131">
        <v>1428.8</v>
      </c>
      <c r="AA26" s="12"/>
    </row>
    <row r="27" spans="1:27" x14ac:dyDescent="0.25">
      <c r="A27" s="9" t="s">
        <v>17</v>
      </c>
      <c r="B27" s="129">
        <v>243.4</v>
      </c>
      <c r="C27" s="129">
        <v>301.2</v>
      </c>
      <c r="D27" s="129">
        <v>336.2</v>
      </c>
      <c r="E27" s="118">
        <v>447.2</v>
      </c>
      <c r="F27" s="129">
        <v>397.2</v>
      </c>
      <c r="G27" s="129">
        <v>390.9</v>
      </c>
      <c r="H27" s="129">
        <v>488.8</v>
      </c>
      <c r="I27" s="129">
        <v>733.8</v>
      </c>
      <c r="J27" s="129">
        <v>775.4</v>
      </c>
      <c r="K27" s="62">
        <v>975</v>
      </c>
      <c r="L27" s="129">
        <v>652.4</v>
      </c>
      <c r="M27" s="62">
        <v>1237.3</v>
      </c>
      <c r="N27" s="129">
        <v>828.6</v>
      </c>
      <c r="O27" s="129">
        <v>1209.4000000000001</v>
      </c>
      <c r="P27" s="129">
        <v>1171.8</v>
      </c>
      <c r="Q27" s="129">
        <v>1099.9000000000001</v>
      </c>
      <c r="R27" s="129">
        <v>1305.8</v>
      </c>
      <c r="S27" s="129">
        <v>1275.5</v>
      </c>
      <c r="T27" s="131">
        <v>1243.3</v>
      </c>
      <c r="U27" s="131">
        <v>1181.7</v>
      </c>
      <c r="V27" s="131">
        <v>1097.4000000000001</v>
      </c>
      <c r="W27" s="131">
        <v>1168.7</v>
      </c>
      <c r="X27" s="131">
        <v>1085.9000000000001</v>
      </c>
      <c r="Y27" s="131">
        <v>1470.7</v>
      </c>
      <c r="Z27" s="131">
        <v>1430.2</v>
      </c>
      <c r="AA27" s="12"/>
    </row>
    <row r="28" spans="1:27" x14ac:dyDescent="0.25">
      <c r="A28" s="9" t="s">
        <v>18</v>
      </c>
      <c r="B28" s="129">
        <v>5009.5</v>
      </c>
      <c r="C28" s="129">
        <v>5544.1</v>
      </c>
      <c r="D28" s="129">
        <v>6426.2</v>
      </c>
      <c r="E28" s="118">
        <v>6448.6</v>
      </c>
      <c r="F28" s="129">
        <v>7058.4</v>
      </c>
      <c r="G28" s="129">
        <v>8166.5</v>
      </c>
      <c r="H28" s="129">
        <v>7880.3</v>
      </c>
      <c r="I28" s="129">
        <v>8977.7999999999993</v>
      </c>
      <c r="J28" s="129">
        <v>6555.8</v>
      </c>
      <c r="K28" s="62">
        <v>5020</v>
      </c>
      <c r="L28" s="129">
        <v>3589.6</v>
      </c>
      <c r="M28" s="62">
        <v>3522.5</v>
      </c>
      <c r="N28" s="129">
        <v>7462.5</v>
      </c>
      <c r="O28" s="129">
        <v>8582.4</v>
      </c>
      <c r="P28" s="129">
        <v>8841.4</v>
      </c>
      <c r="Q28" s="129">
        <v>9185.9</v>
      </c>
      <c r="R28" s="129">
        <v>8136.3</v>
      </c>
      <c r="S28" s="129">
        <v>8515.2000000000007</v>
      </c>
      <c r="T28" s="131">
        <v>8624.6</v>
      </c>
      <c r="U28" s="131">
        <v>11761.9</v>
      </c>
      <c r="V28" s="131">
        <v>10879.3</v>
      </c>
      <c r="W28" s="131">
        <v>16025.1</v>
      </c>
      <c r="X28" s="131">
        <v>13359.9</v>
      </c>
      <c r="Y28" s="131">
        <v>15381.8</v>
      </c>
      <c r="Z28" s="131">
        <v>14164.5</v>
      </c>
      <c r="AA28" s="12"/>
    </row>
    <row r="29" spans="1:27" ht="18" x14ac:dyDescent="0.25">
      <c r="A29" s="8" t="s">
        <v>95</v>
      </c>
      <c r="B29" s="123">
        <v>3915.7</v>
      </c>
      <c r="C29" s="123">
        <v>4027.2</v>
      </c>
      <c r="D29" s="123">
        <v>4114.8999999999996</v>
      </c>
      <c r="E29" s="120">
        <v>5248.5</v>
      </c>
      <c r="F29" s="123">
        <v>5892.7</v>
      </c>
      <c r="G29" s="123">
        <v>6519.7</v>
      </c>
      <c r="H29" s="123">
        <v>7831.6</v>
      </c>
      <c r="I29" s="123">
        <v>10019.4</v>
      </c>
      <c r="J29" s="123">
        <v>11440.1</v>
      </c>
      <c r="K29" s="61">
        <v>9449.6</v>
      </c>
      <c r="L29" s="123">
        <v>9982.5</v>
      </c>
      <c r="M29" s="61">
        <v>10124.299999999999</v>
      </c>
      <c r="N29" s="123">
        <v>10351.299999999999</v>
      </c>
      <c r="O29" s="123">
        <v>11377.7</v>
      </c>
      <c r="P29" s="123">
        <v>14722.4</v>
      </c>
      <c r="Q29" s="123">
        <v>14768.4</v>
      </c>
      <c r="R29" s="123">
        <v>14756</v>
      </c>
      <c r="S29" s="123">
        <v>15946</v>
      </c>
      <c r="T29" s="130">
        <v>16011.5</v>
      </c>
      <c r="U29" s="130">
        <v>16429.599999999999</v>
      </c>
      <c r="V29" s="130">
        <v>15741.1</v>
      </c>
      <c r="W29" s="130">
        <v>16660</v>
      </c>
      <c r="X29" s="130">
        <v>18780.2</v>
      </c>
      <c r="Y29" s="130">
        <v>19361.099999999999</v>
      </c>
      <c r="Z29" s="130">
        <v>18275.099999999999</v>
      </c>
      <c r="AA29" s="12"/>
    </row>
    <row r="30" spans="1:27" x14ac:dyDescent="0.25">
      <c r="A30" s="9" t="s">
        <v>19</v>
      </c>
      <c r="B30" s="129">
        <v>119.5</v>
      </c>
      <c r="C30" s="129">
        <v>154.69999999999999</v>
      </c>
      <c r="D30" s="129">
        <v>127</v>
      </c>
      <c r="E30" s="118">
        <v>191.1</v>
      </c>
      <c r="F30" s="129">
        <v>162.19999999999999</v>
      </c>
      <c r="G30" s="129">
        <v>169.8</v>
      </c>
      <c r="H30" s="129">
        <v>154.30000000000001</v>
      </c>
      <c r="I30" s="129">
        <v>189.6</v>
      </c>
      <c r="J30" s="129">
        <v>251.5</v>
      </c>
      <c r="K30" s="62">
        <v>259.39999999999998</v>
      </c>
      <c r="L30" s="129">
        <v>221.6</v>
      </c>
      <c r="M30" s="62">
        <v>315.5</v>
      </c>
      <c r="N30" s="129">
        <v>331.8</v>
      </c>
      <c r="O30" s="129">
        <v>410.4</v>
      </c>
      <c r="P30" s="129">
        <v>437.1</v>
      </c>
      <c r="Q30" s="129">
        <v>407.7</v>
      </c>
      <c r="R30" s="129">
        <v>449.1</v>
      </c>
      <c r="S30" s="129">
        <v>367</v>
      </c>
      <c r="T30" s="131">
        <v>403.9</v>
      </c>
      <c r="U30" s="131">
        <v>402</v>
      </c>
      <c r="V30" s="131">
        <v>453</v>
      </c>
      <c r="W30" s="131">
        <v>449.7</v>
      </c>
      <c r="X30" s="131">
        <v>420.5</v>
      </c>
      <c r="Y30" s="131">
        <v>509.5</v>
      </c>
      <c r="Z30" s="131">
        <v>495.7</v>
      </c>
      <c r="AA30" s="12"/>
    </row>
    <row r="31" spans="1:27" x14ac:dyDescent="0.25">
      <c r="A31" s="9" t="s">
        <v>20</v>
      </c>
      <c r="B31" s="129">
        <v>359.4</v>
      </c>
      <c r="C31" s="129">
        <v>202.3</v>
      </c>
      <c r="D31" s="129">
        <v>222.7</v>
      </c>
      <c r="E31" s="118">
        <v>254.5</v>
      </c>
      <c r="F31" s="129">
        <v>203.8</v>
      </c>
      <c r="G31" s="129">
        <v>289.89999999999998</v>
      </c>
      <c r="H31" s="129">
        <v>260.5</v>
      </c>
      <c r="I31" s="129">
        <v>302.7</v>
      </c>
      <c r="J31" s="129">
        <v>375.7</v>
      </c>
      <c r="K31" s="62">
        <v>235.6</v>
      </c>
      <c r="L31" s="129">
        <v>189.3</v>
      </c>
      <c r="M31" s="62">
        <v>293.5</v>
      </c>
      <c r="N31" s="129">
        <v>218.8</v>
      </c>
      <c r="O31" s="129">
        <v>306.3</v>
      </c>
      <c r="P31" s="129">
        <v>310.39999999999998</v>
      </c>
      <c r="Q31" s="129">
        <v>404.9</v>
      </c>
      <c r="R31" s="129">
        <v>570</v>
      </c>
      <c r="S31" s="129">
        <v>341.4</v>
      </c>
      <c r="T31" s="131">
        <v>473.7</v>
      </c>
      <c r="U31" s="131">
        <v>491.1</v>
      </c>
      <c r="V31" s="131">
        <v>359.1</v>
      </c>
      <c r="W31" s="131">
        <v>242.8</v>
      </c>
      <c r="X31" s="131">
        <v>314.39999999999998</v>
      </c>
      <c r="Y31" s="131">
        <v>302.7</v>
      </c>
      <c r="Z31" s="131">
        <v>331.4</v>
      </c>
      <c r="AA31" s="12"/>
    </row>
    <row r="32" spans="1:27" x14ac:dyDescent="0.25">
      <c r="A32" s="9" t="s">
        <v>21</v>
      </c>
      <c r="B32" s="129">
        <v>145.9</v>
      </c>
      <c r="C32" s="129">
        <v>152.69999999999999</v>
      </c>
      <c r="D32" s="129">
        <v>179.1</v>
      </c>
      <c r="E32" s="118">
        <v>178.6</v>
      </c>
      <c r="F32" s="129">
        <v>306.2</v>
      </c>
      <c r="G32" s="129">
        <v>199.8</v>
      </c>
      <c r="H32" s="129">
        <v>271</v>
      </c>
      <c r="I32" s="129">
        <v>396.3</v>
      </c>
      <c r="J32" s="129">
        <v>521.6</v>
      </c>
      <c r="K32" s="62">
        <v>404</v>
      </c>
      <c r="L32" s="129">
        <v>509.5</v>
      </c>
      <c r="M32" s="62">
        <v>463</v>
      </c>
      <c r="N32" s="129">
        <v>506.4</v>
      </c>
      <c r="O32" s="129">
        <v>599.79999999999995</v>
      </c>
      <c r="P32" s="129">
        <v>616.20000000000005</v>
      </c>
      <c r="Q32" s="129">
        <v>757.5</v>
      </c>
      <c r="R32" s="129">
        <v>644</v>
      </c>
      <c r="S32" s="129">
        <v>644.29999999999995</v>
      </c>
      <c r="T32" s="131">
        <v>617.29999999999995</v>
      </c>
      <c r="U32" s="131">
        <v>572.6</v>
      </c>
      <c r="V32" s="131">
        <v>552.20000000000005</v>
      </c>
      <c r="W32" s="131">
        <v>659.7</v>
      </c>
      <c r="X32" s="131">
        <v>724.2</v>
      </c>
      <c r="Y32" s="131">
        <v>668.9</v>
      </c>
      <c r="Z32" s="131">
        <v>681.8</v>
      </c>
      <c r="AA32" s="12"/>
    </row>
    <row r="33" spans="1:27" x14ac:dyDescent="0.25">
      <c r="A33" s="4" t="s">
        <v>22</v>
      </c>
      <c r="B33" s="129"/>
      <c r="C33" s="129"/>
      <c r="D33" s="129"/>
      <c r="E33" s="118"/>
      <c r="F33" s="129"/>
      <c r="G33" s="129"/>
      <c r="H33" s="129"/>
      <c r="I33" s="129"/>
      <c r="J33" s="129"/>
      <c r="K33" s="118"/>
      <c r="L33" s="129"/>
      <c r="M33" s="62"/>
      <c r="N33" s="129"/>
      <c r="O33" s="129"/>
      <c r="P33" s="129"/>
      <c r="Q33" s="129"/>
      <c r="R33" s="129"/>
      <c r="S33" s="129"/>
      <c r="T33" s="131"/>
      <c r="U33" s="131"/>
      <c r="V33" s="131"/>
      <c r="W33" s="131"/>
      <c r="X33" s="131"/>
      <c r="Y33" s="131"/>
      <c r="Z33" s="131"/>
      <c r="AA33" s="12"/>
    </row>
    <row r="34" spans="1:27" ht="19.5" x14ac:dyDescent="0.25">
      <c r="A34" s="14" t="s">
        <v>23</v>
      </c>
      <c r="B34" s="129">
        <v>31.4</v>
      </c>
      <c r="C34" s="129">
        <v>18</v>
      </c>
      <c r="D34" s="129">
        <v>12.3</v>
      </c>
      <c r="E34" s="118">
        <v>20.9</v>
      </c>
      <c r="F34" s="129">
        <v>6</v>
      </c>
      <c r="G34" s="129">
        <v>50.2</v>
      </c>
      <c r="H34" s="129">
        <v>43</v>
      </c>
      <c r="I34" s="129">
        <v>65.2</v>
      </c>
      <c r="J34" s="129">
        <v>121.4</v>
      </c>
      <c r="K34" s="62">
        <v>84.5</v>
      </c>
      <c r="L34" s="129">
        <v>92.5</v>
      </c>
      <c r="M34" s="62">
        <v>40.799999999999997</v>
      </c>
      <c r="N34" s="129">
        <v>51.6</v>
      </c>
      <c r="O34" s="129">
        <v>53.7</v>
      </c>
      <c r="P34" s="129">
        <v>50.2</v>
      </c>
      <c r="Q34" s="129">
        <v>59.5</v>
      </c>
      <c r="R34" s="129">
        <v>30</v>
      </c>
      <c r="S34" s="129">
        <v>57.9</v>
      </c>
      <c r="T34" s="131">
        <v>20.100000000000001</v>
      </c>
      <c r="U34" s="131">
        <v>13</v>
      </c>
      <c r="V34" s="131">
        <v>49.7</v>
      </c>
      <c r="W34" s="131">
        <v>28.2</v>
      </c>
      <c r="X34" s="131">
        <v>46.8</v>
      </c>
      <c r="Y34" s="131">
        <v>23.6</v>
      </c>
      <c r="Z34" s="131">
        <v>34.6</v>
      </c>
      <c r="AA34" s="12"/>
    </row>
    <row r="35" spans="1:27" ht="19.5" x14ac:dyDescent="0.25">
      <c r="A35" s="14" t="s">
        <v>93</v>
      </c>
      <c r="B35" s="129">
        <v>114.5</v>
      </c>
      <c r="C35" s="118">
        <f>C32-C34</f>
        <v>134.69999999999999</v>
      </c>
      <c r="D35" s="129">
        <f>D32-D34</f>
        <v>166.79999999999998</v>
      </c>
      <c r="E35" s="118">
        <v>157.69999999999999</v>
      </c>
      <c r="F35" s="129">
        <v>300.2</v>
      </c>
      <c r="G35" s="129">
        <v>149.6</v>
      </c>
      <c r="H35" s="129">
        <v>228</v>
      </c>
      <c r="I35" s="129">
        <v>331.1</v>
      </c>
      <c r="J35" s="118">
        <v>400.20000000000005</v>
      </c>
      <c r="K35" s="62">
        <v>319.5</v>
      </c>
      <c r="L35" s="129">
        <v>417</v>
      </c>
      <c r="M35" s="62">
        <v>422.2</v>
      </c>
      <c r="N35" s="129">
        <v>454.8</v>
      </c>
      <c r="O35" s="129">
        <v>546.1</v>
      </c>
      <c r="P35" s="129">
        <v>565.9</v>
      </c>
      <c r="Q35" s="129">
        <v>698</v>
      </c>
      <c r="R35" s="129">
        <v>614</v>
      </c>
      <c r="S35" s="129">
        <v>586.4</v>
      </c>
      <c r="T35" s="131">
        <v>597.20000000000005</v>
      </c>
      <c r="U35" s="131">
        <v>559.6</v>
      </c>
      <c r="V35" s="131">
        <v>502.5</v>
      </c>
      <c r="W35" s="131">
        <v>631.4</v>
      </c>
      <c r="X35" s="131">
        <v>677.4</v>
      </c>
      <c r="Y35" s="131">
        <v>645.29999999999995</v>
      </c>
      <c r="Z35" s="131">
        <v>647.20000000000005</v>
      </c>
      <c r="AA35" s="12"/>
    </row>
    <row r="36" spans="1:27" x14ac:dyDescent="0.25">
      <c r="A36" s="9" t="s">
        <v>24</v>
      </c>
      <c r="B36" s="129">
        <v>357.4</v>
      </c>
      <c r="C36" s="129">
        <v>437.2</v>
      </c>
      <c r="D36" s="129">
        <v>356.9</v>
      </c>
      <c r="E36" s="118">
        <v>389.5</v>
      </c>
      <c r="F36" s="129">
        <v>337.6</v>
      </c>
      <c r="G36" s="129">
        <v>466.3</v>
      </c>
      <c r="H36" s="129">
        <v>579.5</v>
      </c>
      <c r="I36" s="129">
        <v>750</v>
      </c>
      <c r="J36" s="129">
        <v>830.8</v>
      </c>
      <c r="K36" s="62">
        <v>683.6</v>
      </c>
      <c r="L36" s="129">
        <v>628.4</v>
      </c>
      <c r="M36" s="62">
        <v>614.1</v>
      </c>
      <c r="N36" s="129">
        <v>565.1</v>
      </c>
      <c r="O36" s="129">
        <v>873.1</v>
      </c>
      <c r="P36" s="129">
        <v>1047.5999999999999</v>
      </c>
      <c r="Q36" s="129">
        <v>1088.4000000000001</v>
      </c>
      <c r="R36" s="129">
        <v>1029.4000000000001</v>
      </c>
      <c r="S36" s="129">
        <v>710.8</v>
      </c>
      <c r="T36" s="131">
        <v>778.7</v>
      </c>
      <c r="U36" s="131">
        <v>906.3</v>
      </c>
      <c r="V36" s="131">
        <v>682.7</v>
      </c>
      <c r="W36" s="131">
        <v>988.1</v>
      </c>
      <c r="X36" s="131">
        <v>962.5</v>
      </c>
      <c r="Y36" s="131">
        <v>1062.7</v>
      </c>
      <c r="Z36" s="131">
        <v>1109.7</v>
      </c>
      <c r="AA36" s="12"/>
    </row>
    <row r="37" spans="1:27" x14ac:dyDescent="0.25">
      <c r="A37" s="9" t="s">
        <v>25</v>
      </c>
      <c r="B37" s="129">
        <v>234.6</v>
      </c>
      <c r="C37" s="129">
        <v>230.2</v>
      </c>
      <c r="D37" s="129">
        <v>271.39999999999998</v>
      </c>
      <c r="E37" s="118">
        <v>351.5</v>
      </c>
      <c r="F37" s="129">
        <v>396.3</v>
      </c>
      <c r="G37" s="129">
        <v>492.2</v>
      </c>
      <c r="H37" s="129">
        <v>696.6</v>
      </c>
      <c r="I37" s="129">
        <v>1011.7</v>
      </c>
      <c r="J37" s="129">
        <v>1064.5999999999999</v>
      </c>
      <c r="K37" s="62">
        <v>840.7</v>
      </c>
      <c r="L37" s="129">
        <v>753.9</v>
      </c>
      <c r="M37" s="62">
        <v>793.7</v>
      </c>
      <c r="N37" s="129">
        <v>857.5</v>
      </c>
      <c r="O37" s="129">
        <v>1038.4000000000001</v>
      </c>
      <c r="P37" s="129">
        <v>1412.1</v>
      </c>
      <c r="Q37" s="129">
        <v>1632.3</v>
      </c>
      <c r="R37" s="129">
        <v>1593.9</v>
      </c>
      <c r="S37" s="129">
        <v>1412</v>
      </c>
      <c r="T37" s="131">
        <v>1841.5</v>
      </c>
      <c r="U37" s="131">
        <v>1785.6</v>
      </c>
      <c r="V37" s="131">
        <v>2057.1999999999998</v>
      </c>
      <c r="W37" s="131">
        <v>1740</v>
      </c>
      <c r="X37" s="131">
        <v>1856.3</v>
      </c>
      <c r="Y37" s="131">
        <v>1765.1</v>
      </c>
      <c r="Z37" s="131">
        <v>1868.5</v>
      </c>
      <c r="AA37" s="12"/>
    </row>
    <row r="38" spans="1:27" x14ac:dyDescent="0.25">
      <c r="A38" s="9" t="s">
        <v>26</v>
      </c>
      <c r="B38" s="129">
        <v>596.5</v>
      </c>
      <c r="C38" s="129">
        <v>582</v>
      </c>
      <c r="D38" s="129">
        <v>741.2</v>
      </c>
      <c r="E38" s="118">
        <v>685.4</v>
      </c>
      <c r="F38" s="129">
        <v>769.7</v>
      </c>
      <c r="G38" s="129">
        <v>851.7</v>
      </c>
      <c r="H38" s="129">
        <v>1298.8</v>
      </c>
      <c r="I38" s="129">
        <v>1807.4</v>
      </c>
      <c r="J38" s="129">
        <v>1419.2</v>
      </c>
      <c r="K38" s="62">
        <v>1500.8</v>
      </c>
      <c r="L38" s="129">
        <v>1449.1</v>
      </c>
      <c r="M38" s="62">
        <v>1672.7</v>
      </c>
      <c r="N38" s="129">
        <v>2190.1999999999998</v>
      </c>
      <c r="O38" s="129">
        <v>2138.3000000000002</v>
      </c>
      <c r="P38" s="129">
        <v>3081.9</v>
      </c>
      <c r="Q38" s="129">
        <v>3467.7</v>
      </c>
      <c r="R38" s="129">
        <v>3374</v>
      </c>
      <c r="S38" s="129">
        <v>4489.1000000000004</v>
      </c>
      <c r="T38" s="131">
        <v>4841.7</v>
      </c>
      <c r="U38" s="131">
        <v>5078.8</v>
      </c>
      <c r="V38" s="131">
        <v>4808.1000000000004</v>
      </c>
      <c r="W38" s="131">
        <v>4659.1000000000004</v>
      </c>
      <c r="X38" s="131">
        <v>5547.8</v>
      </c>
      <c r="Y38" s="131">
        <v>6067.5</v>
      </c>
      <c r="Z38" s="131">
        <v>5589.4</v>
      </c>
      <c r="AA38" s="12"/>
    </row>
    <row r="39" spans="1:27" x14ac:dyDescent="0.25">
      <c r="A39" s="9" t="s">
        <v>27</v>
      </c>
      <c r="B39" s="129">
        <v>122.8</v>
      </c>
      <c r="C39" s="129">
        <v>104.8</v>
      </c>
      <c r="D39" s="129">
        <v>56</v>
      </c>
      <c r="E39" s="118">
        <v>56.9</v>
      </c>
      <c r="F39" s="129">
        <v>49.7</v>
      </c>
      <c r="G39" s="129">
        <v>53.7</v>
      </c>
      <c r="H39" s="129">
        <v>70</v>
      </c>
      <c r="I39" s="129">
        <v>71.2</v>
      </c>
      <c r="J39" s="129">
        <v>90.7</v>
      </c>
      <c r="K39" s="62">
        <v>67.599999999999994</v>
      </c>
      <c r="L39" s="129">
        <v>89.8</v>
      </c>
      <c r="M39" s="62">
        <v>89.5</v>
      </c>
      <c r="N39" s="129">
        <v>66.7</v>
      </c>
      <c r="O39" s="129">
        <v>108.4</v>
      </c>
      <c r="P39" s="129">
        <v>128.9</v>
      </c>
      <c r="Q39" s="129">
        <v>190.1</v>
      </c>
      <c r="R39" s="129">
        <v>148</v>
      </c>
      <c r="S39" s="129">
        <v>787.5</v>
      </c>
      <c r="T39" s="131">
        <v>120.4</v>
      </c>
      <c r="U39" s="131">
        <v>172.3</v>
      </c>
      <c r="V39" s="131">
        <v>88.9</v>
      </c>
      <c r="W39" s="131">
        <v>162.1</v>
      </c>
      <c r="X39" s="131">
        <v>357.9</v>
      </c>
      <c r="Y39" s="131">
        <v>92.5</v>
      </c>
      <c r="Z39" s="131">
        <v>118</v>
      </c>
      <c r="AA39" s="12"/>
    </row>
    <row r="40" spans="1:27" x14ac:dyDescent="0.25">
      <c r="A40" s="9" t="s">
        <v>28</v>
      </c>
      <c r="B40" s="129">
        <v>151.19999999999999</v>
      </c>
      <c r="C40" s="129">
        <v>142.6</v>
      </c>
      <c r="D40" s="129">
        <v>132.5</v>
      </c>
      <c r="E40" s="118">
        <v>144.9</v>
      </c>
      <c r="F40" s="129">
        <v>233.6</v>
      </c>
      <c r="G40" s="129">
        <v>157.6</v>
      </c>
      <c r="H40" s="129">
        <v>270.10000000000002</v>
      </c>
      <c r="I40" s="129">
        <v>296.5</v>
      </c>
      <c r="J40" s="129">
        <v>342.7</v>
      </c>
      <c r="K40" s="62">
        <v>422.5</v>
      </c>
      <c r="L40" s="129">
        <v>356.3</v>
      </c>
      <c r="M40" s="62">
        <v>438.7</v>
      </c>
      <c r="N40" s="129">
        <v>410.8</v>
      </c>
      <c r="O40" s="129">
        <v>460.4</v>
      </c>
      <c r="P40" s="129">
        <v>457.5</v>
      </c>
      <c r="Q40" s="129">
        <v>516.1</v>
      </c>
      <c r="R40" s="129">
        <v>502.8</v>
      </c>
      <c r="S40" s="129">
        <v>334.1</v>
      </c>
      <c r="T40" s="131">
        <v>406.6</v>
      </c>
      <c r="U40" s="131">
        <v>415.2</v>
      </c>
      <c r="V40" s="131">
        <v>412.4</v>
      </c>
      <c r="W40" s="131">
        <v>417.8</v>
      </c>
      <c r="X40" s="131">
        <v>437.6</v>
      </c>
      <c r="Y40" s="131">
        <v>520.6</v>
      </c>
      <c r="Z40" s="131">
        <v>531.79999999999995</v>
      </c>
      <c r="AA40" s="12"/>
    </row>
    <row r="41" spans="1:27" x14ac:dyDescent="0.25">
      <c r="A41" s="9" t="s">
        <v>29</v>
      </c>
      <c r="B41" s="129">
        <v>101.7</v>
      </c>
      <c r="C41" s="129">
        <v>111.4</v>
      </c>
      <c r="D41" s="129">
        <v>121.9</v>
      </c>
      <c r="E41" s="118">
        <v>150.30000000000001</v>
      </c>
      <c r="F41" s="129">
        <v>181.4</v>
      </c>
      <c r="G41" s="129">
        <v>138.6</v>
      </c>
      <c r="H41" s="129">
        <v>157.30000000000001</v>
      </c>
      <c r="I41" s="129">
        <v>175</v>
      </c>
      <c r="J41" s="129">
        <v>227.3</v>
      </c>
      <c r="K41" s="62">
        <v>314.8</v>
      </c>
      <c r="L41" s="129">
        <v>232</v>
      </c>
      <c r="M41" s="62">
        <v>313.89999999999998</v>
      </c>
      <c r="N41" s="129">
        <v>409.9</v>
      </c>
      <c r="O41" s="129">
        <v>328.2</v>
      </c>
      <c r="P41" s="129">
        <v>850.5</v>
      </c>
      <c r="Q41" s="129">
        <v>892.2</v>
      </c>
      <c r="R41" s="129">
        <v>649.79999999999995</v>
      </c>
      <c r="S41" s="129">
        <v>1677.6</v>
      </c>
      <c r="T41" s="131">
        <v>564.4</v>
      </c>
      <c r="U41" s="131">
        <v>829</v>
      </c>
      <c r="V41" s="131">
        <v>842.6</v>
      </c>
      <c r="W41" s="131">
        <v>599.20000000000005</v>
      </c>
      <c r="X41" s="131">
        <v>467.5</v>
      </c>
      <c r="Y41" s="131">
        <v>596.70000000000005</v>
      </c>
      <c r="Z41" s="131">
        <v>616.29999999999995</v>
      </c>
      <c r="AA41" s="12"/>
    </row>
    <row r="42" spans="1:27" x14ac:dyDescent="0.25">
      <c r="A42" s="9" t="s">
        <v>30</v>
      </c>
      <c r="B42" s="129">
        <v>1726.7</v>
      </c>
      <c r="C42" s="129">
        <v>1909.2</v>
      </c>
      <c r="D42" s="129">
        <v>1906.3</v>
      </c>
      <c r="E42" s="118">
        <v>2845.9</v>
      </c>
      <c r="F42" s="129">
        <v>3252.3</v>
      </c>
      <c r="G42" s="129">
        <v>3700.2</v>
      </c>
      <c r="H42" s="129">
        <v>4073.5</v>
      </c>
      <c r="I42" s="129">
        <v>5019.2</v>
      </c>
      <c r="J42" s="129">
        <v>6316</v>
      </c>
      <c r="K42" s="62">
        <v>4720.5</v>
      </c>
      <c r="L42" s="129">
        <v>5552.6</v>
      </c>
      <c r="M42" s="62">
        <v>5129.8</v>
      </c>
      <c r="N42" s="129">
        <v>4794</v>
      </c>
      <c r="O42" s="129">
        <v>5114.3999999999996</v>
      </c>
      <c r="P42" s="129">
        <v>6380.2</v>
      </c>
      <c r="Q42" s="129">
        <v>5411.6</v>
      </c>
      <c r="R42" s="129">
        <v>5794.8</v>
      </c>
      <c r="S42" s="129">
        <v>5182.3</v>
      </c>
      <c r="T42" s="131">
        <v>5963.4</v>
      </c>
      <c r="U42" s="131">
        <v>5776.7</v>
      </c>
      <c r="V42" s="131">
        <v>5484.9</v>
      </c>
      <c r="W42" s="131">
        <v>6741.7</v>
      </c>
      <c r="X42" s="131">
        <v>7691.4</v>
      </c>
      <c r="Y42" s="131">
        <v>7775</v>
      </c>
      <c r="Z42" s="131">
        <v>6932.6</v>
      </c>
      <c r="AA42" s="12"/>
    </row>
    <row r="43" spans="1:27" ht="18" x14ac:dyDescent="0.25">
      <c r="A43" s="8" t="s">
        <v>260</v>
      </c>
      <c r="B43" s="123">
        <v>4421</v>
      </c>
      <c r="C43" s="123">
        <v>4493.3999999999996</v>
      </c>
      <c r="D43" s="123">
        <v>4757.3</v>
      </c>
      <c r="E43" s="120">
        <v>4989.2999999999984</v>
      </c>
      <c r="F43" s="123">
        <v>5772.4000000000005</v>
      </c>
      <c r="G43" s="123">
        <v>5981.2</v>
      </c>
      <c r="H43" s="123">
        <v>7698.1</v>
      </c>
      <c r="I43" s="123">
        <v>9847.7000000000007</v>
      </c>
      <c r="J43" s="120">
        <v>10563.2</v>
      </c>
      <c r="K43" s="61">
        <v>10013.700000000001</v>
      </c>
      <c r="L43" s="123">
        <v>9481.7999999999993</v>
      </c>
      <c r="M43" s="61">
        <v>10781</v>
      </c>
      <c r="N43" s="123">
        <v>11658.4</v>
      </c>
      <c r="O43" s="123">
        <v>11261.2</v>
      </c>
      <c r="P43" s="123">
        <v>13813.9</v>
      </c>
      <c r="Q43" s="123">
        <v>13300.3</v>
      </c>
      <c r="R43" s="123">
        <v>13246.9</v>
      </c>
      <c r="S43" s="123">
        <v>13729.5</v>
      </c>
      <c r="T43" s="130">
        <v>14688.8</v>
      </c>
      <c r="U43" s="130">
        <v>17262.099999999999</v>
      </c>
      <c r="V43" s="130">
        <v>16505.3</v>
      </c>
      <c r="W43" s="130">
        <v>17411.5</v>
      </c>
      <c r="X43" s="130">
        <v>19664</v>
      </c>
      <c r="Y43" s="130">
        <v>21772.6</v>
      </c>
      <c r="Z43" s="130">
        <v>20180.7</v>
      </c>
      <c r="AA43" s="12"/>
    </row>
    <row r="44" spans="1:27" x14ac:dyDescent="0.25">
      <c r="A44" s="9" t="s">
        <v>31</v>
      </c>
      <c r="B44" s="129">
        <v>85.3</v>
      </c>
      <c r="C44" s="129">
        <v>102</v>
      </c>
      <c r="D44" s="129">
        <v>125.1</v>
      </c>
      <c r="E44" s="118">
        <v>82.4</v>
      </c>
      <c r="F44" s="129">
        <v>42.5</v>
      </c>
      <c r="G44" s="129">
        <v>92.8</v>
      </c>
      <c r="H44" s="129">
        <v>50.4</v>
      </c>
      <c r="I44" s="129">
        <v>75.5</v>
      </c>
      <c r="J44" s="129">
        <v>97.8</v>
      </c>
      <c r="K44" s="62">
        <v>232.1</v>
      </c>
      <c r="L44" s="129">
        <v>207.4</v>
      </c>
      <c r="M44" s="62">
        <v>234.6</v>
      </c>
      <c r="N44" s="129">
        <v>306.3</v>
      </c>
      <c r="O44" s="129">
        <v>218.7</v>
      </c>
      <c r="P44" s="129">
        <v>472.5</v>
      </c>
      <c r="Q44" s="129">
        <v>506.8</v>
      </c>
      <c r="R44" s="129">
        <v>422.2</v>
      </c>
      <c r="S44" s="129">
        <v>450.2</v>
      </c>
      <c r="T44" s="131">
        <v>306.60000000000002</v>
      </c>
      <c r="U44" s="131">
        <v>414</v>
      </c>
      <c r="V44" s="131">
        <v>382.5</v>
      </c>
      <c r="W44" s="131">
        <v>407.2</v>
      </c>
      <c r="X44" s="131">
        <v>640</v>
      </c>
      <c r="Y44" s="131">
        <v>755.4</v>
      </c>
      <c r="Z44" s="131">
        <v>748</v>
      </c>
      <c r="AA44" s="12"/>
    </row>
    <row r="45" spans="1:27" x14ac:dyDescent="0.25">
      <c r="A45" s="9" t="s">
        <v>32</v>
      </c>
      <c r="B45" s="129">
        <v>38.5</v>
      </c>
      <c r="C45" s="129">
        <v>90.6</v>
      </c>
      <c r="D45" s="129">
        <v>71</v>
      </c>
      <c r="E45" s="118">
        <v>62</v>
      </c>
      <c r="F45" s="129">
        <v>70.5</v>
      </c>
      <c r="G45" s="129">
        <v>62.2</v>
      </c>
      <c r="H45" s="129">
        <v>77</v>
      </c>
      <c r="I45" s="129">
        <v>114.3</v>
      </c>
      <c r="J45" s="129">
        <v>97.6</v>
      </c>
      <c r="K45" s="62">
        <v>96.8</v>
      </c>
      <c r="L45" s="129">
        <v>128.4</v>
      </c>
      <c r="M45" s="62">
        <v>129.5</v>
      </c>
      <c r="N45" s="129">
        <v>115.7</v>
      </c>
      <c r="O45" s="129">
        <v>162.19999999999999</v>
      </c>
      <c r="P45" s="129">
        <v>165.5</v>
      </c>
      <c r="Q45" s="129">
        <v>178</v>
      </c>
      <c r="R45" s="129">
        <v>89.2</v>
      </c>
      <c r="S45" s="129">
        <v>154.19999999999999</v>
      </c>
      <c r="T45" s="131">
        <v>128.5</v>
      </c>
      <c r="U45" s="131">
        <v>161.5</v>
      </c>
      <c r="V45" s="131">
        <v>134.1</v>
      </c>
      <c r="W45" s="131">
        <v>200.3</v>
      </c>
      <c r="X45" s="131">
        <v>172.2</v>
      </c>
      <c r="Y45" s="131">
        <v>189.9</v>
      </c>
      <c r="Z45" s="131">
        <v>177.4</v>
      </c>
      <c r="AA45" s="12"/>
    </row>
    <row r="46" spans="1:27" x14ac:dyDescent="0.25">
      <c r="A46" s="9" t="s">
        <v>33</v>
      </c>
      <c r="B46" s="129"/>
      <c r="C46" s="129"/>
      <c r="D46" s="129"/>
      <c r="E46" s="118"/>
      <c r="F46" s="91"/>
      <c r="G46" s="129"/>
      <c r="H46" s="129"/>
      <c r="I46" s="129"/>
      <c r="J46" s="129"/>
      <c r="K46" s="62"/>
      <c r="L46" s="129"/>
      <c r="M46" s="62"/>
      <c r="N46" s="129"/>
      <c r="O46" s="129"/>
      <c r="P46" s="129">
        <v>890.5</v>
      </c>
      <c r="Q46" s="129">
        <v>321.39999999999998</v>
      </c>
      <c r="R46" s="129">
        <v>376</v>
      </c>
      <c r="S46" s="129">
        <v>1008</v>
      </c>
      <c r="T46" s="131">
        <v>1251.9000000000001</v>
      </c>
      <c r="U46" s="131">
        <v>1324.9</v>
      </c>
      <c r="V46" s="131">
        <v>1166.8</v>
      </c>
      <c r="W46" s="131">
        <v>1136.5999999999999</v>
      </c>
      <c r="X46" s="131">
        <v>1276.5999999999999</v>
      </c>
      <c r="Y46" s="131">
        <v>1800.1</v>
      </c>
      <c r="Z46" s="131">
        <v>1795.4</v>
      </c>
      <c r="AA46" s="12"/>
    </row>
    <row r="47" spans="1:27" x14ac:dyDescent="0.25">
      <c r="A47" s="9" t="s">
        <v>34</v>
      </c>
      <c r="B47" s="129">
        <v>1813</v>
      </c>
      <c r="C47" s="129">
        <v>1834.5</v>
      </c>
      <c r="D47" s="129">
        <v>2078.6</v>
      </c>
      <c r="E47" s="118">
        <v>2067.4</v>
      </c>
      <c r="F47" s="129">
        <v>2408.9</v>
      </c>
      <c r="G47" s="129">
        <v>2638.2</v>
      </c>
      <c r="H47" s="129">
        <v>3791</v>
      </c>
      <c r="I47" s="129">
        <v>4682.8999999999996</v>
      </c>
      <c r="J47" s="129">
        <v>5308.8</v>
      </c>
      <c r="K47" s="62">
        <v>4631.2</v>
      </c>
      <c r="L47" s="129">
        <v>4690.7</v>
      </c>
      <c r="M47" s="62">
        <v>5789.9</v>
      </c>
      <c r="N47" s="129">
        <v>6192.4</v>
      </c>
      <c r="O47" s="129">
        <v>5519.6</v>
      </c>
      <c r="P47" s="129">
        <v>6144.9</v>
      </c>
      <c r="Q47" s="129">
        <v>5876.9</v>
      </c>
      <c r="R47" s="129">
        <v>6223.9</v>
      </c>
      <c r="S47" s="129">
        <v>6173.9</v>
      </c>
      <c r="T47" s="131">
        <v>6721</v>
      </c>
      <c r="U47" s="131">
        <v>8355.9</v>
      </c>
      <c r="V47" s="131">
        <v>7947</v>
      </c>
      <c r="W47" s="131">
        <v>9001.2999999999993</v>
      </c>
      <c r="X47" s="131">
        <v>10850.9</v>
      </c>
      <c r="Y47" s="131">
        <v>11595</v>
      </c>
      <c r="Z47" s="131">
        <v>10357.799999999999</v>
      </c>
      <c r="AA47" s="12"/>
    </row>
    <row r="48" spans="1:27" x14ac:dyDescent="0.25">
      <c r="A48" s="9" t="s">
        <v>35</v>
      </c>
      <c r="B48" s="129">
        <v>572</v>
      </c>
      <c r="C48" s="129">
        <v>612.29999999999995</v>
      </c>
      <c r="D48" s="129">
        <v>648.20000000000005</v>
      </c>
      <c r="E48" s="118">
        <v>723.2</v>
      </c>
      <c r="F48" s="129">
        <v>715.7</v>
      </c>
      <c r="G48" s="129">
        <v>800.1</v>
      </c>
      <c r="H48" s="129">
        <v>796.4</v>
      </c>
      <c r="I48" s="129">
        <v>891.6</v>
      </c>
      <c r="J48" s="129">
        <v>504.4</v>
      </c>
      <c r="K48" s="62">
        <v>676.6</v>
      </c>
      <c r="L48" s="129">
        <v>765.6</v>
      </c>
      <c r="M48" s="62">
        <v>817.9</v>
      </c>
      <c r="N48" s="129">
        <v>671.4</v>
      </c>
      <c r="O48" s="129">
        <v>815.7</v>
      </c>
      <c r="P48" s="129">
        <v>800.5</v>
      </c>
      <c r="Q48" s="129">
        <v>776.4</v>
      </c>
      <c r="R48" s="129">
        <v>810.8</v>
      </c>
      <c r="S48" s="129">
        <v>738.7</v>
      </c>
      <c r="T48" s="131">
        <v>474.8</v>
      </c>
      <c r="U48" s="131">
        <v>491.3</v>
      </c>
      <c r="V48" s="131">
        <v>497</v>
      </c>
      <c r="W48" s="131">
        <v>675.8</v>
      </c>
      <c r="X48" s="131">
        <v>705</v>
      </c>
      <c r="Y48" s="131">
        <v>870.6</v>
      </c>
      <c r="Z48" s="131">
        <v>748.1</v>
      </c>
      <c r="AA48" s="12"/>
    </row>
    <row r="49" spans="1:27" x14ac:dyDescent="0.25">
      <c r="A49" s="9" t="s">
        <v>36</v>
      </c>
      <c r="B49" s="129">
        <v>557.5</v>
      </c>
      <c r="C49" s="129">
        <v>515.5</v>
      </c>
      <c r="D49" s="129">
        <v>533.20000000000005</v>
      </c>
      <c r="E49" s="118">
        <v>491.8</v>
      </c>
      <c r="F49" s="129">
        <v>597.1</v>
      </c>
      <c r="G49" s="129">
        <v>600.20000000000005</v>
      </c>
      <c r="H49" s="129">
        <v>797</v>
      </c>
      <c r="I49" s="129">
        <v>1010.9</v>
      </c>
      <c r="J49" s="129">
        <v>1263.8</v>
      </c>
      <c r="K49" s="62">
        <v>1128.8</v>
      </c>
      <c r="L49" s="129">
        <v>1058.7</v>
      </c>
      <c r="M49" s="62">
        <v>1025.0999999999999</v>
      </c>
      <c r="N49" s="129">
        <v>1392.1</v>
      </c>
      <c r="O49" s="129">
        <v>1387.8</v>
      </c>
      <c r="P49" s="129">
        <v>1660.5</v>
      </c>
      <c r="Q49" s="129">
        <v>1591.4</v>
      </c>
      <c r="R49" s="129">
        <v>1313.7</v>
      </c>
      <c r="S49" s="129">
        <v>1287.7</v>
      </c>
      <c r="T49" s="131">
        <v>1416.9</v>
      </c>
      <c r="U49" s="131">
        <v>1681.6</v>
      </c>
      <c r="V49" s="131">
        <v>1402.6</v>
      </c>
      <c r="W49" s="131">
        <v>1363.9</v>
      </c>
      <c r="X49" s="131">
        <v>1290</v>
      </c>
      <c r="Y49" s="131">
        <v>1582.3</v>
      </c>
      <c r="Z49" s="131">
        <v>1646</v>
      </c>
      <c r="AA49" s="12"/>
    </row>
    <row r="50" spans="1:27" x14ac:dyDescent="0.25">
      <c r="A50" s="9" t="s">
        <v>37</v>
      </c>
      <c r="B50" s="129">
        <v>1354.7</v>
      </c>
      <c r="C50" s="129">
        <v>1338.5</v>
      </c>
      <c r="D50" s="129">
        <v>1301.2</v>
      </c>
      <c r="E50" s="118">
        <v>1562.5</v>
      </c>
      <c r="F50" s="129">
        <v>1937.7</v>
      </c>
      <c r="G50" s="129">
        <v>1787.7</v>
      </c>
      <c r="H50" s="129">
        <v>2186.3000000000002</v>
      </c>
      <c r="I50" s="129">
        <v>3072.5</v>
      </c>
      <c r="J50" s="129">
        <v>3290.8</v>
      </c>
      <c r="K50" s="62">
        <v>3248.2</v>
      </c>
      <c r="L50" s="129">
        <v>2631</v>
      </c>
      <c r="M50" s="62">
        <v>2783.9</v>
      </c>
      <c r="N50" s="129">
        <v>2980.4</v>
      </c>
      <c r="O50" s="129">
        <v>3157.2</v>
      </c>
      <c r="P50" s="129">
        <v>3327.2</v>
      </c>
      <c r="Q50" s="129">
        <v>3900.3</v>
      </c>
      <c r="R50" s="129">
        <v>3700.9</v>
      </c>
      <c r="S50" s="129">
        <v>3647.3</v>
      </c>
      <c r="T50" s="131">
        <v>4014.7</v>
      </c>
      <c r="U50" s="131">
        <v>4043.6</v>
      </c>
      <c r="V50" s="131">
        <v>4108.6000000000004</v>
      </c>
      <c r="W50" s="131">
        <v>3999</v>
      </c>
      <c r="X50" s="131">
        <v>4004.8</v>
      </c>
      <c r="Y50" s="131">
        <v>4306.8999999999996</v>
      </c>
      <c r="Z50" s="131">
        <v>4195.8999999999996</v>
      </c>
      <c r="AA50" s="12"/>
    </row>
    <row r="51" spans="1:27" x14ac:dyDescent="0.25">
      <c r="A51" s="9" t="s">
        <v>38</v>
      </c>
      <c r="B51" s="129"/>
      <c r="C51" s="129"/>
      <c r="D51" s="129"/>
      <c r="E51" s="118"/>
      <c r="F51" s="129"/>
      <c r="G51" s="129"/>
      <c r="H51" s="118"/>
      <c r="I51" s="129"/>
      <c r="J51" s="129"/>
      <c r="K51" s="62"/>
      <c r="L51" s="129"/>
      <c r="M51" s="62"/>
      <c r="N51" s="129"/>
      <c r="O51" s="129"/>
      <c r="P51" s="129">
        <v>352.3</v>
      </c>
      <c r="Q51" s="129">
        <v>149.1</v>
      </c>
      <c r="R51" s="129">
        <v>310.3</v>
      </c>
      <c r="S51" s="129">
        <v>269.60000000000002</v>
      </c>
      <c r="T51" s="131">
        <v>374.4</v>
      </c>
      <c r="U51" s="131">
        <v>789.3</v>
      </c>
      <c r="V51" s="131">
        <v>866.7</v>
      </c>
      <c r="W51" s="131">
        <v>627.29999999999995</v>
      </c>
      <c r="X51" s="131">
        <v>724.6</v>
      </c>
      <c r="Y51" s="131">
        <v>672.3</v>
      </c>
      <c r="Z51" s="131">
        <v>512.1</v>
      </c>
      <c r="AA51" s="12"/>
    </row>
    <row r="52" spans="1:27" ht="18" x14ac:dyDescent="0.25">
      <c r="A52" s="8" t="s">
        <v>140</v>
      </c>
      <c r="B52" s="123">
        <v>2164.4</v>
      </c>
      <c r="C52" s="123">
        <v>2161.9</v>
      </c>
      <c r="D52" s="123">
        <v>2094.6999999999998</v>
      </c>
      <c r="E52" s="120">
        <v>2172.7999999999997</v>
      </c>
      <c r="F52" s="123">
        <v>2316.9</v>
      </c>
      <c r="G52" s="123">
        <v>3632</v>
      </c>
      <c r="H52" s="123">
        <v>2942.9</v>
      </c>
      <c r="I52" s="120">
        <v>3829.2</v>
      </c>
      <c r="J52" s="123">
        <v>3945.1</v>
      </c>
      <c r="K52" s="31">
        <v>4281.8</v>
      </c>
      <c r="L52" s="123">
        <v>4688.7</v>
      </c>
      <c r="M52" s="61">
        <v>4787.2</v>
      </c>
      <c r="N52" s="123">
        <v>6089.6</v>
      </c>
      <c r="O52" s="123">
        <v>5777.2</v>
      </c>
      <c r="P52" s="123">
        <v>7325.1</v>
      </c>
      <c r="Q52" s="123">
        <v>9992.2999999999993</v>
      </c>
      <c r="R52" s="123">
        <v>8493.4</v>
      </c>
      <c r="S52" s="123">
        <v>8309.4</v>
      </c>
      <c r="T52" s="130">
        <v>5768.9</v>
      </c>
      <c r="U52" s="130">
        <v>6770.4</v>
      </c>
      <c r="V52" s="130">
        <v>6697.1</v>
      </c>
      <c r="W52" s="130">
        <v>6856.2</v>
      </c>
      <c r="X52" s="130">
        <v>8274.6</v>
      </c>
      <c r="Y52" s="130">
        <v>10826.1</v>
      </c>
      <c r="Z52" s="130">
        <v>12372.7</v>
      </c>
      <c r="AA52" s="12"/>
    </row>
    <row r="53" spans="1:27" x14ac:dyDescent="0.25">
      <c r="A53" s="9" t="s">
        <v>39</v>
      </c>
      <c r="B53" s="129">
        <v>746.9</v>
      </c>
      <c r="C53" s="129">
        <v>708</v>
      </c>
      <c r="D53" s="129">
        <v>624.4</v>
      </c>
      <c r="E53" s="118">
        <v>658.1</v>
      </c>
      <c r="F53" s="129">
        <v>664.7</v>
      </c>
      <c r="G53" s="129">
        <v>768.4</v>
      </c>
      <c r="H53" s="129">
        <v>883.5</v>
      </c>
      <c r="I53" s="129">
        <v>1000.9</v>
      </c>
      <c r="J53" s="129">
        <v>1117.2</v>
      </c>
      <c r="K53" s="62">
        <v>1350.5</v>
      </c>
      <c r="L53" s="129">
        <v>1264.0999999999999</v>
      </c>
      <c r="M53" s="62">
        <v>1315</v>
      </c>
      <c r="N53" s="129">
        <v>1871.3</v>
      </c>
      <c r="O53" s="129">
        <v>1727</v>
      </c>
      <c r="P53" s="129">
        <v>2093.5</v>
      </c>
      <c r="Q53" s="129">
        <v>4651.3999999999996</v>
      </c>
      <c r="R53" s="129">
        <v>2536.6999999999998</v>
      </c>
      <c r="S53" s="129">
        <v>2532.6</v>
      </c>
      <c r="T53" s="131">
        <v>1249.8</v>
      </c>
      <c r="U53" s="131">
        <v>1272.0999999999999</v>
      </c>
      <c r="V53" s="131">
        <v>1666.1</v>
      </c>
      <c r="W53" s="131">
        <v>1410.8</v>
      </c>
      <c r="X53" s="131">
        <v>1283.9000000000001</v>
      </c>
      <c r="Y53" s="131">
        <v>2074</v>
      </c>
      <c r="Z53" s="131">
        <v>3604.3</v>
      </c>
      <c r="AA53" s="12"/>
    </row>
    <row r="54" spans="1:27" x14ac:dyDescent="0.25">
      <c r="A54" s="9" t="s">
        <v>40</v>
      </c>
      <c r="B54" s="129">
        <v>25.1</v>
      </c>
      <c r="C54" s="129">
        <v>60.4</v>
      </c>
      <c r="D54" s="129">
        <v>32.4</v>
      </c>
      <c r="E54" s="118">
        <v>19.8</v>
      </c>
      <c r="F54" s="129">
        <v>17.8</v>
      </c>
      <c r="G54" s="129">
        <v>36.6</v>
      </c>
      <c r="H54" s="129">
        <v>24.5</v>
      </c>
      <c r="I54" s="129">
        <v>249.6</v>
      </c>
      <c r="J54" s="129">
        <v>84.5</v>
      </c>
      <c r="K54" s="62">
        <v>66.3</v>
      </c>
      <c r="L54" s="129">
        <v>195.9</v>
      </c>
      <c r="M54" s="62">
        <v>102.2</v>
      </c>
      <c r="N54" s="129">
        <v>129.6</v>
      </c>
      <c r="O54" s="129">
        <v>304</v>
      </c>
      <c r="P54" s="129">
        <v>438.9</v>
      </c>
      <c r="Q54" s="129">
        <v>409.9</v>
      </c>
      <c r="R54" s="129">
        <v>418.5</v>
      </c>
      <c r="S54" s="129">
        <v>512.5</v>
      </c>
      <c r="T54" s="131">
        <v>374.3</v>
      </c>
      <c r="U54" s="131">
        <v>353.7</v>
      </c>
      <c r="V54" s="131">
        <v>341.3</v>
      </c>
      <c r="W54" s="131">
        <v>188.7</v>
      </c>
      <c r="X54" s="131">
        <v>357.4</v>
      </c>
      <c r="Y54" s="131">
        <v>476.2</v>
      </c>
      <c r="Z54" s="131">
        <v>319</v>
      </c>
      <c r="AA54" s="12"/>
    </row>
    <row r="55" spans="1:27" ht="19.5" x14ac:dyDescent="0.25">
      <c r="A55" s="9" t="s">
        <v>41</v>
      </c>
      <c r="B55" s="129">
        <v>310.39999999999998</v>
      </c>
      <c r="C55" s="129">
        <v>280.60000000000002</v>
      </c>
      <c r="D55" s="129">
        <v>300.2</v>
      </c>
      <c r="E55" s="118">
        <v>290.39999999999998</v>
      </c>
      <c r="F55" s="129">
        <v>287.10000000000002</v>
      </c>
      <c r="G55" s="129">
        <v>1409</v>
      </c>
      <c r="H55" s="129">
        <v>281.2</v>
      </c>
      <c r="I55" s="129">
        <v>297.5</v>
      </c>
      <c r="J55" s="129">
        <v>374.2</v>
      </c>
      <c r="K55" s="62">
        <v>327.60000000000002</v>
      </c>
      <c r="L55" s="129">
        <v>433.4</v>
      </c>
      <c r="M55" s="62">
        <v>338.7</v>
      </c>
      <c r="N55" s="129">
        <v>321.7</v>
      </c>
      <c r="O55" s="129">
        <v>345.1</v>
      </c>
      <c r="P55" s="129">
        <v>401.1</v>
      </c>
      <c r="Q55" s="129">
        <v>445.7</v>
      </c>
      <c r="R55" s="129">
        <v>528.1</v>
      </c>
      <c r="S55" s="129">
        <v>561.29999999999995</v>
      </c>
      <c r="T55" s="131">
        <v>533.5</v>
      </c>
      <c r="U55" s="131">
        <v>612.29999999999995</v>
      </c>
      <c r="V55" s="131">
        <v>610.20000000000005</v>
      </c>
      <c r="W55" s="131">
        <v>622.6</v>
      </c>
      <c r="X55" s="131">
        <v>668</v>
      </c>
      <c r="Y55" s="131">
        <v>794.8</v>
      </c>
      <c r="Z55" s="131">
        <v>840.2</v>
      </c>
      <c r="AA55" s="12"/>
    </row>
    <row r="56" spans="1:27" ht="19.5" x14ac:dyDescent="0.25">
      <c r="A56" s="9" t="s">
        <v>42</v>
      </c>
      <c r="B56" s="129">
        <v>62.7</v>
      </c>
      <c r="C56" s="129">
        <v>111.2</v>
      </c>
      <c r="D56" s="129">
        <v>87.8</v>
      </c>
      <c r="E56" s="118">
        <v>93.6</v>
      </c>
      <c r="F56" s="129">
        <v>81.8</v>
      </c>
      <c r="G56" s="129">
        <v>90.3</v>
      </c>
      <c r="H56" s="129">
        <v>125.9</v>
      </c>
      <c r="I56" s="129">
        <v>142.6</v>
      </c>
      <c r="J56" s="129">
        <v>196.4</v>
      </c>
      <c r="K56" s="62">
        <v>129.1</v>
      </c>
      <c r="L56" s="129">
        <v>131.19999999999999</v>
      </c>
      <c r="M56" s="62">
        <v>139.80000000000001</v>
      </c>
      <c r="N56" s="129">
        <v>180.3</v>
      </c>
      <c r="O56" s="129">
        <v>199.3</v>
      </c>
      <c r="P56" s="129">
        <v>244.1</v>
      </c>
      <c r="Q56" s="129">
        <v>347</v>
      </c>
      <c r="R56" s="129">
        <v>273.60000000000002</v>
      </c>
      <c r="S56" s="129">
        <v>291.7</v>
      </c>
      <c r="T56" s="131">
        <v>291.10000000000002</v>
      </c>
      <c r="U56" s="131">
        <v>426.7</v>
      </c>
      <c r="V56" s="131">
        <v>270.2</v>
      </c>
      <c r="W56" s="131">
        <v>363.7</v>
      </c>
      <c r="X56" s="131">
        <v>431.6</v>
      </c>
      <c r="Y56" s="131">
        <v>579</v>
      </c>
      <c r="Z56" s="131">
        <v>542</v>
      </c>
      <c r="AA56" s="12"/>
    </row>
    <row r="57" spans="1:27" ht="19.5" x14ac:dyDescent="0.25">
      <c r="A57" s="9" t="s">
        <v>94</v>
      </c>
      <c r="B57" s="129">
        <v>186</v>
      </c>
      <c r="C57" s="129">
        <v>199.4</v>
      </c>
      <c r="D57" s="129">
        <v>249</v>
      </c>
      <c r="E57" s="118">
        <v>176.6</v>
      </c>
      <c r="F57" s="129">
        <v>174.3</v>
      </c>
      <c r="G57" s="129">
        <v>218.7</v>
      </c>
      <c r="H57" s="129">
        <v>224.6</v>
      </c>
      <c r="I57" s="129">
        <v>249.8</v>
      </c>
      <c r="J57" s="129">
        <v>261.60000000000002</v>
      </c>
      <c r="K57" s="62">
        <v>308.8</v>
      </c>
      <c r="L57" s="129">
        <v>354.2</v>
      </c>
      <c r="M57" s="62">
        <v>280.2</v>
      </c>
      <c r="N57" s="129">
        <v>282.10000000000002</v>
      </c>
      <c r="O57" s="129">
        <v>308</v>
      </c>
      <c r="P57" s="129">
        <v>300.3</v>
      </c>
      <c r="Q57" s="129">
        <v>302.89999999999998</v>
      </c>
      <c r="R57" s="129">
        <v>318</v>
      </c>
      <c r="S57" s="129">
        <v>366.3</v>
      </c>
      <c r="T57" s="131">
        <v>366.7</v>
      </c>
      <c r="U57" s="131">
        <v>405.3</v>
      </c>
      <c r="V57" s="131">
        <v>433.5</v>
      </c>
      <c r="W57" s="131">
        <v>457.7</v>
      </c>
      <c r="X57" s="131">
        <v>498.6</v>
      </c>
      <c r="Y57" s="131">
        <v>746.1</v>
      </c>
      <c r="Z57" s="131">
        <v>732</v>
      </c>
      <c r="AA57" s="12"/>
    </row>
    <row r="58" spans="1:27" x14ac:dyDescent="0.25">
      <c r="A58" s="9" t="s">
        <v>44</v>
      </c>
      <c r="B58" s="129" t="s">
        <v>96</v>
      </c>
      <c r="C58" s="129" t="s">
        <v>96</v>
      </c>
      <c r="D58" s="129" t="s">
        <v>96</v>
      </c>
      <c r="E58" s="118" t="s">
        <v>96</v>
      </c>
      <c r="F58" s="129" t="s">
        <v>96</v>
      </c>
      <c r="G58" s="129">
        <v>47.9</v>
      </c>
      <c r="H58" s="129">
        <v>111.8</v>
      </c>
      <c r="I58" s="129">
        <v>149</v>
      </c>
      <c r="J58" s="129">
        <v>125.7</v>
      </c>
      <c r="K58" s="62">
        <v>286.89999999999998</v>
      </c>
      <c r="L58" s="129">
        <v>392.6</v>
      </c>
      <c r="M58" s="62">
        <v>545.6</v>
      </c>
      <c r="N58" s="129">
        <v>986.5</v>
      </c>
      <c r="O58" s="129">
        <v>700.4</v>
      </c>
      <c r="P58" s="129">
        <v>1455.4</v>
      </c>
      <c r="Q58" s="129">
        <v>1433.5</v>
      </c>
      <c r="R58" s="129">
        <v>1314.8</v>
      </c>
      <c r="S58" s="129">
        <v>1775.9</v>
      </c>
      <c r="T58" s="131">
        <v>1008.3</v>
      </c>
      <c r="U58" s="131">
        <v>1296.3</v>
      </c>
      <c r="V58" s="131">
        <v>1065.7</v>
      </c>
      <c r="W58" s="131">
        <v>1796.5</v>
      </c>
      <c r="X58" s="131">
        <v>2715.5</v>
      </c>
      <c r="Y58" s="131">
        <v>2901.5</v>
      </c>
      <c r="Z58" s="131">
        <v>3202.8</v>
      </c>
      <c r="AA58" s="12"/>
    </row>
    <row r="59" spans="1:27" x14ac:dyDescent="0.25">
      <c r="A59" s="9" t="s">
        <v>45</v>
      </c>
      <c r="B59" s="129">
        <v>833.3</v>
      </c>
      <c r="C59" s="129">
        <v>802.3</v>
      </c>
      <c r="D59" s="129">
        <v>800.9</v>
      </c>
      <c r="E59" s="118">
        <v>934.3</v>
      </c>
      <c r="F59" s="129">
        <v>1091.2</v>
      </c>
      <c r="G59" s="129">
        <v>1061.0999999999999</v>
      </c>
      <c r="H59" s="129">
        <v>1291.4000000000001</v>
      </c>
      <c r="I59" s="129">
        <v>1739.8</v>
      </c>
      <c r="J59" s="129">
        <v>1785.5</v>
      </c>
      <c r="K59" s="62">
        <v>1812.6</v>
      </c>
      <c r="L59" s="129">
        <v>1917.3</v>
      </c>
      <c r="M59" s="62">
        <v>2065.6999999999998</v>
      </c>
      <c r="N59" s="129">
        <v>2318.1999999999998</v>
      </c>
      <c r="O59" s="129">
        <v>2193.3000000000002</v>
      </c>
      <c r="P59" s="129">
        <v>2391.9</v>
      </c>
      <c r="Q59" s="129">
        <v>2402</v>
      </c>
      <c r="R59" s="129">
        <v>3103.6</v>
      </c>
      <c r="S59" s="129">
        <v>2269</v>
      </c>
      <c r="T59" s="131">
        <v>1945.2</v>
      </c>
      <c r="U59" s="131">
        <v>2404</v>
      </c>
      <c r="V59" s="131">
        <v>2310</v>
      </c>
      <c r="W59" s="131">
        <v>2016.2</v>
      </c>
      <c r="X59" s="131">
        <v>2319.6</v>
      </c>
      <c r="Y59" s="131">
        <v>3254.5</v>
      </c>
      <c r="Z59" s="131">
        <v>3132.4</v>
      </c>
      <c r="AA59" s="12"/>
    </row>
    <row r="60" spans="1:27" ht="18" x14ac:dyDescent="0.25">
      <c r="A60" s="8" t="s">
        <v>90</v>
      </c>
      <c r="B60" s="123">
        <v>10371.799999999999</v>
      </c>
      <c r="C60" s="123">
        <v>11462</v>
      </c>
      <c r="D60" s="123">
        <v>11028</v>
      </c>
      <c r="E60" s="120">
        <v>11250.5</v>
      </c>
      <c r="F60" s="123">
        <v>11865.3</v>
      </c>
      <c r="G60" s="123">
        <v>13445.8</v>
      </c>
      <c r="H60" s="123">
        <v>14868.1</v>
      </c>
      <c r="I60" s="123">
        <v>19498</v>
      </c>
      <c r="J60" s="123">
        <v>21611</v>
      </c>
      <c r="K60" s="61">
        <v>19311.2</v>
      </c>
      <c r="L60" s="123">
        <v>18783.8</v>
      </c>
      <c r="M60" s="61">
        <v>20743.3</v>
      </c>
      <c r="N60" s="123">
        <v>22171.4</v>
      </c>
      <c r="O60" s="123">
        <v>24166.9</v>
      </c>
      <c r="P60" s="123">
        <v>26521.5</v>
      </c>
      <c r="Q60" s="123">
        <v>27352.2</v>
      </c>
      <c r="R60" s="123">
        <v>25351.8</v>
      </c>
      <c r="S60" s="123">
        <v>25687.8</v>
      </c>
      <c r="T60" s="123">
        <v>26866.400000000001</v>
      </c>
      <c r="U60" s="130">
        <v>27995.4</v>
      </c>
      <c r="V60" s="130">
        <v>26446.6</v>
      </c>
      <c r="W60" s="130">
        <v>26682.6</v>
      </c>
      <c r="X60" s="130">
        <v>28045.5</v>
      </c>
      <c r="Y60" s="130">
        <v>31053.7</v>
      </c>
      <c r="Z60" s="130">
        <v>30990.799999999999</v>
      </c>
      <c r="AA60" s="12"/>
    </row>
    <row r="61" spans="1:27" x14ac:dyDescent="0.25">
      <c r="A61" s="9" t="s">
        <v>46</v>
      </c>
      <c r="B61" s="129">
        <v>1836.3</v>
      </c>
      <c r="C61" s="129">
        <v>2148.1</v>
      </c>
      <c r="D61" s="129">
        <v>2027</v>
      </c>
      <c r="E61" s="118">
        <v>1850.4</v>
      </c>
      <c r="F61" s="129">
        <v>2068.1</v>
      </c>
      <c r="G61" s="129">
        <v>2034.9</v>
      </c>
      <c r="H61" s="129">
        <v>2242.8000000000002</v>
      </c>
      <c r="I61" s="129">
        <v>2539.9</v>
      </c>
      <c r="J61" s="129">
        <v>4201.7</v>
      </c>
      <c r="K61" s="62">
        <v>2700.7</v>
      </c>
      <c r="L61" s="129">
        <v>2464.5</v>
      </c>
      <c r="M61" s="62">
        <v>2902.1</v>
      </c>
      <c r="N61" s="129">
        <v>2958.8</v>
      </c>
      <c r="O61" s="129">
        <v>3265.9</v>
      </c>
      <c r="P61" s="129">
        <v>3368.4</v>
      </c>
      <c r="Q61" s="129">
        <v>3879.1</v>
      </c>
      <c r="R61" s="129">
        <v>3506.4</v>
      </c>
      <c r="S61" s="129">
        <v>3221</v>
      </c>
      <c r="T61" s="131">
        <v>3002</v>
      </c>
      <c r="U61" s="131">
        <v>3588.3</v>
      </c>
      <c r="V61" s="131">
        <v>3177.1</v>
      </c>
      <c r="W61" s="131">
        <v>3763.6</v>
      </c>
      <c r="X61" s="131">
        <v>4269</v>
      </c>
      <c r="Y61" s="131">
        <v>4519.2</v>
      </c>
      <c r="Z61" s="131">
        <v>4556.2</v>
      </c>
      <c r="AA61" s="12"/>
    </row>
    <row r="62" spans="1:27" x14ac:dyDescent="0.25">
      <c r="A62" s="9" t="s">
        <v>47</v>
      </c>
      <c r="B62" s="129">
        <v>156.4</v>
      </c>
      <c r="C62" s="129">
        <v>209.9</v>
      </c>
      <c r="D62" s="129">
        <v>186.3</v>
      </c>
      <c r="E62" s="118">
        <v>211.6</v>
      </c>
      <c r="F62" s="129">
        <v>215.6</v>
      </c>
      <c r="G62" s="129">
        <v>451.8</v>
      </c>
      <c r="H62" s="129">
        <v>321.89999999999998</v>
      </c>
      <c r="I62" s="129">
        <v>490.3</v>
      </c>
      <c r="J62" s="129">
        <v>431</v>
      </c>
      <c r="K62" s="62">
        <v>397.4</v>
      </c>
      <c r="L62" s="129">
        <v>431.7</v>
      </c>
      <c r="M62" s="62">
        <v>506.9</v>
      </c>
      <c r="N62" s="129">
        <v>480.2</v>
      </c>
      <c r="O62" s="129">
        <v>694.9</v>
      </c>
      <c r="P62" s="129">
        <v>589.6</v>
      </c>
      <c r="Q62" s="129">
        <v>615.1</v>
      </c>
      <c r="R62" s="129">
        <v>578.70000000000005</v>
      </c>
      <c r="S62" s="129">
        <v>581.70000000000005</v>
      </c>
      <c r="T62" s="131">
        <v>681</v>
      </c>
      <c r="U62" s="131">
        <v>600.29999999999995</v>
      </c>
      <c r="V62" s="131">
        <v>710.4</v>
      </c>
      <c r="W62" s="131">
        <v>584.1</v>
      </c>
      <c r="X62" s="131">
        <v>709</v>
      </c>
      <c r="Y62" s="131">
        <v>851.2</v>
      </c>
      <c r="Z62" s="131">
        <v>811.5</v>
      </c>
      <c r="AA62" s="12"/>
    </row>
    <row r="63" spans="1:27" x14ac:dyDescent="0.25">
      <c r="A63" s="9" t="s">
        <v>48</v>
      </c>
      <c r="B63" s="129">
        <v>270.10000000000002</v>
      </c>
      <c r="C63" s="129">
        <v>273.60000000000002</v>
      </c>
      <c r="D63" s="129">
        <v>221.8</v>
      </c>
      <c r="E63" s="118">
        <v>262.7</v>
      </c>
      <c r="F63" s="129">
        <v>228.7</v>
      </c>
      <c r="G63" s="129">
        <v>262.5</v>
      </c>
      <c r="H63" s="129">
        <v>330.6</v>
      </c>
      <c r="I63" s="129">
        <v>443.1</v>
      </c>
      <c r="J63" s="129">
        <v>503.8</v>
      </c>
      <c r="K63" s="62">
        <v>573.79999999999995</v>
      </c>
      <c r="L63" s="129">
        <v>498.9</v>
      </c>
      <c r="M63" s="62">
        <v>505.9</v>
      </c>
      <c r="N63" s="129">
        <v>590.5</v>
      </c>
      <c r="O63" s="129">
        <v>862.6</v>
      </c>
      <c r="P63" s="129">
        <v>638.29999999999995</v>
      </c>
      <c r="Q63" s="129">
        <v>691.9</v>
      </c>
      <c r="R63" s="129">
        <v>819.6</v>
      </c>
      <c r="S63" s="129">
        <v>611.6</v>
      </c>
      <c r="T63" s="131">
        <v>698.9</v>
      </c>
      <c r="U63" s="131">
        <v>897.1</v>
      </c>
      <c r="V63" s="131">
        <v>861.5</v>
      </c>
      <c r="W63" s="131">
        <v>695</v>
      </c>
      <c r="X63" s="131">
        <v>621.20000000000005</v>
      </c>
      <c r="Y63" s="131">
        <v>738.9</v>
      </c>
      <c r="Z63" s="131">
        <v>615</v>
      </c>
      <c r="AA63" s="12"/>
    </row>
    <row r="64" spans="1:27" x14ac:dyDescent="0.25">
      <c r="A64" s="9" t="s">
        <v>49</v>
      </c>
      <c r="B64" s="129">
        <v>2119.1999999999998</v>
      </c>
      <c r="C64" s="129">
        <v>2250.5</v>
      </c>
      <c r="D64" s="129">
        <v>2207.6999999999998</v>
      </c>
      <c r="E64" s="118">
        <v>2452.9</v>
      </c>
      <c r="F64" s="129">
        <v>2387.3000000000002</v>
      </c>
      <c r="G64" s="129">
        <v>2521.9</v>
      </c>
      <c r="H64" s="129">
        <v>2701</v>
      </c>
      <c r="I64" s="129">
        <v>3450.4</v>
      </c>
      <c r="J64" s="129">
        <v>3404.6</v>
      </c>
      <c r="K64" s="62">
        <v>3480.2</v>
      </c>
      <c r="L64" s="129">
        <v>3894.6</v>
      </c>
      <c r="M64" s="62">
        <v>4025.3</v>
      </c>
      <c r="N64" s="129">
        <v>4184.5</v>
      </c>
      <c r="O64" s="129">
        <v>4558.8</v>
      </c>
      <c r="P64" s="129">
        <v>4464.6000000000004</v>
      </c>
      <c r="Q64" s="129">
        <v>4638.3</v>
      </c>
      <c r="R64" s="129">
        <v>4170.6000000000004</v>
      </c>
      <c r="S64" s="129">
        <v>4730.5</v>
      </c>
      <c r="T64" s="131">
        <v>4984.7</v>
      </c>
      <c r="U64" s="131">
        <v>5300.5</v>
      </c>
      <c r="V64" s="131">
        <v>5492.7</v>
      </c>
      <c r="W64" s="131">
        <v>5008.5</v>
      </c>
      <c r="X64" s="131">
        <v>5192.8999999999996</v>
      </c>
      <c r="Y64" s="131">
        <v>6006.1</v>
      </c>
      <c r="Z64" s="131">
        <v>5892.9</v>
      </c>
      <c r="AA64" s="12"/>
    </row>
    <row r="65" spans="1:27" x14ac:dyDescent="0.25">
      <c r="A65" s="9" t="s">
        <v>50</v>
      </c>
      <c r="B65" s="129">
        <v>415.8</v>
      </c>
      <c r="C65" s="129">
        <v>382.4</v>
      </c>
      <c r="D65" s="129">
        <v>585.29999999999995</v>
      </c>
      <c r="E65" s="118">
        <v>675.3</v>
      </c>
      <c r="F65" s="129">
        <v>467.6</v>
      </c>
      <c r="G65" s="129">
        <v>490.9</v>
      </c>
      <c r="H65" s="129">
        <v>617.1</v>
      </c>
      <c r="I65" s="129">
        <v>706.6</v>
      </c>
      <c r="J65" s="129">
        <v>676.6</v>
      </c>
      <c r="K65" s="62">
        <v>670.7</v>
      </c>
      <c r="L65" s="129">
        <v>629.9</v>
      </c>
      <c r="M65" s="62">
        <v>634.20000000000005</v>
      </c>
      <c r="N65" s="129">
        <v>649.79999999999995</v>
      </c>
      <c r="O65" s="129">
        <v>954.6</v>
      </c>
      <c r="P65" s="129">
        <v>929.1</v>
      </c>
      <c r="Q65" s="129">
        <v>932.8</v>
      </c>
      <c r="R65" s="129">
        <v>947</v>
      </c>
      <c r="S65" s="129">
        <v>902.5</v>
      </c>
      <c r="T65" s="131">
        <v>1194.0999999999999</v>
      </c>
      <c r="U65" s="131">
        <v>1237.4000000000001</v>
      </c>
      <c r="V65" s="131">
        <v>1258.2</v>
      </c>
      <c r="W65" s="131">
        <v>1262.9000000000001</v>
      </c>
      <c r="X65" s="131">
        <v>1641.4</v>
      </c>
      <c r="Y65" s="131">
        <v>1887</v>
      </c>
      <c r="Z65" s="131">
        <v>2035.5</v>
      </c>
      <c r="AA65" s="12"/>
    </row>
    <row r="66" spans="1:27" x14ac:dyDescent="0.25">
      <c r="A66" s="9" t="s">
        <v>51</v>
      </c>
      <c r="B66" s="129">
        <v>704.6</v>
      </c>
      <c r="C66" s="129">
        <v>769.3</v>
      </c>
      <c r="D66" s="129">
        <v>781.8</v>
      </c>
      <c r="E66" s="118">
        <v>759.2</v>
      </c>
      <c r="F66" s="129">
        <v>873</v>
      </c>
      <c r="G66" s="129">
        <v>1015.7</v>
      </c>
      <c r="H66" s="129">
        <v>1188.7</v>
      </c>
      <c r="I66" s="129">
        <v>1458.6</v>
      </c>
      <c r="J66" s="129">
        <v>1215.8</v>
      </c>
      <c r="K66" s="62">
        <v>1329.6</v>
      </c>
      <c r="L66" s="129">
        <v>1244.4000000000001</v>
      </c>
      <c r="M66" s="62">
        <v>1171.5999999999999</v>
      </c>
      <c r="N66" s="129">
        <v>1141.2</v>
      </c>
      <c r="O66" s="129">
        <v>1169.0999999999999</v>
      </c>
      <c r="P66" s="129">
        <v>1147.3</v>
      </c>
      <c r="Q66" s="129">
        <v>1201.5999999999999</v>
      </c>
      <c r="R66" s="129">
        <v>1014.7</v>
      </c>
      <c r="S66" s="129">
        <v>1067.0999999999999</v>
      </c>
      <c r="T66" s="131">
        <v>970.8</v>
      </c>
      <c r="U66" s="131">
        <v>1261.9000000000001</v>
      </c>
      <c r="V66" s="131">
        <v>1160.5</v>
      </c>
      <c r="W66" s="131">
        <v>1075.3</v>
      </c>
      <c r="X66" s="131">
        <v>1093.4000000000001</v>
      </c>
      <c r="Y66" s="131">
        <v>1157.5999999999999</v>
      </c>
      <c r="Z66" s="131">
        <v>1352.4</v>
      </c>
      <c r="AA66" s="12"/>
    </row>
    <row r="67" spans="1:27" x14ac:dyDescent="0.25">
      <c r="A67" s="9" t="s">
        <v>52</v>
      </c>
      <c r="B67" s="129">
        <v>602.5</v>
      </c>
      <c r="C67" s="129">
        <v>761.1</v>
      </c>
      <c r="D67" s="129">
        <v>633.20000000000005</v>
      </c>
      <c r="E67" s="118">
        <v>617.9</v>
      </c>
      <c r="F67" s="129">
        <v>790.6</v>
      </c>
      <c r="G67" s="129">
        <v>975.6</v>
      </c>
      <c r="H67" s="129">
        <v>1120.4000000000001</v>
      </c>
      <c r="I67" s="129">
        <v>1304.7</v>
      </c>
      <c r="J67" s="129">
        <v>1334</v>
      </c>
      <c r="K67" s="62">
        <v>1093.0999999999999</v>
      </c>
      <c r="L67" s="129">
        <v>1244.9000000000001</v>
      </c>
      <c r="M67" s="62">
        <v>1256.8</v>
      </c>
      <c r="N67" s="129">
        <v>1373.6</v>
      </c>
      <c r="O67" s="129">
        <v>1562.6</v>
      </c>
      <c r="P67" s="129">
        <v>1742</v>
      </c>
      <c r="Q67" s="129">
        <v>1929.5</v>
      </c>
      <c r="R67" s="129">
        <v>1803.3</v>
      </c>
      <c r="S67" s="129">
        <v>2110.8000000000002</v>
      </c>
      <c r="T67" s="131">
        <v>1894.2</v>
      </c>
      <c r="U67" s="131">
        <v>1693.7</v>
      </c>
      <c r="V67" s="131">
        <v>2027.8</v>
      </c>
      <c r="W67" s="131">
        <v>2370.3000000000002</v>
      </c>
      <c r="X67" s="131">
        <v>2791.2</v>
      </c>
      <c r="Y67" s="131">
        <v>2862</v>
      </c>
      <c r="Z67" s="131">
        <v>2737</v>
      </c>
      <c r="AA67" s="12"/>
    </row>
    <row r="68" spans="1:27" x14ac:dyDescent="0.25">
      <c r="A68" s="9" t="s">
        <v>53</v>
      </c>
      <c r="B68" s="129">
        <v>363.8</v>
      </c>
      <c r="C68" s="129">
        <v>386.2</v>
      </c>
      <c r="D68" s="129">
        <v>334.8</v>
      </c>
      <c r="E68" s="118">
        <v>244.5</v>
      </c>
      <c r="F68" s="129">
        <v>357.8</v>
      </c>
      <c r="G68" s="129">
        <v>354</v>
      </c>
      <c r="H68" s="129">
        <v>419.9</v>
      </c>
      <c r="I68" s="129">
        <v>511.3</v>
      </c>
      <c r="J68" s="129">
        <v>634.29999999999995</v>
      </c>
      <c r="K68" s="62">
        <v>595</v>
      </c>
      <c r="L68" s="129">
        <v>739.3</v>
      </c>
      <c r="M68" s="62">
        <v>711.1</v>
      </c>
      <c r="N68" s="129">
        <v>768</v>
      </c>
      <c r="O68" s="129">
        <v>783</v>
      </c>
      <c r="P68" s="129">
        <v>1211.3</v>
      </c>
      <c r="Q68" s="129">
        <v>1255</v>
      </c>
      <c r="R68" s="129">
        <v>1261.7</v>
      </c>
      <c r="S68" s="129">
        <v>948.9</v>
      </c>
      <c r="T68" s="129">
        <v>1029.5</v>
      </c>
      <c r="U68" s="131">
        <v>951.9</v>
      </c>
      <c r="V68" s="131">
        <v>780</v>
      </c>
      <c r="W68" s="131">
        <v>764.4</v>
      </c>
      <c r="X68" s="131">
        <v>934</v>
      </c>
      <c r="Y68" s="131">
        <v>890.4</v>
      </c>
      <c r="Z68" s="131">
        <v>887.8</v>
      </c>
      <c r="AA68" s="12"/>
    </row>
    <row r="69" spans="1:27" x14ac:dyDescent="0.25">
      <c r="A69" s="9" t="s">
        <v>54</v>
      </c>
      <c r="B69" s="129">
        <v>853.8</v>
      </c>
      <c r="C69" s="129">
        <v>866.3</v>
      </c>
      <c r="D69" s="129">
        <v>772.2</v>
      </c>
      <c r="E69" s="118">
        <v>930.5</v>
      </c>
      <c r="F69" s="129">
        <v>1137.2</v>
      </c>
      <c r="G69" s="129">
        <v>1306.9000000000001</v>
      </c>
      <c r="H69" s="129">
        <v>1402.1</v>
      </c>
      <c r="I69" s="129">
        <v>2451.9</v>
      </c>
      <c r="J69" s="129">
        <v>2485.8000000000002</v>
      </c>
      <c r="K69" s="62">
        <v>2150.1</v>
      </c>
      <c r="L69" s="129">
        <v>2228.5</v>
      </c>
      <c r="M69" s="62">
        <v>2191</v>
      </c>
      <c r="N69" s="129">
        <v>2892.9</v>
      </c>
      <c r="O69" s="129">
        <v>2372.6999999999998</v>
      </c>
      <c r="P69" s="129">
        <v>2725.5</v>
      </c>
      <c r="Q69" s="129">
        <v>2421.6</v>
      </c>
      <c r="R69" s="129">
        <v>2143.6</v>
      </c>
      <c r="S69" s="129">
        <v>2341.5</v>
      </c>
      <c r="T69" s="131">
        <v>2857.1</v>
      </c>
      <c r="U69" s="131">
        <v>2627.7</v>
      </c>
      <c r="V69" s="131">
        <v>2576.4</v>
      </c>
      <c r="W69" s="131">
        <v>2592.1</v>
      </c>
      <c r="X69" s="131">
        <v>2637.1</v>
      </c>
      <c r="Y69" s="131">
        <v>3230.9</v>
      </c>
      <c r="Z69" s="131">
        <v>3016.3</v>
      </c>
      <c r="AA69" s="12"/>
    </row>
    <row r="70" spans="1:27" x14ac:dyDescent="0.25">
      <c r="A70" s="9" t="s">
        <v>55</v>
      </c>
      <c r="B70" s="129">
        <v>593</v>
      </c>
      <c r="C70" s="129">
        <v>672.2</v>
      </c>
      <c r="D70" s="129">
        <v>667</v>
      </c>
      <c r="E70" s="118">
        <v>696.7</v>
      </c>
      <c r="F70" s="129">
        <v>754.8</v>
      </c>
      <c r="G70" s="129">
        <v>827.2</v>
      </c>
      <c r="H70" s="129">
        <v>912.5</v>
      </c>
      <c r="I70" s="129">
        <v>1156.3</v>
      </c>
      <c r="J70" s="129">
        <v>1214.5999999999999</v>
      </c>
      <c r="K70" s="62">
        <v>1217</v>
      </c>
      <c r="L70" s="129">
        <v>1017</v>
      </c>
      <c r="M70" s="62">
        <v>1323.3</v>
      </c>
      <c r="N70" s="129">
        <v>1153.4000000000001</v>
      </c>
      <c r="O70" s="129">
        <v>1203.9000000000001</v>
      </c>
      <c r="P70" s="129">
        <v>1762.5</v>
      </c>
      <c r="Q70" s="129">
        <v>1809.7</v>
      </c>
      <c r="R70" s="129">
        <v>1543.7</v>
      </c>
      <c r="S70" s="129">
        <v>1444.3</v>
      </c>
      <c r="T70" s="131">
        <v>1450.7</v>
      </c>
      <c r="U70" s="131">
        <v>1524.9</v>
      </c>
      <c r="V70" s="131">
        <v>1351.5</v>
      </c>
      <c r="W70" s="131">
        <v>1450</v>
      </c>
      <c r="X70" s="131">
        <v>1320.6</v>
      </c>
      <c r="Y70" s="131">
        <v>1601</v>
      </c>
      <c r="Z70" s="131">
        <v>1646.5</v>
      </c>
      <c r="AA70" s="12"/>
    </row>
    <row r="71" spans="1:27" x14ac:dyDescent="0.25">
      <c r="A71" s="9" t="s">
        <v>56</v>
      </c>
      <c r="B71" s="129">
        <v>300.89999999999998</v>
      </c>
      <c r="C71" s="129">
        <v>267.5</v>
      </c>
      <c r="D71" s="129">
        <v>306.39999999999998</v>
      </c>
      <c r="E71" s="118">
        <v>308.39999999999998</v>
      </c>
      <c r="F71" s="129">
        <v>352.4</v>
      </c>
      <c r="G71" s="129">
        <v>409</v>
      </c>
      <c r="H71" s="129">
        <v>491</v>
      </c>
      <c r="I71" s="129">
        <v>775.6</v>
      </c>
      <c r="J71" s="129">
        <v>880.9</v>
      </c>
      <c r="K71" s="62">
        <v>968.2</v>
      </c>
      <c r="L71" s="129">
        <v>970.1</v>
      </c>
      <c r="M71" s="62">
        <v>1008.4</v>
      </c>
      <c r="N71" s="129">
        <v>1295.7</v>
      </c>
      <c r="O71" s="129">
        <v>1396.7</v>
      </c>
      <c r="P71" s="129">
        <v>1664.8</v>
      </c>
      <c r="Q71" s="129">
        <v>1983.3</v>
      </c>
      <c r="R71" s="129">
        <v>1451.4</v>
      </c>
      <c r="S71" s="129">
        <v>1757.9</v>
      </c>
      <c r="T71" s="131">
        <v>1433.3</v>
      </c>
      <c r="U71" s="131">
        <v>2128.4</v>
      </c>
      <c r="V71" s="131">
        <v>1811.6</v>
      </c>
      <c r="W71" s="131">
        <v>1470</v>
      </c>
      <c r="X71" s="131">
        <v>1446.7</v>
      </c>
      <c r="Y71" s="131">
        <v>1459.5</v>
      </c>
      <c r="Z71" s="131">
        <v>1708.1</v>
      </c>
      <c r="AA71" s="12"/>
    </row>
    <row r="72" spans="1:27" x14ac:dyDescent="0.25">
      <c r="A72" s="9" t="s">
        <v>57</v>
      </c>
      <c r="B72" s="129">
        <v>1225.8</v>
      </c>
      <c r="C72" s="129">
        <v>1365.2</v>
      </c>
      <c r="D72" s="129">
        <v>1191.3</v>
      </c>
      <c r="E72" s="129">
        <v>1310</v>
      </c>
      <c r="F72" s="129">
        <v>1290.4000000000001</v>
      </c>
      <c r="G72" s="129">
        <v>1434.3</v>
      </c>
      <c r="H72" s="129">
        <v>1414.3</v>
      </c>
      <c r="I72" s="129">
        <v>1951.9</v>
      </c>
      <c r="J72" s="129">
        <v>2043.8</v>
      </c>
      <c r="K72" s="62">
        <v>1339.6</v>
      </c>
      <c r="L72" s="129">
        <v>1390.2</v>
      </c>
      <c r="M72" s="62">
        <v>1928</v>
      </c>
      <c r="N72" s="129">
        <v>1819.9</v>
      </c>
      <c r="O72" s="129">
        <v>2419.6</v>
      </c>
      <c r="P72" s="129">
        <v>2655.4</v>
      </c>
      <c r="Q72" s="129">
        <v>2797.3</v>
      </c>
      <c r="R72" s="129">
        <v>2702.2</v>
      </c>
      <c r="S72" s="129">
        <v>2761.7</v>
      </c>
      <c r="T72" s="131">
        <v>3079.6</v>
      </c>
      <c r="U72" s="131">
        <v>2969.8</v>
      </c>
      <c r="V72" s="131">
        <v>2042.3</v>
      </c>
      <c r="W72" s="131">
        <v>2622.3</v>
      </c>
      <c r="X72" s="131">
        <v>2639.2</v>
      </c>
      <c r="Y72" s="131">
        <v>2938.8</v>
      </c>
      <c r="Z72" s="131">
        <v>2869.2</v>
      </c>
      <c r="AA72" s="12"/>
    </row>
    <row r="73" spans="1:27" x14ac:dyDescent="0.25">
      <c r="A73" s="9" t="s">
        <v>58</v>
      </c>
      <c r="B73" s="129">
        <v>610.4</v>
      </c>
      <c r="C73" s="129">
        <v>696.7</v>
      </c>
      <c r="D73" s="129">
        <v>841.3</v>
      </c>
      <c r="E73" s="129">
        <v>688</v>
      </c>
      <c r="F73" s="129">
        <v>705.9</v>
      </c>
      <c r="G73" s="129">
        <v>963.2</v>
      </c>
      <c r="H73" s="129">
        <v>1149.5999999999999</v>
      </c>
      <c r="I73" s="129">
        <v>1587.2</v>
      </c>
      <c r="J73" s="129">
        <v>1870.9</v>
      </c>
      <c r="K73" s="62">
        <v>2061.6</v>
      </c>
      <c r="L73" s="129">
        <v>1233.5</v>
      </c>
      <c r="M73" s="62">
        <v>1878.3</v>
      </c>
      <c r="N73" s="129">
        <v>1891.3</v>
      </c>
      <c r="O73" s="129">
        <v>1983.7</v>
      </c>
      <c r="P73" s="129">
        <v>2404.8000000000002</v>
      </c>
      <c r="Q73" s="129">
        <v>1782</v>
      </c>
      <c r="R73" s="129">
        <v>2039.4</v>
      </c>
      <c r="S73" s="129">
        <v>1883.8</v>
      </c>
      <c r="T73" s="131">
        <v>1818.6</v>
      </c>
      <c r="U73" s="131">
        <v>1733.2</v>
      </c>
      <c r="V73" s="131">
        <v>1813.1</v>
      </c>
      <c r="W73" s="131">
        <v>1768.7</v>
      </c>
      <c r="X73" s="131">
        <v>1673.4</v>
      </c>
      <c r="Y73" s="131">
        <v>1776.2</v>
      </c>
      <c r="Z73" s="131">
        <v>1775.4</v>
      </c>
      <c r="AA73" s="12"/>
    </row>
    <row r="74" spans="1:27" x14ac:dyDescent="0.25">
      <c r="A74" s="9" t="s">
        <v>59</v>
      </c>
      <c r="B74" s="129">
        <v>319.2</v>
      </c>
      <c r="C74" s="129">
        <v>413</v>
      </c>
      <c r="D74" s="129">
        <v>271.89999999999998</v>
      </c>
      <c r="E74" s="118">
        <v>242.5</v>
      </c>
      <c r="F74" s="129">
        <v>236</v>
      </c>
      <c r="G74" s="129">
        <v>397.7</v>
      </c>
      <c r="H74" s="129">
        <v>556.4</v>
      </c>
      <c r="I74" s="129">
        <v>670.1</v>
      </c>
      <c r="J74" s="129">
        <v>713.1</v>
      </c>
      <c r="K74" s="62">
        <v>734.1</v>
      </c>
      <c r="L74" s="129">
        <v>796.1</v>
      </c>
      <c r="M74" s="62">
        <v>700.3</v>
      </c>
      <c r="N74" s="129">
        <v>971.5</v>
      </c>
      <c r="O74" s="129">
        <v>938.9</v>
      </c>
      <c r="P74" s="129">
        <v>1217.9000000000001</v>
      </c>
      <c r="Q74" s="129">
        <v>1414.8</v>
      </c>
      <c r="R74" s="129">
        <v>1369.7</v>
      </c>
      <c r="S74" s="129">
        <v>1324.5</v>
      </c>
      <c r="T74" s="131">
        <v>1771.7</v>
      </c>
      <c r="U74" s="131">
        <v>1480.4</v>
      </c>
      <c r="V74" s="131">
        <v>1383.4</v>
      </c>
      <c r="W74" s="131">
        <v>1255.4000000000001</v>
      </c>
      <c r="X74" s="131">
        <v>1076.5</v>
      </c>
      <c r="Y74" s="131">
        <v>1134.8</v>
      </c>
      <c r="Z74" s="131">
        <v>1087</v>
      </c>
      <c r="AA74" s="12"/>
    </row>
    <row r="75" spans="1:27" ht="18" x14ac:dyDescent="0.25">
      <c r="A75" s="8" t="s">
        <v>133</v>
      </c>
      <c r="B75" s="123">
        <v>3769.5</v>
      </c>
      <c r="C75" s="123">
        <v>4845.3</v>
      </c>
      <c r="D75" s="123">
        <v>4454.2</v>
      </c>
      <c r="E75" s="120">
        <v>4573.8999999999996</v>
      </c>
      <c r="F75" s="123">
        <v>4696</v>
      </c>
      <c r="G75" s="123">
        <v>5614.9</v>
      </c>
      <c r="H75" s="123">
        <v>6345.1</v>
      </c>
      <c r="I75" s="123">
        <v>8744.2999999999993</v>
      </c>
      <c r="J75" s="123">
        <v>9359.6</v>
      </c>
      <c r="K75" s="61">
        <v>8369</v>
      </c>
      <c r="L75" s="123">
        <v>8042.6</v>
      </c>
      <c r="M75" s="61">
        <v>9380.2000000000007</v>
      </c>
      <c r="N75" s="123">
        <v>11046.7</v>
      </c>
      <c r="O75" s="123">
        <v>11884.3</v>
      </c>
      <c r="P75" s="123">
        <v>14091.5</v>
      </c>
      <c r="Q75" s="123">
        <v>14196.1</v>
      </c>
      <c r="R75" s="123">
        <v>11120.3</v>
      </c>
      <c r="S75" s="123">
        <v>10885.2</v>
      </c>
      <c r="T75" s="130">
        <v>10901.6</v>
      </c>
      <c r="U75" s="130">
        <v>11714.3</v>
      </c>
      <c r="V75" s="130">
        <v>12504.2</v>
      </c>
      <c r="W75" s="130">
        <v>12291.4</v>
      </c>
      <c r="X75" s="130">
        <v>13162.7</v>
      </c>
      <c r="Y75" s="130">
        <v>15014.5</v>
      </c>
      <c r="Z75" s="130">
        <v>14798.5</v>
      </c>
      <c r="AA75" s="12"/>
    </row>
    <row r="76" spans="1:27" x14ac:dyDescent="0.25">
      <c r="A76" s="9" t="s">
        <v>60</v>
      </c>
      <c r="B76" s="129">
        <v>122.2</v>
      </c>
      <c r="C76" s="129">
        <v>129.19999999999999</v>
      </c>
      <c r="D76" s="129">
        <v>157.5</v>
      </c>
      <c r="E76" s="118">
        <v>133.6</v>
      </c>
      <c r="F76" s="129">
        <v>137.80000000000001</v>
      </c>
      <c r="G76" s="129">
        <v>171.1</v>
      </c>
      <c r="H76" s="129">
        <v>176.9</v>
      </c>
      <c r="I76" s="129">
        <v>276.8</v>
      </c>
      <c r="J76" s="129">
        <v>341.7</v>
      </c>
      <c r="K76" s="62">
        <v>539.6</v>
      </c>
      <c r="L76" s="129">
        <v>257.3</v>
      </c>
      <c r="M76" s="62">
        <v>447.2</v>
      </c>
      <c r="N76" s="129">
        <v>734.6</v>
      </c>
      <c r="O76" s="129">
        <v>427.6</v>
      </c>
      <c r="P76" s="129">
        <v>674.2</v>
      </c>
      <c r="Q76" s="129">
        <v>397.1</v>
      </c>
      <c r="R76" s="129">
        <v>457.7</v>
      </c>
      <c r="S76" s="129">
        <v>419.3</v>
      </c>
      <c r="T76" s="131">
        <v>387.9</v>
      </c>
      <c r="U76" s="131">
        <v>384.5</v>
      </c>
      <c r="V76" s="131">
        <v>543.9</v>
      </c>
      <c r="W76" s="131">
        <v>382.2</v>
      </c>
      <c r="X76" s="131">
        <v>482.5</v>
      </c>
      <c r="Y76" s="131">
        <v>489.1</v>
      </c>
      <c r="Z76" s="131">
        <v>629.70000000000005</v>
      </c>
      <c r="AA76" s="12"/>
    </row>
    <row r="77" spans="1:27" x14ac:dyDescent="0.25">
      <c r="A77" s="9" t="s">
        <v>61</v>
      </c>
      <c r="B77" s="129">
        <v>902</v>
      </c>
      <c r="C77" s="129">
        <v>1150.5999999999999</v>
      </c>
      <c r="D77" s="129">
        <v>1008.4</v>
      </c>
      <c r="E77" s="118">
        <v>1079.0999999999999</v>
      </c>
      <c r="F77" s="129">
        <v>1256.7</v>
      </c>
      <c r="G77" s="129">
        <v>1753</v>
      </c>
      <c r="H77" s="129">
        <v>1828.4</v>
      </c>
      <c r="I77" s="129">
        <v>2908.4</v>
      </c>
      <c r="J77" s="129">
        <v>2784.7</v>
      </c>
      <c r="K77" s="62">
        <v>2691.8</v>
      </c>
      <c r="L77" s="129">
        <v>3028.7</v>
      </c>
      <c r="M77" s="62">
        <v>2856.4</v>
      </c>
      <c r="N77" s="129">
        <v>3404.9</v>
      </c>
      <c r="O77" s="129">
        <v>3271.4</v>
      </c>
      <c r="P77" s="129">
        <v>4258.2</v>
      </c>
      <c r="Q77" s="129">
        <v>4263.8</v>
      </c>
      <c r="R77" s="129">
        <v>3630.5</v>
      </c>
      <c r="S77" s="129">
        <v>3912.4</v>
      </c>
      <c r="T77" s="131">
        <v>3874.1</v>
      </c>
      <c r="U77" s="131">
        <v>4123.6000000000004</v>
      </c>
      <c r="V77" s="131">
        <v>4728.1000000000004</v>
      </c>
      <c r="W77" s="131">
        <v>4947.7</v>
      </c>
      <c r="X77" s="131">
        <v>4712.3999999999996</v>
      </c>
      <c r="Y77" s="131">
        <v>5577</v>
      </c>
      <c r="Z77" s="131">
        <v>5396.2</v>
      </c>
      <c r="AA77" s="12"/>
    </row>
    <row r="78" spans="1:27" x14ac:dyDescent="0.25">
      <c r="A78" s="9" t="s">
        <v>62</v>
      </c>
      <c r="B78" s="129">
        <v>1680.5</v>
      </c>
      <c r="C78" s="129">
        <v>2263.6999999999998</v>
      </c>
      <c r="D78" s="129">
        <v>2200</v>
      </c>
      <c r="E78" s="118">
        <v>2260.9</v>
      </c>
      <c r="F78" s="129">
        <v>2154.6</v>
      </c>
      <c r="G78" s="129">
        <v>2313.3000000000002</v>
      </c>
      <c r="H78" s="129">
        <v>2649.1</v>
      </c>
      <c r="I78" s="129">
        <v>3378.4</v>
      </c>
      <c r="J78" s="129">
        <v>3374.1</v>
      </c>
      <c r="K78" s="62">
        <v>3047.3</v>
      </c>
      <c r="L78" s="129">
        <v>2936.4</v>
      </c>
      <c r="M78" s="62">
        <v>3632.9</v>
      </c>
      <c r="N78" s="129">
        <v>4214.3999999999996</v>
      </c>
      <c r="O78" s="129">
        <v>4849.6000000000004</v>
      </c>
      <c r="P78" s="129">
        <v>5444.2</v>
      </c>
      <c r="Q78" s="129">
        <v>5630.3</v>
      </c>
      <c r="R78" s="129">
        <v>4651.1000000000004</v>
      </c>
      <c r="S78" s="129">
        <v>4147</v>
      </c>
      <c r="T78" s="131">
        <v>3492.8</v>
      </c>
      <c r="U78" s="131">
        <v>4629.3</v>
      </c>
      <c r="V78" s="131">
        <v>4702.1000000000004</v>
      </c>
      <c r="W78" s="131">
        <v>4533</v>
      </c>
      <c r="X78" s="131">
        <v>5184</v>
      </c>
      <c r="Y78" s="131">
        <v>5913.4</v>
      </c>
      <c r="Z78" s="131">
        <v>5990.1</v>
      </c>
      <c r="AA78" s="12"/>
    </row>
    <row r="79" spans="1:27" x14ac:dyDescent="0.25">
      <c r="A79" s="4" t="s">
        <v>63</v>
      </c>
      <c r="B79" s="118"/>
      <c r="C79" s="129"/>
      <c r="D79" s="118"/>
      <c r="E79" s="118"/>
      <c r="F79" s="118"/>
      <c r="G79" s="129"/>
      <c r="H79" s="129"/>
      <c r="I79" s="118"/>
      <c r="J79" s="129"/>
      <c r="K79" s="118"/>
      <c r="L79" s="129"/>
      <c r="M79" s="62"/>
      <c r="N79" s="129"/>
      <c r="O79" s="129"/>
      <c r="P79" s="129"/>
      <c r="Q79" s="129"/>
      <c r="R79" s="129"/>
      <c r="S79" s="129"/>
      <c r="T79" s="131"/>
      <c r="U79" s="131"/>
      <c r="V79" s="131"/>
      <c r="W79" s="131"/>
      <c r="X79" s="131"/>
      <c r="Y79" s="131"/>
      <c r="Z79" s="131"/>
      <c r="AA79" s="12"/>
    </row>
    <row r="80" spans="1:27" ht="19.5" x14ac:dyDescent="0.25">
      <c r="A80" s="14" t="s">
        <v>102</v>
      </c>
      <c r="B80" s="129">
        <v>805.4</v>
      </c>
      <c r="C80" s="129">
        <v>1310.5999999999999</v>
      </c>
      <c r="D80" s="129">
        <v>1202</v>
      </c>
      <c r="E80" s="118">
        <v>1298.0999999999999</v>
      </c>
      <c r="F80" s="129">
        <v>1150.7</v>
      </c>
      <c r="G80" s="129">
        <v>1149.4000000000001</v>
      </c>
      <c r="H80" s="129">
        <v>1380.5</v>
      </c>
      <c r="I80" s="129">
        <v>1581.8</v>
      </c>
      <c r="J80" s="129">
        <v>1452.4</v>
      </c>
      <c r="K80" s="62">
        <v>1280.0999999999999</v>
      </c>
      <c r="L80" s="129">
        <v>1077.4000000000001</v>
      </c>
      <c r="M80" s="62">
        <v>1308</v>
      </c>
      <c r="N80" s="129">
        <v>1815.9</v>
      </c>
      <c r="O80" s="129">
        <v>1813.1</v>
      </c>
      <c r="P80" s="129">
        <v>1955</v>
      </c>
      <c r="Q80" s="129">
        <v>1687.5</v>
      </c>
      <c r="R80" s="129">
        <v>1504.6</v>
      </c>
      <c r="S80" s="129">
        <v>1240.9000000000001</v>
      </c>
      <c r="T80" s="131">
        <v>882.2</v>
      </c>
      <c r="U80" s="131">
        <v>1362</v>
      </c>
      <c r="V80" s="131">
        <v>1646.5</v>
      </c>
      <c r="W80" s="131">
        <v>1397.5</v>
      </c>
      <c r="X80" s="131">
        <v>1430.1</v>
      </c>
      <c r="Y80" s="131">
        <v>1399.2</v>
      </c>
      <c r="Z80" s="131">
        <v>1499.5</v>
      </c>
      <c r="AA80" s="12"/>
    </row>
    <row r="81" spans="1:27" ht="19.5" x14ac:dyDescent="0.25">
      <c r="A81" s="14" t="s">
        <v>64</v>
      </c>
      <c r="B81" s="129">
        <v>241.8</v>
      </c>
      <c r="C81" s="129">
        <v>289.8</v>
      </c>
      <c r="D81" s="129">
        <v>353.2</v>
      </c>
      <c r="E81" s="118">
        <v>277.39999999999998</v>
      </c>
      <c r="F81" s="129">
        <v>337.7</v>
      </c>
      <c r="G81" s="129">
        <v>390.3</v>
      </c>
      <c r="H81" s="129">
        <v>393.8</v>
      </c>
      <c r="I81" s="129">
        <v>526.5</v>
      </c>
      <c r="J81" s="129">
        <v>475.9</v>
      </c>
      <c r="K81" s="62">
        <v>362.9</v>
      </c>
      <c r="L81" s="129">
        <v>335.2</v>
      </c>
      <c r="M81" s="62">
        <v>320.5</v>
      </c>
      <c r="N81" s="129">
        <v>482.2</v>
      </c>
      <c r="O81" s="129">
        <v>504.1</v>
      </c>
      <c r="P81" s="129">
        <v>555.6</v>
      </c>
      <c r="Q81" s="129">
        <v>595.20000000000005</v>
      </c>
      <c r="R81" s="129">
        <v>462.4</v>
      </c>
      <c r="S81" s="129">
        <v>532.79999999999995</v>
      </c>
      <c r="T81" s="131">
        <v>418</v>
      </c>
      <c r="U81" s="131">
        <v>424.6</v>
      </c>
      <c r="V81" s="131">
        <v>432.4</v>
      </c>
      <c r="W81" s="131">
        <v>353.6</v>
      </c>
      <c r="X81" s="131">
        <v>446.8</v>
      </c>
      <c r="Y81" s="131">
        <v>637.20000000000005</v>
      </c>
      <c r="Z81" s="131">
        <v>633.20000000000005</v>
      </c>
      <c r="AA81" s="12"/>
    </row>
    <row r="82" spans="1:27" ht="19.5" x14ac:dyDescent="0.25">
      <c r="A82" s="14" t="s">
        <v>87</v>
      </c>
      <c r="B82" s="129">
        <v>633.29999999999995</v>
      </c>
      <c r="C82" s="118">
        <v>663.3</v>
      </c>
      <c r="D82" s="129">
        <v>644.79999999999995</v>
      </c>
      <c r="E82" s="118">
        <v>685.4000000000002</v>
      </c>
      <c r="F82" s="129">
        <v>666.2</v>
      </c>
      <c r="G82" s="129">
        <v>773.6</v>
      </c>
      <c r="H82" s="129">
        <v>874.8</v>
      </c>
      <c r="I82" s="129">
        <v>1270.0999999999999</v>
      </c>
      <c r="J82" s="129">
        <v>1445.8</v>
      </c>
      <c r="K82" s="62">
        <v>1404.3</v>
      </c>
      <c r="L82" s="129">
        <v>1523.8</v>
      </c>
      <c r="M82" s="62">
        <v>2004.4</v>
      </c>
      <c r="N82" s="129">
        <v>1916.3</v>
      </c>
      <c r="O82" s="129">
        <v>2532.4</v>
      </c>
      <c r="P82" s="129">
        <v>2933.5</v>
      </c>
      <c r="Q82" s="129">
        <v>3347.6</v>
      </c>
      <c r="R82" s="129">
        <v>2684.1</v>
      </c>
      <c r="S82" s="129">
        <v>2373.1999999999998</v>
      </c>
      <c r="T82" s="131">
        <v>2192.6</v>
      </c>
      <c r="U82" s="131">
        <v>2842.8</v>
      </c>
      <c r="V82" s="131">
        <v>2623.2</v>
      </c>
      <c r="W82" s="131">
        <v>2781.9</v>
      </c>
      <c r="X82" s="131">
        <v>3307.1</v>
      </c>
      <c r="Y82" s="131">
        <v>3877.1</v>
      </c>
      <c r="Z82" s="131">
        <v>3857.4</v>
      </c>
      <c r="AA82" s="12"/>
    </row>
    <row r="83" spans="1:27" x14ac:dyDescent="0.25">
      <c r="A83" s="9" t="s">
        <v>65</v>
      </c>
      <c r="B83" s="129">
        <v>1064.8</v>
      </c>
      <c r="C83" s="129">
        <v>1301.7</v>
      </c>
      <c r="D83" s="129">
        <v>1088.3</v>
      </c>
      <c r="E83" s="118">
        <v>1100.2</v>
      </c>
      <c r="F83" s="129">
        <v>1146.9000000000001</v>
      </c>
      <c r="G83" s="129">
        <v>1377.4</v>
      </c>
      <c r="H83" s="129">
        <v>1690.7</v>
      </c>
      <c r="I83" s="129">
        <v>2180.6999999999998</v>
      </c>
      <c r="J83" s="129">
        <v>2859.2</v>
      </c>
      <c r="K83" s="62">
        <v>2090.3000000000002</v>
      </c>
      <c r="L83" s="129">
        <v>1820.2</v>
      </c>
      <c r="M83" s="62">
        <v>2443.6</v>
      </c>
      <c r="N83" s="129">
        <v>2692.8</v>
      </c>
      <c r="O83" s="129">
        <v>3335.7</v>
      </c>
      <c r="P83" s="129">
        <v>3714.9</v>
      </c>
      <c r="Q83" s="129">
        <v>3904.9</v>
      </c>
      <c r="R83" s="129">
        <v>2380.9</v>
      </c>
      <c r="S83" s="129">
        <v>2406.5</v>
      </c>
      <c r="T83" s="131">
        <v>3146.8</v>
      </c>
      <c r="U83" s="131">
        <v>2576.8000000000002</v>
      </c>
      <c r="V83" s="131">
        <v>2530.1</v>
      </c>
      <c r="W83" s="131">
        <v>2428.5</v>
      </c>
      <c r="X83" s="131">
        <v>2783.9</v>
      </c>
      <c r="Y83" s="131">
        <v>3035</v>
      </c>
      <c r="Z83" s="131">
        <v>2782.5</v>
      </c>
      <c r="AA83" s="12"/>
    </row>
    <row r="84" spans="1:27" ht="18" x14ac:dyDescent="0.25">
      <c r="A84" s="8" t="s">
        <v>259</v>
      </c>
      <c r="B84" s="123">
        <v>4114.2</v>
      </c>
      <c r="C84" s="123">
        <v>3645</v>
      </c>
      <c r="D84" s="123">
        <v>3980.1000000000004</v>
      </c>
      <c r="E84" s="120">
        <v>4534.3999999999996</v>
      </c>
      <c r="F84" s="123">
        <v>5201</v>
      </c>
      <c r="G84" s="123">
        <v>5970.6</v>
      </c>
      <c r="H84" s="123">
        <v>7479.9000000000005</v>
      </c>
      <c r="I84" s="123">
        <v>10187</v>
      </c>
      <c r="J84" s="123">
        <v>10492.7</v>
      </c>
      <c r="K84" s="31">
        <f>SUM(K85:K94)</f>
        <v>9536.5</v>
      </c>
      <c r="L84" s="123">
        <v>9584.7999999999993</v>
      </c>
      <c r="M84" s="123">
        <v>11081.6</v>
      </c>
      <c r="N84" s="123">
        <v>11344.1</v>
      </c>
      <c r="O84" s="123">
        <v>11911.800000000001</v>
      </c>
      <c r="P84" s="123">
        <v>13603.2</v>
      </c>
      <c r="Q84" s="123">
        <v>14534.800000000001</v>
      </c>
      <c r="R84" s="123">
        <v>13482.5</v>
      </c>
      <c r="S84" s="123">
        <v>12360.3</v>
      </c>
      <c r="T84" s="130">
        <v>11667.5</v>
      </c>
      <c r="U84" s="130">
        <v>13405.1</v>
      </c>
      <c r="V84" s="130">
        <v>13566.3</v>
      </c>
      <c r="W84" s="130">
        <v>12228.5</v>
      </c>
      <c r="X84" s="130">
        <v>13072.3</v>
      </c>
      <c r="Y84" s="130">
        <v>15342.5</v>
      </c>
      <c r="Z84" s="130">
        <v>15515.5</v>
      </c>
      <c r="AA84" s="12"/>
    </row>
    <row r="85" spans="1:27" x14ac:dyDescent="0.25">
      <c r="A85" s="9" t="s">
        <v>66</v>
      </c>
      <c r="B85" s="129">
        <v>46.4</v>
      </c>
      <c r="C85" s="129">
        <v>31.3</v>
      </c>
      <c r="D85" s="129">
        <v>104</v>
      </c>
      <c r="E85" s="118">
        <v>36.200000000000003</v>
      </c>
      <c r="F85" s="129">
        <v>52.2</v>
      </c>
      <c r="G85" s="129">
        <v>58</v>
      </c>
      <c r="H85" s="129">
        <v>65.900000000000006</v>
      </c>
      <c r="I85" s="129">
        <v>67.5</v>
      </c>
      <c r="J85" s="129">
        <v>80.8</v>
      </c>
      <c r="K85" s="62">
        <v>94.7</v>
      </c>
      <c r="L85" s="129">
        <v>127</v>
      </c>
      <c r="M85" s="62">
        <v>165.8</v>
      </c>
      <c r="N85" s="129">
        <v>160.69999999999999</v>
      </c>
      <c r="O85" s="129">
        <v>141.30000000000001</v>
      </c>
      <c r="P85" s="129">
        <v>172.2</v>
      </c>
      <c r="Q85" s="129">
        <v>209.1</v>
      </c>
      <c r="R85" s="129">
        <v>213.5</v>
      </c>
      <c r="S85" s="129">
        <v>187.1</v>
      </c>
      <c r="T85" s="131">
        <v>165.2</v>
      </c>
      <c r="U85" s="131">
        <v>177.1</v>
      </c>
      <c r="V85" s="131">
        <v>130.5</v>
      </c>
      <c r="W85" s="131">
        <v>220.8</v>
      </c>
      <c r="X85" s="131">
        <v>211.4</v>
      </c>
      <c r="Y85" s="131">
        <v>298.2</v>
      </c>
      <c r="Z85" s="131">
        <v>309.8</v>
      </c>
      <c r="AA85" s="12"/>
    </row>
    <row r="86" spans="1:27" x14ac:dyDescent="0.25">
      <c r="A86" s="9" t="s">
        <v>68</v>
      </c>
      <c r="B86" s="129">
        <v>46.9</v>
      </c>
      <c r="C86" s="129">
        <v>53.5</v>
      </c>
      <c r="D86" s="129">
        <v>36.700000000000003</v>
      </c>
      <c r="E86" s="118">
        <v>38.9</v>
      </c>
      <c r="F86" s="129">
        <v>25.3</v>
      </c>
      <c r="G86" s="129">
        <v>40.1</v>
      </c>
      <c r="H86" s="129">
        <v>39.5</v>
      </c>
      <c r="I86" s="129">
        <v>37.1</v>
      </c>
      <c r="J86" s="129">
        <v>50.1</v>
      </c>
      <c r="K86" s="62">
        <v>58.1</v>
      </c>
      <c r="L86" s="129">
        <v>61.4</v>
      </c>
      <c r="M86" s="62">
        <v>62.9</v>
      </c>
      <c r="N86" s="129">
        <v>66</v>
      </c>
      <c r="O86" s="129">
        <v>102.9</v>
      </c>
      <c r="P86" s="129">
        <v>105.9</v>
      </c>
      <c r="Q86" s="129">
        <v>172.4</v>
      </c>
      <c r="R86" s="129">
        <v>122.1</v>
      </c>
      <c r="S86" s="129">
        <v>172.5</v>
      </c>
      <c r="T86" s="131">
        <v>131.4</v>
      </c>
      <c r="U86" s="131">
        <v>175</v>
      </c>
      <c r="V86" s="131">
        <v>186.5</v>
      </c>
      <c r="W86" s="131">
        <v>138.4</v>
      </c>
      <c r="X86" s="131">
        <v>182.4</v>
      </c>
      <c r="Y86" s="131">
        <v>241.9</v>
      </c>
      <c r="Z86" s="131">
        <v>464.1</v>
      </c>
      <c r="AA86" s="12"/>
    </row>
    <row r="87" spans="1:27" x14ac:dyDescent="0.25">
      <c r="A87" s="9" t="s">
        <v>69</v>
      </c>
      <c r="B87" s="129">
        <v>188.9</v>
      </c>
      <c r="C87" s="129">
        <v>123.3</v>
      </c>
      <c r="D87" s="129">
        <v>154.5</v>
      </c>
      <c r="E87" s="118">
        <v>151.9</v>
      </c>
      <c r="F87" s="129">
        <v>166</v>
      </c>
      <c r="G87" s="129">
        <v>143.4</v>
      </c>
      <c r="H87" s="129">
        <v>177.2</v>
      </c>
      <c r="I87" s="129">
        <v>422</v>
      </c>
      <c r="J87" s="129">
        <v>259.7</v>
      </c>
      <c r="K87" s="62">
        <v>254.3</v>
      </c>
      <c r="L87" s="129">
        <v>212.3</v>
      </c>
      <c r="M87" s="62">
        <v>195.6</v>
      </c>
      <c r="N87" s="129">
        <v>229.9</v>
      </c>
      <c r="O87" s="129">
        <v>337.3</v>
      </c>
      <c r="P87" s="129">
        <v>385.9</v>
      </c>
      <c r="Q87" s="129">
        <v>404.5</v>
      </c>
      <c r="R87" s="129">
        <v>380.2</v>
      </c>
      <c r="S87" s="129">
        <v>381.6</v>
      </c>
      <c r="T87" s="131">
        <v>299.8</v>
      </c>
      <c r="U87" s="131">
        <v>385.7</v>
      </c>
      <c r="V87" s="131">
        <v>481.5</v>
      </c>
      <c r="W87" s="131">
        <v>422.4</v>
      </c>
      <c r="X87" s="131">
        <v>449.4</v>
      </c>
      <c r="Y87" s="131">
        <v>516.20000000000005</v>
      </c>
      <c r="Z87" s="131">
        <v>545.1</v>
      </c>
      <c r="AA87" s="12"/>
    </row>
    <row r="88" spans="1:27" x14ac:dyDescent="0.25">
      <c r="A88" s="9" t="s">
        <v>70</v>
      </c>
      <c r="B88" s="129">
        <v>597.20000000000005</v>
      </c>
      <c r="C88" s="129">
        <v>630.1</v>
      </c>
      <c r="D88" s="129">
        <v>569.1</v>
      </c>
      <c r="E88" s="118">
        <v>608.29999999999995</v>
      </c>
      <c r="F88" s="129">
        <v>478.3</v>
      </c>
      <c r="G88" s="129">
        <v>631.4</v>
      </c>
      <c r="H88" s="129">
        <v>586.1</v>
      </c>
      <c r="I88" s="129">
        <v>906.2</v>
      </c>
      <c r="J88" s="129">
        <v>1024.9000000000001</v>
      </c>
      <c r="K88" s="62">
        <v>1181.0999999999999</v>
      </c>
      <c r="L88" s="129">
        <v>1116.8</v>
      </c>
      <c r="M88" s="62">
        <v>1042.9000000000001</v>
      </c>
      <c r="N88" s="129">
        <v>1224.0999999999999</v>
      </c>
      <c r="O88" s="129">
        <v>1180.3</v>
      </c>
      <c r="P88" s="129">
        <v>1478.9</v>
      </c>
      <c r="Q88" s="129">
        <v>1474.8</v>
      </c>
      <c r="R88" s="129">
        <v>1483</v>
      </c>
      <c r="S88" s="129">
        <v>1033.7</v>
      </c>
      <c r="T88" s="131">
        <v>1298.5</v>
      </c>
      <c r="U88" s="131">
        <v>1234.9000000000001</v>
      </c>
      <c r="V88" s="131">
        <v>1340.5</v>
      </c>
      <c r="W88" s="131">
        <v>1358.9</v>
      </c>
      <c r="X88" s="131">
        <v>1391.7</v>
      </c>
      <c r="Y88" s="131">
        <v>1444.7</v>
      </c>
      <c r="Z88" s="131">
        <v>1416.7</v>
      </c>
      <c r="AA88" s="12"/>
    </row>
    <row r="89" spans="1:27" x14ac:dyDescent="0.25">
      <c r="A89" s="9" t="s">
        <v>72</v>
      </c>
      <c r="B89" s="129">
        <v>700.5</v>
      </c>
      <c r="C89" s="129">
        <v>571.4</v>
      </c>
      <c r="D89" s="129">
        <v>654.29999999999995</v>
      </c>
      <c r="E89" s="118">
        <v>794.6</v>
      </c>
      <c r="F89" s="129">
        <v>990.9</v>
      </c>
      <c r="G89" s="129">
        <v>1182.2</v>
      </c>
      <c r="H89" s="129">
        <v>1285.4000000000001</v>
      </c>
      <c r="I89" s="129">
        <v>1618.7</v>
      </c>
      <c r="J89" s="129">
        <v>1712.4</v>
      </c>
      <c r="K89" s="62">
        <v>1312.4</v>
      </c>
      <c r="L89" s="129">
        <v>1543.8</v>
      </c>
      <c r="M89" s="62">
        <v>1600.7</v>
      </c>
      <c r="N89" s="129">
        <v>1890.3</v>
      </c>
      <c r="O89" s="129">
        <v>1939.9</v>
      </c>
      <c r="P89" s="129">
        <v>2041.2</v>
      </c>
      <c r="Q89" s="129">
        <v>2315.8000000000002</v>
      </c>
      <c r="R89" s="129">
        <v>2717.7</v>
      </c>
      <c r="S89" s="129">
        <v>2109.8000000000002</v>
      </c>
      <c r="T89" s="131">
        <v>2147.1999999999998</v>
      </c>
      <c r="U89" s="131">
        <v>3617.6</v>
      </c>
      <c r="V89" s="131">
        <v>2811</v>
      </c>
      <c r="W89" s="131">
        <v>2135.1</v>
      </c>
      <c r="X89" s="131">
        <v>2500.6</v>
      </c>
      <c r="Y89" s="131">
        <v>2598.1999999999998</v>
      </c>
      <c r="Z89" s="131">
        <v>2529.9</v>
      </c>
      <c r="AA89" s="12"/>
    </row>
    <row r="90" spans="1:27" x14ac:dyDescent="0.25">
      <c r="A90" s="9" t="s">
        <v>73</v>
      </c>
      <c r="B90" s="129">
        <v>351</v>
      </c>
      <c r="C90" s="129">
        <v>283.7</v>
      </c>
      <c r="D90" s="129">
        <v>359.6</v>
      </c>
      <c r="E90" s="118">
        <v>366</v>
      </c>
      <c r="F90" s="129">
        <v>396</v>
      </c>
      <c r="G90" s="129">
        <v>430</v>
      </c>
      <c r="H90" s="129">
        <v>483.1</v>
      </c>
      <c r="I90" s="129">
        <v>815.7</v>
      </c>
      <c r="J90" s="129">
        <v>1067.7</v>
      </c>
      <c r="K90" s="62">
        <v>1066.0999999999999</v>
      </c>
      <c r="L90" s="129">
        <v>1025.3</v>
      </c>
      <c r="M90" s="62">
        <v>1175.8</v>
      </c>
      <c r="N90" s="129">
        <v>1363.1</v>
      </c>
      <c r="O90" s="129">
        <v>1430.6</v>
      </c>
      <c r="P90" s="129">
        <v>1191</v>
      </c>
      <c r="Q90" s="129">
        <v>1583.9</v>
      </c>
      <c r="R90" s="129">
        <v>1307.8</v>
      </c>
      <c r="S90" s="129">
        <v>1393.8</v>
      </c>
      <c r="T90" s="131">
        <v>1597</v>
      </c>
      <c r="U90" s="131">
        <v>1666.8</v>
      </c>
      <c r="V90" s="131">
        <v>1724.5</v>
      </c>
      <c r="W90" s="131">
        <v>1495.7</v>
      </c>
      <c r="X90" s="131">
        <v>1687.7</v>
      </c>
      <c r="Y90" s="131">
        <v>1986.8</v>
      </c>
      <c r="Z90" s="131">
        <v>2389.5</v>
      </c>
      <c r="AA90" s="12"/>
    </row>
    <row r="91" spans="1:27" x14ac:dyDescent="0.25">
      <c r="A91" s="9" t="s">
        <v>74</v>
      </c>
      <c r="B91" s="129">
        <v>554.70000000000005</v>
      </c>
      <c r="C91" s="129">
        <v>663.3</v>
      </c>
      <c r="D91" s="129">
        <v>799.5</v>
      </c>
      <c r="E91" s="118">
        <v>686.2</v>
      </c>
      <c r="F91" s="129">
        <v>787.4</v>
      </c>
      <c r="G91" s="129">
        <v>981.9</v>
      </c>
      <c r="H91" s="129">
        <v>1145.3</v>
      </c>
      <c r="I91" s="129">
        <v>1666.5</v>
      </c>
      <c r="J91" s="129">
        <v>1626.1</v>
      </c>
      <c r="K91" s="62">
        <v>1581.5</v>
      </c>
      <c r="L91" s="129">
        <v>1417.9</v>
      </c>
      <c r="M91" s="62">
        <v>1661</v>
      </c>
      <c r="N91" s="129">
        <v>1486.6</v>
      </c>
      <c r="O91" s="129">
        <v>1887.3</v>
      </c>
      <c r="P91" s="129">
        <v>1851.6</v>
      </c>
      <c r="Q91" s="129">
        <v>1733.1</v>
      </c>
      <c r="R91" s="129">
        <v>1489.5</v>
      </c>
      <c r="S91" s="129">
        <v>1497.9</v>
      </c>
      <c r="T91" s="131">
        <v>985.8</v>
      </c>
      <c r="U91" s="131">
        <v>1135.2</v>
      </c>
      <c r="V91" s="131">
        <v>1239.3</v>
      </c>
      <c r="W91" s="131">
        <v>1363.9</v>
      </c>
      <c r="X91" s="131">
        <v>1312.2</v>
      </c>
      <c r="Y91" s="131">
        <v>1234</v>
      </c>
      <c r="Z91" s="131">
        <v>1396.2</v>
      </c>
      <c r="AA91" s="12"/>
    </row>
    <row r="92" spans="1:27" x14ac:dyDescent="0.25">
      <c r="A92" s="9" t="s">
        <v>75</v>
      </c>
      <c r="B92" s="129">
        <v>730.1</v>
      </c>
      <c r="C92" s="129">
        <v>746.2</v>
      </c>
      <c r="D92" s="129">
        <v>687</v>
      </c>
      <c r="E92" s="118">
        <v>1025.9000000000001</v>
      </c>
      <c r="F92" s="129">
        <v>1181.9000000000001</v>
      </c>
      <c r="G92" s="129">
        <v>1131.0999999999999</v>
      </c>
      <c r="H92" s="129">
        <v>1930.5</v>
      </c>
      <c r="I92" s="129">
        <v>2426.1</v>
      </c>
      <c r="J92" s="129">
        <v>2584.5</v>
      </c>
      <c r="K92" s="62">
        <v>2429</v>
      </c>
      <c r="L92" s="129">
        <v>2447.3000000000002</v>
      </c>
      <c r="M92" s="62">
        <v>3338.4</v>
      </c>
      <c r="N92" s="129">
        <v>3114.7</v>
      </c>
      <c r="O92" s="129">
        <v>2904.3</v>
      </c>
      <c r="P92" s="129">
        <v>4124.8</v>
      </c>
      <c r="Q92" s="129">
        <v>4314.3999999999996</v>
      </c>
      <c r="R92" s="129">
        <v>3829.1</v>
      </c>
      <c r="S92" s="129">
        <v>4071.9</v>
      </c>
      <c r="T92" s="131">
        <v>3400.9</v>
      </c>
      <c r="U92" s="131">
        <v>3473.9</v>
      </c>
      <c r="V92" s="131">
        <v>4236</v>
      </c>
      <c r="W92" s="131">
        <v>3454.7</v>
      </c>
      <c r="X92" s="131">
        <v>3741.7</v>
      </c>
      <c r="Y92" s="131">
        <v>5091.6000000000004</v>
      </c>
      <c r="Z92" s="131">
        <v>4118.1000000000004</v>
      </c>
      <c r="AA92" s="12"/>
    </row>
    <row r="93" spans="1:27" x14ac:dyDescent="0.25">
      <c r="A93" s="9" t="s">
        <v>76</v>
      </c>
      <c r="B93" s="129">
        <v>595.6</v>
      </c>
      <c r="C93" s="129">
        <v>283.5</v>
      </c>
      <c r="D93" s="129">
        <v>320.89999999999998</v>
      </c>
      <c r="E93" s="129">
        <v>459</v>
      </c>
      <c r="F93" s="129">
        <v>687.8</v>
      </c>
      <c r="G93" s="129">
        <v>978.7</v>
      </c>
      <c r="H93" s="129">
        <v>1233.8</v>
      </c>
      <c r="I93" s="129">
        <v>1694.6</v>
      </c>
      <c r="J93" s="129">
        <v>1335.1</v>
      </c>
      <c r="K93" s="62">
        <v>975.4</v>
      </c>
      <c r="L93" s="129">
        <v>1092.5999999999999</v>
      </c>
      <c r="M93" s="62">
        <v>1203</v>
      </c>
      <c r="N93" s="129">
        <v>1130.8</v>
      </c>
      <c r="O93" s="129">
        <v>1211.7</v>
      </c>
      <c r="P93" s="129">
        <v>1284.5</v>
      </c>
      <c r="Q93" s="129">
        <v>1313.2</v>
      </c>
      <c r="R93" s="129">
        <v>1241.0999999999999</v>
      </c>
      <c r="S93" s="129">
        <v>720.6</v>
      </c>
      <c r="T93" s="131">
        <v>891.7</v>
      </c>
      <c r="U93" s="131">
        <v>881.4</v>
      </c>
      <c r="V93" s="131">
        <v>871.3</v>
      </c>
      <c r="W93" s="131">
        <v>1001.7</v>
      </c>
      <c r="X93" s="131">
        <v>1085.0999999999999</v>
      </c>
      <c r="Y93" s="131">
        <v>1107.4000000000001</v>
      </c>
      <c r="Z93" s="131">
        <v>1497.9</v>
      </c>
      <c r="AA93" s="12"/>
    </row>
    <row r="94" spans="1:27" x14ac:dyDescent="0.25">
      <c r="A94" s="9" t="s">
        <v>77</v>
      </c>
      <c r="B94" s="129">
        <v>302.89999999999998</v>
      </c>
      <c r="C94" s="129">
        <v>258.7</v>
      </c>
      <c r="D94" s="129">
        <v>294.5</v>
      </c>
      <c r="E94" s="118">
        <v>367.4</v>
      </c>
      <c r="F94" s="129">
        <v>435.2</v>
      </c>
      <c r="G94" s="129">
        <v>393.8</v>
      </c>
      <c r="H94" s="129">
        <v>533.1</v>
      </c>
      <c r="I94" s="129">
        <v>532.6</v>
      </c>
      <c r="J94" s="129">
        <v>751.4</v>
      </c>
      <c r="K94" s="62">
        <v>583.9</v>
      </c>
      <c r="L94" s="129">
        <v>540.4</v>
      </c>
      <c r="M94" s="62">
        <v>635.5</v>
      </c>
      <c r="N94" s="129">
        <v>677.9</v>
      </c>
      <c r="O94" s="129">
        <v>776.2</v>
      </c>
      <c r="P94" s="129">
        <v>967.2</v>
      </c>
      <c r="Q94" s="129">
        <v>1013.6</v>
      </c>
      <c r="R94" s="129">
        <v>698.5</v>
      </c>
      <c r="S94" s="129">
        <v>791.4</v>
      </c>
      <c r="T94" s="131">
        <v>750</v>
      </c>
      <c r="U94" s="131">
        <v>657.6</v>
      </c>
      <c r="V94" s="131">
        <v>545.20000000000005</v>
      </c>
      <c r="W94" s="131">
        <v>636.9</v>
      </c>
      <c r="X94" s="131">
        <v>509.9</v>
      </c>
      <c r="Y94" s="131">
        <v>823.5</v>
      </c>
      <c r="Z94" s="131">
        <v>848.3</v>
      </c>
      <c r="AA94" s="12"/>
    </row>
    <row r="95" spans="1:27" ht="18" x14ac:dyDescent="0.25">
      <c r="A95" s="8" t="s">
        <v>91</v>
      </c>
      <c r="B95" s="123">
        <v>1543.7</v>
      </c>
      <c r="C95" s="123">
        <v>1663.5</v>
      </c>
      <c r="D95" s="123">
        <v>1837.6</v>
      </c>
      <c r="E95" s="120">
        <v>2166.1</v>
      </c>
      <c r="F95" s="123">
        <v>1894.5</v>
      </c>
      <c r="G95" s="123">
        <v>2042</v>
      </c>
      <c r="H95" s="123">
        <v>2284.1999999999998</v>
      </c>
      <c r="I95" s="123">
        <v>3079.6</v>
      </c>
      <c r="J95" s="123">
        <v>3110.1000000000004</v>
      </c>
      <c r="K95" s="31">
        <f>SUM(K96:K106)</f>
        <v>3631.2999999999997</v>
      </c>
      <c r="L95" s="123">
        <v>3724.2</v>
      </c>
      <c r="M95" s="61">
        <v>4118.9000000000005</v>
      </c>
      <c r="N95" s="123">
        <v>5279</v>
      </c>
      <c r="O95" s="123">
        <v>4767.7000000000007</v>
      </c>
      <c r="P95" s="123">
        <v>5314.6</v>
      </c>
      <c r="Q95" s="123">
        <v>5023.3000000000011</v>
      </c>
      <c r="R95" s="123">
        <v>4550.9999999999991</v>
      </c>
      <c r="S95" s="123">
        <v>4674.8</v>
      </c>
      <c r="T95" s="123">
        <v>4200.8</v>
      </c>
      <c r="U95" s="130">
        <v>5050.8999999999996</v>
      </c>
      <c r="V95" s="130">
        <v>4671.8999999999996</v>
      </c>
      <c r="W95" s="130">
        <v>5121.8</v>
      </c>
      <c r="X95" s="130">
        <v>5797.9</v>
      </c>
      <c r="Y95" s="130">
        <v>7041.3</v>
      </c>
      <c r="Z95" s="130">
        <v>8047.9</v>
      </c>
      <c r="AA95" s="12"/>
    </row>
    <row r="96" spans="1:27" x14ac:dyDescent="0.25">
      <c r="A96" s="9" t="s">
        <v>67</v>
      </c>
      <c r="B96" s="129">
        <v>201.6</v>
      </c>
      <c r="C96" s="129">
        <v>211.5</v>
      </c>
      <c r="D96" s="129">
        <v>263.5</v>
      </c>
      <c r="E96" s="118">
        <v>248.6</v>
      </c>
      <c r="F96" s="129">
        <v>258.2</v>
      </c>
      <c r="G96" s="129">
        <v>244.4</v>
      </c>
      <c r="H96" s="129">
        <v>284.5</v>
      </c>
      <c r="I96" s="129">
        <v>361.6</v>
      </c>
      <c r="J96" s="129">
        <v>397.9</v>
      </c>
      <c r="K96" s="62">
        <v>384</v>
      </c>
      <c r="L96" s="129">
        <v>389.4</v>
      </c>
      <c r="M96" s="62">
        <v>490.7</v>
      </c>
      <c r="N96" s="129">
        <v>509</v>
      </c>
      <c r="O96" s="129">
        <v>507.3</v>
      </c>
      <c r="P96" s="129">
        <v>752.2</v>
      </c>
      <c r="Q96" s="129">
        <v>671.9</v>
      </c>
      <c r="R96" s="129">
        <v>474.3</v>
      </c>
      <c r="S96" s="129">
        <v>418.3</v>
      </c>
      <c r="T96" s="131">
        <v>406.9</v>
      </c>
      <c r="U96" s="131">
        <v>415</v>
      </c>
      <c r="V96" s="131">
        <v>480.1</v>
      </c>
      <c r="W96" s="131">
        <v>401.2</v>
      </c>
      <c r="X96" s="131">
        <v>358.4</v>
      </c>
      <c r="Y96" s="131">
        <v>748.2</v>
      </c>
      <c r="Z96" s="131">
        <v>716.9</v>
      </c>
      <c r="AA96" s="12"/>
    </row>
    <row r="97" spans="1:27" x14ac:dyDescent="0.25">
      <c r="A97" s="9" t="s">
        <v>78</v>
      </c>
      <c r="B97" s="129">
        <v>305</v>
      </c>
      <c r="C97" s="129">
        <v>438.3</v>
      </c>
      <c r="D97" s="129">
        <v>431</v>
      </c>
      <c r="E97" s="118">
        <v>575.79999999999995</v>
      </c>
      <c r="F97" s="129">
        <v>451.2</v>
      </c>
      <c r="G97" s="129">
        <v>418</v>
      </c>
      <c r="H97" s="129">
        <v>450.5</v>
      </c>
      <c r="I97" s="129">
        <v>569.6</v>
      </c>
      <c r="J97" s="129">
        <v>490.5</v>
      </c>
      <c r="K97" s="62">
        <v>524.70000000000005</v>
      </c>
      <c r="L97" s="129">
        <v>502.9</v>
      </c>
      <c r="M97" s="62">
        <v>505.1</v>
      </c>
      <c r="N97" s="129">
        <v>651.9</v>
      </c>
      <c r="O97" s="129">
        <v>654.6</v>
      </c>
      <c r="P97" s="129">
        <v>721.9</v>
      </c>
      <c r="Q97" s="129">
        <v>802.8</v>
      </c>
      <c r="R97" s="129">
        <v>879</v>
      </c>
      <c r="S97" s="129">
        <v>1033.7</v>
      </c>
      <c r="T97" s="131">
        <v>850.7</v>
      </c>
      <c r="U97" s="131">
        <v>915</v>
      </c>
      <c r="V97" s="131">
        <v>804.6</v>
      </c>
      <c r="W97" s="131">
        <v>818</v>
      </c>
      <c r="X97" s="131">
        <v>934.3</v>
      </c>
      <c r="Y97" s="131">
        <v>952.6</v>
      </c>
      <c r="Z97" s="131">
        <v>1115</v>
      </c>
      <c r="AA97" s="12"/>
    </row>
    <row r="98" spans="1:27" x14ac:dyDescent="0.25">
      <c r="A98" s="9" t="s">
        <v>71</v>
      </c>
      <c r="B98" s="129">
        <v>129.69999999999999</v>
      </c>
      <c r="C98" s="129">
        <v>172.3</v>
      </c>
      <c r="D98" s="129">
        <v>152.30000000000001</v>
      </c>
      <c r="E98" s="118">
        <v>176.7</v>
      </c>
      <c r="F98" s="129">
        <v>216.1</v>
      </c>
      <c r="G98" s="129">
        <v>221.8</v>
      </c>
      <c r="H98" s="129">
        <v>356.1</v>
      </c>
      <c r="I98" s="129">
        <v>458.8</v>
      </c>
      <c r="J98" s="129">
        <v>491.2</v>
      </c>
      <c r="K98" s="62">
        <v>515.9</v>
      </c>
      <c r="L98" s="129">
        <v>525.70000000000005</v>
      </c>
      <c r="M98" s="62">
        <v>415.1</v>
      </c>
      <c r="N98" s="129">
        <v>457.4</v>
      </c>
      <c r="O98" s="129">
        <v>527.6</v>
      </c>
      <c r="P98" s="129">
        <v>560.9</v>
      </c>
      <c r="Q98" s="129">
        <v>412</v>
      </c>
      <c r="R98" s="129">
        <v>407.3</v>
      </c>
      <c r="S98" s="129">
        <v>421.9</v>
      </c>
      <c r="T98" s="131">
        <v>239.7</v>
      </c>
      <c r="U98" s="131">
        <v>313.10000000000002</v>
      </c>
      <c r="V98" s="131">
        <v>291.2</v>
      </c>
      <c r="W98" s="131">
        <v>281.8</v>
      </c>
      <c r="X98" s="131">
        <v>387.4</v>
      </c>
      <c r="Y98" s="131">
        <v>558.79999999999995</v>
      </c>
      <c r="Z98" s="131">
        <v>601</v>
      </c>
      <c r="AA98" s="12"/>
    </row>
    <row r="99" spans="1:27" x14ac:dyDescent="0.25">
      <c r="A99" s="9" t="s">
        <v>79</v>
      </c>
      <c r="B99" s="129">
        <v>30</v>
      </c>
      <c r="C99" s="129">
        <v>15.6</v>
      </c>
      <c r="D99" s="129">
        <v>27.5</v>
      </c>
      <c r="E99" s="118">
        <v>146.6</v>
      </c>
      <c r="F99" s="129">
        <v>37.5</v>
      </c>
      <c r="G99" s="129">
        <v>58.7</v>
      </c>
      <c r="H99" s="129">
        <v>46.9</v>
      </c>
      <c r="I99" s="129">
        <v>81.900000000000006</v>
      </c>
      <c r="J99" s="129">
        <v>82.9</v>
      </c>
      <c r="K99" s="62">
        <v>99.8</v>
      </c>
      <c r="L99" s="129">
        <v>116.2</v>
      </c>
      <c r="M99" s="62">
        <v>130.69999999999999</v>
      </c>
      <c r="N99" s="129">
        <v>149</v>
      </c>
      <c r="O99" s="129">
        <v>143.30000000000001</v>
      </c>
      <c r="P99" s="129">
        <v>202.5</v>
      </c>
      <c r="Q99" s="129">
        <v>161.9</v>
      </c>
      <c r="R99" s="129">
        <v>153.80000000000001</v>
      </c>
      <c r="S99" s="129">
        <v>136.30000000000001</v>
      </c>
      <c r="T99" s="131">
        <v>105</v>
      </c>
      <c r="U99" s="131">
        <v>129.4</v>
      </c>
      <c r="V99" s="131">
        <v>158.9</v>
      </c>
      <c r="W99" s="131">
        <v>145.1</v>
      </c>
      <c r="X99" s="131">
        <v>149.4</v>
      </c>
      <c r="Y99" s="131">
        <v>163.1</v>
      </c>
      <c r="Z99" s="131">
        <v>148.9</v>
      </c>
      <c r="AA99" s="12"/>
    </row>
    <row r="100" spans="1:27" x14ac:dyDescent="0.25">
      <c r="A100" s="9" t="s">
        <v>80</v>
      </c>
      <c r="B100" s="129">
        <v>265.10000000000002</v>
      </c>
      <c r="C100" s="129">
        <v>301</v>
      </c>
      <c r="D100" s="129">
        <v>263.8</v>
      </c>
      <c r="E100" s="118">
        <v>325.39999999999998</v>
      </c>
      <c r="F100" s="129">
        <v>306.2</v>
      </c>
      <c r="G100" s="129">
        <v>364.6</v>
      </c>
      <c r="H100" s="129">
        <v>425.4</v>
      </c>
      <c r="I100" s="129">
        <v>554.29999999999995</v>
      </c>
      <c r="J100" s="129">
        <v>479.6</v>
      </c>
      <c r="K100" s="62">
        <v>587.4</v>
      </c>
      <c r="L100" s="129">
        <v>738.4</v>
      </c>
      <c r="M100" s="62">
        <v>855.8</v>
      </c>
      <c r="N100" s="129">
        <v>1536.1</v>
      </c>
      <c r="O100" s="129">
        <v>1062.5999999999999</v>
      </c>
      <c r="P100" s="129">
        <v>1042.4000000000001</v>
      </c>
      <c r="Q100" s="129">
        <v>765</v>
      </c>
      <c r="R100" s="129">
        <v>718</v>
      </c>
      <c r="S100" s="129">
        <v>761.2</v>
      </c>
      <c r="T100" s="131">
        <v>1054.5999999999999</v>
      </c>
      <c r="U100" s="131">
        <v>1198.5</v>
      </c>
      <c r="V100" s="131">
        <v>1168.5</v>
      </c>
      <c r="W100" s="131">
        <v>1577</v>
      </c>
      <c r="X100" s="131">
        <v>1735.6</v>
      </c>
      <c r="Y100" s="131">
        <v>1965.3</v>
      </c>
      <c r="Z100" s="131">
        <v>2108.8000000000002</v>
      </c>
      <c r="AA100" s="12"/>
    </row>
    <row r="101" spans="1:27" x14ac:dyDescent="0.25">
      <c r="A101" s="9" t="s">
        <v>81</v>
      </c>
      <c r="B101" s="129">
        <v>274.7</v>
      </c>
      <c r="C101" s="129">
        <v>238.3</v>
      </c>
      <c r="D101" s="129">
        <v>371.4</v>
      </c>
      <c r="E101" s="118">
        <v>304.3</v>
      </c>
      <c r="F101" s="129">
        <v>320.3</v>
      </c>
      <c r="G101" s="129">
        <v>324.7</v>
      </c>
      <c r="H101" s="129">
        <v>310.5</v>
      </c>
      <c r="I101" s="129">
        <v>447.9</v>
      </c>
      <c r="J101" s="129">
        <v>450.9</v>
      </c>
      <c r="K101" s="62">
        <v>696.4</v>
      </c>
      <c r="L101" s="129">
        <v>623.1</v>
      </c>
      <c r="M101" s="62">
        <v>700.4</v>
      </c>
      <c r="N101" s="129">
        <v>829.6</v>
      </c>
      <c r="O101" s="129">
        <v>677.8</v>
      </c>
      <c r="P101" s="129">
        <v>789.4</v>
      </c>
      <c r="Q101" s="129">
        <v>919.7</v>
      </c>
      <c r="R101" s="129">
        <v>689.5</v>
      </c>
      <c r="S101" s="129">
        <v>712.6</v>
      </c>
      <c r="T101" s="131">
        <v>558.29999999999995</v>
      </c>
      <c r="U101" s="131">
        <v>743.1</v>
      </c>
      <c r="V101" s="131">
        <v>577.9</v>
      </c>
      <c r="W101" s="131">
        <v>617</v>
      </c>
      <c r="X101" s="131">
        <v>635.9</v>
      </c>
      <c r="Y101" s="131">
        <v>858.1</v>
      </c>
      <c r="Z101" s="131">
        <v>935.2</v>
      </c>
      <c r="AA101" s="12"/>
    </row>
    <row r="102" spans="1:27" x14ac:dyDescent="0.25">
      <c r="A102" s="9" t="s">
        <v>82</v>
      </c>
      <c r="B102" s="129">
        <v>209.9</v>
      </c>
      <c r="C102" s="129">
        <v>176</v>
      </c>
      <c r="D102" s="129">
        <v>201.8</v>
      </c>
      <c r="E102" s="118">
        <v>224.7</v>
      </c>
      <c r="F102" s="129">
        <v>159.30000000000001</v>
      </c>
      <c r="G102" s="129">
        <v>229.9</v>
      </c>
      <c r="H102" s="129">
        <v>224</v>
      </c>
      <c r="I102" s="129">
        <v>327.60000000000002</v>
      </c>
      <c r="J102" s="129">
        <v>300</v>
      </c>
      <c r="K102" s="62">
        <v>268.39999999999998</v>
      </c>
      <c r="L102" s="129">
        <v>280.7</v>
      </c>
      <c r="M102" s="62">
        <v>447.6</v>
      </c>
      <c r="N102" s="129">
        <v>475.8</v>
      </c>
      <c r="O102" s="129">
        <v>556.9</v>
      </c>
      <c r="P102" s="129">
        <v>489.5</v>
      </c>
      <c r="Q102" s="129">
        <v>532.1</v>
      </c>
      <c r="R102" s="129">
        <v>392.5</v>
      </c>
      <c r="S102" s="129">
        <v>318.3</v>
      </c>
      <c r="T102" s="129">
        <v>306.39999999999998</v>
      </c>
      <c r="U102" s="131">
        <v>457.6</v>
      </c>
      <c r="V102" s="131">
        <v>281</v>
      </c>
      <c r="W102" s="131">
        <v>403.2</v>
      </c>
      <c r="X102" s="131">
        <v>688.7</v>
      </c>
      <c r="Y102" s="131">
        <v>899.1</v>
      </c>
      <c r="Z102" s="131">
        <v>862.6</v>
      </c>
      <c r="AA102" s="12"/>
    </row>
    <row r="103" spans="1:27" x14ac:dyDescent="0.25">
      <c r="A103" s="9" t="s">
        <v>83</v>
      </c>
      <c r="B103" s="129">
        <v>7.9</v>
      </c>
      <c r="C103" s="129">
        <v>24.3</v>
      </c>
      <c r="D103" s="129">
        <v>11</v>
      </c>
      <c r="E103" s="118">
        <v>14.9</v>
      </c>
      <c r="F103" s="129">
        <v>8</v>
      </c>
      <c r="G103" s="129">
        <v>10.6</v>
      </c>
      <c r="H103" s="129">
        <v>24.6</v>
      </c>
      <c r="I103" s="129">
        <v>22.4</v>
      </c>
      <c r="J103" s="129">
        <v>30.8</v>
      </c>
      <c r="K103" s="62">
        <v>40.9</v>
      </c>
      <c r="L103" s="129">
        <v>60.4</v>
      </c>
      <c r="M103" s="62">
        <v>52.3</v>
      </c>
      <c r="N103" s="129">
        <v>165.3</v>
      </c>
      <c r="O103" s="129">
        <v>45.1</v>
      </c>
      <c r="P103" s="129">
        <v>27.3</v>
      </c>
      <c r="Q103" s="129">
        <v>44.8</v>
      </c>
      <c r="R103" s="129">
        <v>51</v>
      </c>
      <c r="S103" s="129">
        <v>33.1</v>
      </c>
      <c r="T103" s="131">
        <v>17.100000000000001</v>
      </c>
      <c r="U103" s="131">
        <v>47.8</v>
      </c>
      <c r="V103" s="131">
        <v>48.2</v>
      </c>
      <c r="W103" s="131">
        <v>29.4</v>
      </c>
      <c r="X103" s="131">
        <v>52.1</v>
      </c>
      <c r="Y103" s="131">
        <v>62.8</v>
      </c>
      <c r="Z103" s="131">
        <v>682.1</v>
      </c>
      <c r="AA103" s="12"/>
    </row>
    <row r="104" spans="1:27" x14ac:dyDescent="0.25">
      <c r="A104" s="9" t="s">
        <v>84</v>
      </c>
      <c r="B104" s="129">
        <v>103.9</v>
      </c>
      <c r="C104" s="129">
        <v>54.3</v>
      </c>
      <c r="D104" s="129">
        <v>53.7</v>
      </c>
      <c r="E104" s="118">
        <v>72.8</v>
      </c>
      <c r="F104" s="129">
        <v>83.4</v>
      </c>
      <c r="G104" s="129">
        <v>83.5</v>
      </c>
      <c r="H104" s="129">
        <v>99.7</v>
      </c>
      <c r="I104" s="129">
        <v>170.7</v>
      </c>
      <c r="J104" s="129">
        <v>253.8</v>
      </c>
      <c r="K104" s="62">
        <v>391.2</v>
      </c>
      <c r="L104" s="129">
        <v>372.4</v>
      </c>
      <c r="M104" s="62">
        <v>399.6</v>
      </c>
      <c r="N104" s="129">
        <v>391.5</v>
      </c>
      <c r="O104" s="129">
        <v>483.1</v>
      </c>
      <c r="P104" s="129">
        <v>574.79999999999995</v>
      </c>
      <c r="Q104" s="129">
        <v>602.6</v>
      </c>
      <c r="R104" s="129">
        <v>630.4</v>
      </c>
      <c r="S104" s="129">
        <v>746.8</v>
      </c>
      <c r="T104" s="131">
        <v>619.4</v>
      </c>
      <c r="U104" s="131">
        <v>783.2</v>
      </c>
      <c r="V104" s="131">
        <v>826</v>
      </c>
      <c r="W104" s="131">
        <v>805.5</v>
      </c>
      <c r="X104" s="131">
        <v>814.2</v>
      </c>
      <c r="Y104" s="131">
        <v>781.6</v>
      </c>
      <c r="Z104" s="131">
        <v>797.1</v>
      </c>
      <c r="AA104" s="12"/>
    </row>
    <row r="105" spans="1:27" ht="19.5" x14ac:dyDescent="0.25">
      <c r="A105" s="9" t="s">
        <v>85</v>
      </c>
      <c r="B105" s="129">
        <v>10.4</v>
      </c>
      <c r="C105" s="129">
        <v>13.3</v>
      </c>
      <c r="D105" s="129">
        <v>33.6</v>
      </c>
      <c r="E105" s="118">
        <v>31.6</v>
      </c>
      <c r="F105" s="129">
        <v>23.1</v>
      </c>
      <c r="G105" s="129">
        <v>24.5</v>
      </c>
      <c r="H105" s="129">
        <v>44.6</v>
      </c>
      <c r="I105" s="129">
        <v>72.3</v>
      </c>
      <c r="J105" s="129">
        <v>129.80000000000001</v>
      </c>
      <c r="K105" s="62">
        <v>110.9</v>
      </c>
      <c r="L105" s="129">
        <v>113</v>
      </c>
      <c r="M105" s="62">
        <v>117.1</v>
      </c>
      <c r="N105" s="129">
        <v>109.9</v>
      </c>
      <c r="O105" s="129">
        <v>102.3</v>
      </c>
      <c r="P105" s="129">
        <v>149.80000000000001</v>
      </c>
      <c r="Q105" s="129">
        <v>107.5</v>
      </c>
      <c r="R105" s="129">
        <v>152.19999999999999</v>
      </c>
      <c r="S105" s="129">
        <v>84.8</v>
      </c>
      <c r="T105" s="131">
        <v>37</v>
      </c>
      <c r="U105" s="131">
        <v>35.9</v>
      </c>
      <c r="V105" s="131">
        <v>26.6</v>
      </c>
      <c r="W105" s="131">
        <v>38.9</v>
      </c>
      <c r="X105" s="131">
        <v>34.5</v>
      </c>
      <c r="Y105" s="131">
        <v>41</v>
      </c>
      <c r="Z105" s="131">
        <v>63.5</v>
      </c>
      <c r="AA105" s="12"/>
    </row>
    <row r="106" spans="1:27" ht="15.75" thickBot="1" x14ac:dyDescent="0.3">
      <c r="A106" s="71" t="s">
        <v>86</v>
      </c>
      <c r="B106" s="128">
        <v>5.5</v>
      </c>
      <c r="C106" s="128">
        <v>18.600000000000001</v>
      </c>
      <c r="D106" s="128">
        <v>28</v>
      </c>
      <c r="E106" s="127">
        <v>44.7</v>
      </c>
      <c r="F106" s="128">
        <v>31.2</v>
      </c>
      <c r="G106" s="128">
        <v>61.3</v>
      </c>
      <c r="H106" s="128">
        <v>17.399999999999999</v>
      </c>
      <c r="I106" s="128">
        <v>12.5</v>
      </c>
      <c r="J106" s="128">
        <v>2.7</v>
      </c>
      <c r="K106" s="59">
        <v>11.7</v>
      </c>
      <c r="L106" s="128">
        <v>2</v>
      </c>
      <c r="M106" s="59">
        <v>4.5</v>
      </c>
      <c r="N106" s="128">
        <v>3.5</v>
      </c>
      <c r="O106" s="128">
        <v>7.1</v>
      </c>
      <c r="P106" s="128">
        <v>3.9</v>
      </c>
      <c r="Q106" s="128">
        <v>3</v>
      </c>
      <c r="R106" s="128">
        <v>3</v>
      </c>
      <c r="S106" s="128">
        <v>7.8</v>
      </c>
      <c r="T106" s="132">
        <v>5.6</v>
      </c>
      <c r="U106" s="132">
        <v>12.4</v>
      </c>
      <c r="V106" s="132">
        <v>8.8000000000000007</v>
      </c>
      <c r="W106" s="132">
        <v>4.8</v>
      </c>
      <c r="X106" s="132">
        <v>7.4</v>
      </c>
      <c r="Y106" s="132">
        <v>10.6</v>
      </c>
      <c r="Z106" s="132">
        <v>16.7</v>
      </c>
      <c r="AA106" s="12"/>
    </row>
    <row r="107" spans="1:2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T107" s="12"/>
      <c r="V107" s="12"/>
      <c r="W107" s="12"/>
      <c r="Z107" s="12"/>
      <c r="AA107" s="12"/>
    </row>
  </sheetData>
  <mergeCells count="4">
    <mergeCell ref="A5:S5"/>
    <mergeCell ref="A2:Z2"/>
    <mergeCell ref="A3:Z3"/>
    <mergeCell ref="A4:Z4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12"/>
  <sheetViews>
    <sheetView zoomScale="80" zoomScaleNormal="80" workbookViewId="0">
      <pane ySplit="8" topLeftCell="A9" activePane="bottomLeft" state="frozen"/>
      <selection sqref="A1:T1"/>
      <selection pane="bottomLeft" activeCell="D1" sqref="D1"/>
    </sheetView>
  </sheetViews>
  <sheetFormatPr defaultColWidth="9.140625" defaultRowHeight="15" x14ac:dyDescent="0.25"/>
  <cols>
    <col min="1" max="1" width="18.5703125" style="1" customWidth="1"/>
    <col min="2" max="13" width="9.140625" style="1"/>
    <col min="14" max="14" width="9.85546875" style="1" customWidth="1"/>
    <col min="15" max="24" width="9.140625" style="1"/>
    <col min="25" max="25" width="9.140625" style="60"/>
    <col min="26" max="16384" width="9.140625" style="1"/>
  </cols>
  <sheetData>
    <row r="1" spans="1:26" ht="30.75" customHeight="1" x14ac:dyDescent="0.25"/>
    <row r="2" spans="1:26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5">
      <c r="A5" s="35" t="s">
        <v>213</v>
      </c>
      <c r="B5" s="35"/>
      <c r="C5" s="35"/>
      <c r="D5" s="35"/>
      <c r="E5" s="35"/>
      <c r="F5" s="35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12"/>
      <c r="U5" s="12"/>
      <c r="V5" s="12"/>
      <c r="W5" s="12"/>
      <c r="X5" s="12"/>
      <c r="Z5" s="12"/>
    </row>
    <row r="6" spans="1:26" x14ac:dyDescent="0.25">
      <c r="A6" s="35" t="s">
        <v>214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spans="1:26" s="3" customFormat="1" ht="10.5" thickBot="1" x14ac:dyDescent="0.25">
      <c r="A7" s="203" t="s">
        <v>187</v>
      </c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203"/>
      <c r="M7" s="203"/>
      <c r="N7" s="203"/>
      <c r="O7" s="60"/>
      <c r="P7" s="60"/>
      <c r="Q7" s="60"/>
      <c r="R7" s="60"/>
      <c r="S7" s="60"/>
      <c r="T7" s="141"/>
      <c r="U7" s="141"/>
      <c r="V7" s="141"/>
      <c r="W7" s="141"/>
      <c r="X7" s="141"/>
      <c r="Y7" s="60"/>
      <c r="Z7" s="141"/>
    </row>
    <row r="8" spans="1:26" s="3" customFormat="1" ht="13.5" customHeight="1" thickBot="1" x14ac:dyDescent="0.2">
      <c r="A8" s="28"/>
      <c r="B8" s="2">
        <v>2000</v>
      </c>
      <c r="C8" s="2">
        <v>2001</v>
      </c>
      <c r="D8" s="2">
        <v>2002</v>
      </c>
      <c r="E8" s="2">
        <v>2003</v>
      </c>
      <c r="F8" s="2">
        <v>2004</v>
      </c>
      <c r="G8" s="2">
        <v>2005</v>
      </c>
      <c r="H8" s="2">
        <v>2006</v>
      </c>
      <c r="I8" s="2">
        <v>2007</v>
      </c>
      <c r="J8" s="2">
        <v>2008</v>
      </c>
      <c r="K8" s="2">
        <v>2009</v>
      </c>
      <c r="L8" s="2">
        <v>2010</v>
      </c>
      <c r="M8" s="2">
        <v>2011</v>
      </c>
      <c r="N8" s="2">
        <v>2012</v>
      </c>
      <c r="O8" s="2">
        <v>2013</v>
      </c>
      <c r="P8" s="2">
        <v>2014</v>
      </c>
      <c r="Q8" s="2">
        <v>2015</v>
      </c>
      <c r="R8" s="2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s="3" customFormat="1" ht="9" x14ac:dyDescent="0.15">
      <c r="A9" s="29" t="s">
        <v>184</v>
      </c>
      <c r="B9" s="22">
        <v>30295.8</v>
      </c>
      <c r="C9" s="22">
        <v>31703.200000000001</v>
      </c>
      <c r="D9" s="22">
        <v>33832.199999999997</v>
      </c>
      <c r="E9" s="22">
        <v>36449.300000000003</v>
      </c>
      <c r="F9" s="22">
        <v>41040.1</v>
      </c>
      <c r="G9" s="22">
        <v>43559.5</v>
      </c>
      <c r="H9" s="22">
        <v>50552.1</v>
      </c>
      <c r="I9" s="22">
        <v>61221.3</v>
      </c>
      <c r="J9" s="22">
        <v>64058.400000000001</v>
      </c>
      <c r="K9" s="22">
        <v>59891.6</v>
      </c>
      <c r="L9" s="22">
        <v>58430.7</v>
      </c>
      <c r="M9" s="22">
        <v>62264.6</v>
      </c>
      <c r="N9" s="22">
        <v>65741.509999999995</v>
      </c>
      <c r="O9" s="22">
        <v>70484.899999999994</v>
      </c>
      <c r="P9" s="22">
        <v>84191.4</v>
      </c>
      <c r="Q9" s="22">
        <v>85349.6</v>
      </c>
      <c r="R9" s="22">
        <v>80240.100000000006</v>
      </c>
      <c r="S9" s="27">
        <v>79223.899999999994</v>
      </c>
      <c r="T9" s="177">
        <v>75657.7</v>
      </c>
      <c r="U9" s="115">
        <v>82041.8</v>
      </c>
      <c r="V9" s="115">
        <v>82184.5</v>
      </c>
      <c r="W9" s="115">
        <v>92560.373999999996</v>
      </c>
      <c r="X9" s="115">
        <v>102712.69100000001</v>
      </c>
      <c r="Y9" s="105">
        <v>110438.45600000001</v>
      </c>
      <c r="Z9" s="105">
        <v>107767.526</v>
      </c>
    </row>
    <row r="10" spans="1:26" s="3" customFormat="1" ht="18" x14ac:dyDescent="0.15">
      <c r="A10" s="8" t="s">
        <v>92</v>
      </c>
      <c r="B10" s="22">
        <v>10180.1</v>
      </c>
      <c r="C10" s="22">
        <v>10611.2</v>
      </c>
      <c r="D10" s="22">
        <v>11929.5</v>
      </c>
      <c r="E10" s="22">
        <v>13297.3</v>
      </c>
      <c r="F10" s="22">
        <v>15297.1</v>
      </c>
      <c r="G10" s="22">
        <v>15257.3</v>
      </c>
      <c r="H10" s="22">
        <v>17344.7</v>
      </c>
      <c r="I10" s="22">
        <v>19894</v>
      </c>
      <c r="J10" s="22">
        <v>19134.2</v>
      </c>
      <c r="K10" s="22">
        <v>18893.400000000001</v>
      </c>
      <c r="L10" s="22">
        <v>17461.3</v>
      </c>
      <c r="M10" s="22">
        <v>18064</v>
      </c>
      <c r="N10" s="22">
        <v>18178.53</v>
      </c>
      <c r="O10" s="22">
        <v>20254.8</v>
      </c>
      <c r="P10" s="22">
        <v>24547.200000000001</v>
      </c>
      <c r="Q10" s="22">
        <v>25550.3</v>
      </c>
      <c r="R10" s="22">
        <v>23982.2</v>
      </c>
      <c r="S10" s="22">
        <v>24284.9</v>
      </c>
      <c r="T10" s="177">
        <v>23434.5</v>
      </c>
      <c r="U10" s="140">
        <v>25741.5</v>
      </c>
      <c r="V10" s="105">
        <v>25533.3</v>
      </c>
      <c r="W10" s="105">
        <v>29198.47</v>
      </c>
      <c r="X10" s="105">
        <v>32877.606</v>
      </c>
      <c r="Y10" s="105">
        <v>32964.146000000001</v>
      </c>
      <c r="Z10" s="105">
        <v>30271.316999999999</v>
      </c>
    </row>
    <row r="11" spans="1:26" s="3" customFormat="1" ht="9.75" x14ac:dyDescent="0.2">
      <c r="A11" s="9" t="s">
        <v>1</v>
      </c>
      <c r="B11" s="21">
        <v>703.7</v>
      </c>
      <c r="C11" s="21">
        <v>595.4</v>
      </c>
      <c r="D11" s="21">
        <v>663.1</v>
      </c>
      <c r="E11" s="21">
        <v>671.2</v>
      </c>
      <c r="F11" s="21">
        <v>807.4</v>
      </c>
      <c r="G11" s="21">
        <v>830.8</v>
      </c>
      <c r="H11" s="21">
        <v>938.8</v>
      </c>
      <c r="I11" s="21">
        <v>1064</v>
      </c>
      <c r="J11" s="21">
        <v>1112.2</v>
      </c>
      <c r="K11" s="21">
        <v>1097.3</v>
      </c>
      <c r="L11" s="21">
        <v>1100.4000000000001</v>
      </c>
      <c r="M11" s="21">
        <v>1148.2</v>
      </c>
      <c r="N11" s="21">
        <v>1215.1500000000001</v>
      </c>
      <c r="O11" s="21">
        <v>1294.5999999999999</v>
      </c>
      <c r="P11" s="21">
        <v>1469.2</v>
      </c>
      <c r="Q11" s="21">
        <v>1554.9</v>
      </c>
      <c r="R11" s="21">
        <v>1350.1</v>
      </c>
      <c r="S11" s="21">
        <v>1300.5</v>
      </c>
      <c r="T11" s="178">
        <v>1215.5</v>
      </c>
      <c r="U11" s="142">
        <v>1260.4000000000001</v>
      </c>
      <c r="V11" s="142">
        <v>1148.5999999999999</v>
      </c>
      <c r="W11" s="142">
        <v>1165.183</v>
      </c>
      <c r="X11" s="142">
        <v>840.6</v>
      </c>
      <c r="Y11" s="142">
        <v>959.23</v>
      </c>
      <c r="Z11" s="142">
        <v>853.19899999999996</v>
      </c>
    </row>
    <row r="12" spans="1:26" s="3" customFormat="1" ht="9.75" x14ac:dyDescent="0.2">
      <c r="A12" s="9" t="s">
        <v>2</v>
      </c>
      <c r="B12" s="21">
        <v>225.3</v>
      </c>
      <c r="C12" s="21">
        <v>236.9</v>
      </c>
      <c r="D12" s="21">
        <v>241.7</v>
      </c>
      <c r="E12" s="21">
        <v>221.8</v>
      </c>
      <c r="F12" s="21">
        <v>229</v>
      </c>
      <c r="G12" s="21">
        <v>197.6</v>
      </c>
      <c r="H12" s="21">
        <v>246.3</v>
      </c>
      <c r="I12" s="21">
        <v>298.5</v>
      </c>
      <c r="J12" s="21">
        <v>321.7</v>
      </c>
      <c r="K12" s="21">
        <v>352.9</v>
      </c>
      <c r="L12" s="21">
        <v>390.9</v>
      </c>
      <c r="M12" s="21">
        <v>421.4</v>
      </c>
      <c r="N12" s="21">
        <v>453.02</v>
      </c>
      <c r="O12" s="21">
        <v>526.79999999999995</v>
      </c>
      <c r="P12" s="21">
        <v>550.70000000000005</v>
      </c>
      <c r="Q12" s="21">
        <v>644.29999999999995</v>
      </c>
      <c r="R12" s="21">
        <v>665.1</v>
      </c>
      <c r="S12" s="21">
        <v>558.29999999999995</v>
      </c>
      <c r="T12" s="178">
        <v>403.1</v>
      </c>
      <c r="U12" s="142">
        <v>407.1</v>
      </c>
      <c r="V12" s="142">
        <v>426.7</v>
      </c>
      <c r="W12" s="142">
        <v>451.47</v>
      </c>
      <c r="X12" s="142">
        <v>485.88900000000001</v>
      </c>
      <c r="Y12" s="142">
        <v>568.64300000000003</v>
      </c>
      <c r="Z12" s="142">
        <v>609.601</v>
      </c>
    </row>
    <row r="13" spans="1:26" s="3" customFormat="1" ht="9.75" x14ac:dyDescent="0.2">
      <c r="A13" s="9" t="s">
        <v>3</v>
      </c>
      <c r="B13" s="21">
        <v>280.60000000000002</v>
      </c>
      <c r="C13" s="21">
        <v>246</v>
      </c>
      <c r="D13" s="21">
        <v>253.3</v>
      </c>
      <c r="E13" s="21">
        <v>279.39999999999998</v>
      </c>
      <c r="F13" s="21">
        <v>324.3</v>
      </c>
      <c r="G13" s="21">
        <v>326.89999999999998</v>
      </c>
      <c r="H13" s="21">
        <v>341.3</v>
      </c>
      <c r="I13" s="21">
        <v>376</v>
      </c>
      <c r="J13" s="21">
        <v>419.4</v>
      </c>
      <c r="K13" s="21">
        <v>451</v>
      </c>
      <c r="L13" s="21">
        <v>480.9</v>
      </c>
      <c r="M13" s="21">
        <v>437.6</v>
      </c>
      <c r="N13" s="21">
        <v>507.79</v>
      </c>
      <c r="O13" s="21">
        <v>518.9</v>
      </c>
      <c r="P13" s="21">
        <v>606</v>
      </c>
      <c r="Q13" s="21">
        <v>646.70000000000005</v>
      </c>
      <c r="R13" s="21">
        <v>655.7</v>
      </c>
      <c r="S13" s="21">
        <v>695.4</v>
      </c>
      <c r="T13" s="178">
        <v>652.79999999999995</v>
      </c>
      <c r="U13" s="142">
        <v>745.4</v>
      </c>
      <c r="V13" s="142">
        <v>726.2</v>
      </c>
      <c r="W13" s="142">
        <v>828.74900000000002</v>
      </c>
      <c r="X13" s="142">
        <v>1183.086</v>
      </c>
      <c r="Y13" s="142">
        <v>1145.3889999999999</v>
      </c>
      <c r="Z13" s="142">
        <v>1027.537</v>
      </c>
    </row>
    <row r="14" spans="1:26" s="3" customFormat="1" ht="9.75" x14ac:dyDescent="0.2">
      <c r="A14" s="9" t="s">
        <v>4</v>
      </c>
      <c r="B14" s="21">
        <v>568.70000000000005</v>
      </c>
      <c r="C14" s="21">
        <v>584.6</v>
      </c>
      <c r="D14" s="21">
        <v>652.79999999999995</v>
      </c>
      <c r="E14" s="21">
        <v>750.2</v>
      </c>
      <c r="F14" s="21">
        <v>702.5</v>
      </c>
      <c r="G14" s="21">
        <v>784.4</v>
      </c>
      <c r="H14" s="21">
        <v>854.3</v>
      </c>
      <c r="I14" s="21">
        <v>974.4</v>
      </c>
      <c r="J14" s="21">
        <v>1120.5</v>
      </c>
      <c r="K14" s="21">
        <v>887.7</v>
      </c>
      <c r="L14" s="21">
        <v>1049.7</v>
      </c>
      <c r="M14" s="21">
        <v>996.2</v>
      </c>
      <c r="N14" s="21">
        <v>1110.3699999999999</v>
      </c>
      <c r="O14" s="21">
        <v>1348.7</v>
      </c>
      <c r="P14" s="21">
        <v>1572.9</v>
      </c>
      <c r="Q14" s="21">
        <v>1626.9</v>
      </c>
      <c r="R14" s="21">
        <v>1679</v>
      </c>
      <c r="S14" s="21">
        <v>1687.3</v>
      </c>
      <c r="T14" s="178">
        <v>1691.1</v>
      </c>
      <c r="U14" s="142">
        <v>1878.9</v>
      </c>
      <c r="V14" s="142">
        <v>1725.8</v>
      </c>
      <c r="W14" s="142">
        <v>1864.05</v>
      </c>
      <c r="X14" s="142">
        <v>1921.8150000000001</v>
      </c>
      <c r="Y14" s="142">
        <v>2014.4849999999999</v>
      </c>
      <c r="Z14" s="142">
        <v>1932.5050000000001</v>
      </c>
    </row>
    <row r="15" spans="1:26" s="3" customFormat="1" ht="9.75" x14ac:dyDescent="0.2">
      <c r="A15" s="9" t="s">
        <v>5</v>
      </c>
      <c r="B15" s="21">
        <v>105.5</v>
      </c>
      <c r="C15" s="21">
        <v>91.6</v>
      </c>
      <c r="D15" s="21">
        <v>98.7</v>
      </c>
      <c r="E15" s="21">
        <v>119.7</v>
      </c>
      <c r="F15" s="21">
        <v>90.1</v>
      </c>
      <c r="G15" s="21">
        <v>105.5</v>
      </c>
      <c r="H15" s="21">
        <v>179.4</v>
      </c>
      <c r="I15" s="21">
        <v>142</v>
      </c>
      <c r="J15" s="21">
        <v>170.8</v>
      </c>
      <c r="K15" s="21">
        <v>186.5</v>
      </c>
      <c r="L15" s="21">
        <v>190.7</v>
      </c>
      <c r="M15" s="21">
        <v>216.6</v>
      </c>
      <c r="N15" s="21">
        <v>221.86</v>
      </c>
      <c r="O15" s="21">
        <v>232</v>
      </c>
      <c r="P15" s="21">
        <v>252.6</v>
      </c>
      <c r="Q15" s="21">
        <v>260.2</v>
      </c>
      <c r="R15" s="21">
        <v>176.8</v>
      </c>
      <c r="S15" s="21">
        <v>339.8</v>
      </c>
      <c r="T15" s="178">
        <v>369.1</v>
      </c>
      <c r="U15" s="142">
        <v>330.6</v>
      </c>
      <c r="V15" s="142">
        <v>333.2</v>
      </c>
      <c r="W15" s="142">
        <v>362.56799999999998</v>
      </c>
      <c r="X15" s="142">
        <v>392.39299999999997</v>
      </c>
      <c r="Y15" s="142">
        <v>511.90499999999997</v>
      </c>
      <c r="Z15" s="142">
        <v>460.166</v>
      </c>
    </row>
    <row r="16" spans="1:26" s="3" customFormat="1" ht="9.75" x14ac:dyDescent="0.2">
      <c r="A16" s="9" t="s">
        <v>6</v>
      </c>
      <c r="B16" s="21">
        <v>178.4</v>
      </c>
      <c r="C16" s="21">
        <v>194</v>
      </c>
      <c r="D16" s="21">
        <v>198.2</v>
      </c>
      <c r="E16" s="21">
        <v>216.7</v>
      </c>
      <c r="F16" s="21">
        <v>214.8</v>
      </c>
      <c r="G16" s="21">
        <v>262.7</v>
      </c>
      <c r="H16" s="21">
        <v>264.89999999999998</v>
      </c>
      <c r="I16" s="21">
        <v>458.2</v>
      </c>
      <c r="J16" s="21">
        <v>631.5</v>
      </c>
      <c r="K16" s="21">
        <v>456.7</v>
      </c>
      <c r="L16" s="21">
        <v>500.7</v>
      </c>
      <c r="M16" s="21">
        <v>598.4</v>
      </c>
      <c r="N16" s="21">
        <v>612.78</v>
      </c>
      <c r="O16" s="21">
        <v>657.1</v>
      </c>
      <c r="P16" s="21">
        <v>807.8</v>
      </c>
      <c r="Q16" s="21">
        <v>796.1</v>
      </c>
      <c r="R16" s="21">
        <v>737.3</v>
      </c>
      <c r="S16" s="21">
        <v>882.3</v>
      </c>
      <c r="T16" s="178">
        <v>787.2</v>
      </c>
      <c r="U16" s="142">
        <v>794.7</v>
      </c>
      <c r="V16" s="142">
        <v>819.3</v>
      </c>
      <c r="W16" s="142">
        <v>862.04700000000003</v>
      </c>
      <c r="X16" s="142">
        <v>916.29100000000005</v>
      </c>
      <c r="Y16" s="142">
        <v>1118.674</v>
      </c>
      <c r="Z16" s="142">
        <v>969.63300000000004</v>
      </c>
    </row>
    <row r="17" spans="1:26" s="3" customFormat="1" ht="9.75" x14ac:dyDescent="0.2">
      <c r="A17" s="9" t="s">
        <v>7</v>
      </c>
      <c r="B17" s="21">
        <v>157.1</v>
      </c>
      <c r="C17" s="21">
        <v>185</v>
      </c>
      <c r="D17" s="21">
        <v>112.2</v>
      </c>
      <c r="E17" s="21">
        <v>105</v>
      </c>
      <c r="F17" s="21">
        <v>81.7</v>
      </c>
      <c r="G17" s="21">
        <v>116.7</v>
      </c>
      <c r="H17" s="21">
        <v>109.3</v>
      </c>
      <c r="I17" s="21">
        <v>140.4</v>
      </c>
      <c r="J17" s="21">
        <v>149</v>
      </c>
      <c r="K17" s="21">
        <v>180.4</v>
      </c>
      <c r="L17" s="21">
        <v>151.4</v>
      </c>
      <c r="M17" s="21">
        <v>156.4</v>
      </c>
      <c r="N17" s="21">
        <v>204.67</v>
      </c>
      <c r="O17" s="21">
        <v>228.2</v>
      </c>
      <c r="P17" s="21">
        <v>328.3</v>
      </c>
      <c r="Q17" s="21">
        <v>322.39999999999998</v>
      </c>
      <c r="R17" s="21">
        <v>309.2</v>
      </c>
      <c r="S17" s="21">
        <v>310.2</v>
      </c>
      <c r="T17" s="178">
        <v>196.9</v>
      </c>
      <c r="U17" s="142">
        <v>211.8</v>
      </c>
      <c r="V17" s="142">
        <v>258.5</v>
      </c>
      <c r="W17" s="142">
        <v>334.52699999999999</v>
      </c>
      <c r="X17" s="142">
        <v>337.58100000000002</v>
      </c>
      <c r="Y17" s="142">
        <v>360.43</v>
      </c>
      <c r="Z17" s="142">
        <v>318.75</v>
      </c>
    </row>
    <row r="18" spans="1:26" s="3" customFormat="1" ht="9.75" x14ac:dyDescent="0.2">
      <c r="A18" s="9" t="s">
        <v>8</v>
      </c>
      <c r="B18" s="21">
        <v>175.7</v>
      </c>
      <c r="C18" s="21">
        <v>192.7</v>
      </c>
      <c r="D18" s="21">
        <v>191.6</v>
      </c>
      <c r="E18" s="21">
        <v>275.89999999999998</v>
      </c>
      <c r="F18" s="21">
        <v>285.60000000000002</v>
      </c>
      <c r="G18" s="21">
        <v>297.5</v>
      </c>
      <c r="H18" s="21">
        <v>326.7</v>
      </c>
      <c r="I18" s="21">
        <v>375.8</v>
      </c>
      <c r="J18" s="21">
        <v>447.1</v>
      </c>
      <c r="K18" s="21">
        <v>456.1</v>
      </c>
      <c r="L18" s="21">
        <v>381.2</v>
      </c>
      <c r="M18" s="21">
        <v>394.4</v>
      </c>
      <c r="N18" s="21">
        <v>426.19</v>
      </c>
      <c r="O18" s="21">
        <v>496.1</v>
      </c>
      <c r="P18" s="21">
        <v>560.79999999999995</v>
      </c>
      <c r="Q18" s="21">
        <v>567.29999999999995</v>
      </c>
      <c r="R18" s="21">
        <v>586.70000000000005</v>
      </c>
      <c r="S18" s="21">
        <v>590.5</v>
      </c>
      <c r="T18" s="178">
        <v>594.79999999999995</v>
      </c>
      <c r="U18" s="142">
        <v>553.79999999999995</v>
      </c>
      <c r="V18" s="142">
        <v>522.9</v>
      </c>
      <c r="W18" s="142">
        <v>565.55700000000002</v>
      </c>
      <c r="X18" s="142">
        <v>553.55600000000004</v>
      </c>
      <c r="Y18" s="142">
        <v>619.49</v>
      </c>
      <c r="Z18" s="142">
        <v>721.52</v>
      </c>
    </row>
    <row r="19" spans="1:26" s="3" customFormat="1" ht="9.75" x14ac:dyDescent="0.2">
      <c r="A19" s="9" t="s">
        <v>9</v>
      </c>
      <c r="B19" s="21">
        <v>321.2</v>
      </c>
      <c r="C19" s="21">
        <v>385.9</v>
      </c>
      <c r="D19" s="21">
        <v>304</v>
      </c>
      <c r="E19" s="21">
        <v>347.5</v>
      </c>
      <c r="F19" s="21">
        <v>421.2</v>
      </c>
      <c r="G19" s="21">
        <v>508</v>
      </c>
      <c r="H19" s="21">
        <v>620.70000000000005</v>
      </c>
      <c r="I19" s="21">
        <v>705</v>
      </c>
      <c r="J19" s="21">
        <v>721.9</v>
      </c>
      <c r="K19" s="21">
        <v>731.5</v>
      </c>
      <c r="L19" s="21">
        <v>736.8</v>
      </c>
      <c r="M19" s="21">
        <v>761.7</v>
      </c>
      <c r="N19" s="21">
        <v>807.01</v>
      </c>
      <c r="O19" s="21">
        <v>858.1</v>
      </c>
      <c r="P19" s="21">
        <v>1009.2</v>
      </c>
      <c r="Q19" s="21">
        <v>1060.5</v>
      </c>
      <c r="R19" s="21">
        <v>1077.9000000000001</v>
      </c>
      <c r="S19" s="21">
        <v>1084.2</v>
      </c>
      <c r="T19" s="178">
        <v>903</v>
      </c>
      <c r="U19" s="142">
        <v>1253.9000000000001</v>
      </c>
      <c r="V19" s="142">
        <v>1231.8</v>
      </c>
      <c r="W19" s="142">
        <v>1235.2280000000001</v>
      </c>
      <c r="X19" s="142">
        <v>755.38900000000001</v>
      </c>
      <c r="Y19" s="142">
        <v>770.88699999999994</v>
      </c>
      <c r="Z19" s="142">
        <v>791.21199999999999</v>
      </c>
    </row>
    <row r="20" spans="1:26" s="3" customFormat="1" ht="9.75" x14ac:dyDescent="0.2">
      <c r="A20" s="9" t="s">
        <v>10</v>
      </c>
      <c r="B20" s="21">
        <v>2610.9</v>
      </c>
      <c r="C20" s="21">
        <v>2827.8</v>
      </c>
      <c r="D20" s="21">
        <v>3414.8</v>
      </c>
      <c r="E20" s="21">
        <v>4114.8</v>
      </c>
      <c r="F20" s="21">
        <v>5720.1</v>
      </c>
      <c r="G20" s="21">
        <v>5296.5</v>
      </c>
      <c r="H20" s="21">
        <v>6484</v>
      </c>
      <c r="I20" s="21">
        <v>7805.2</v>
      </c>
      <c r="J20" s="21">
        <v>7881.2</v>
      </c>
      <c r="K20" s="21">
        <v>8452</v>
      </c>
      <c r="L20" s="21">
        <v>7939</v>
      </c>
      <c r="M20" s="21">
        <v>8244.2000000000007</v>
      </c>
      <c r="N20" s="21">
        <v>6619.88</v>
      </c>
      <c r="O20" s="21">
        <v>7406.5</v>
      </c>
      <c r="P20" s="21">
        <v>9944.7999999999993</v>
      </c>
      <c r="Q20" s="21">
        <v>9623.2999999999993</v>
      </c>
      <c r="R20" s="21">
        <v>8913.7000000000007</v>
      </c>
      <c r="S20" s="21">
        <v>9077.7000000000007</v>
      </c>
      <c r="T20" s="178">
        <v>8866.6</v>
      </c>
      <c r="U20" s="142">
        <v>8613.5</v>
      </c>
      <c r="V20" s="142">
        <v>9040.2999999999993</v>
      </c>
      <c r="W20" s="142">
        <v>9215.1200000000008</v>
      </c>
      <c r="X20" s="142">
        <v>14096.284</v>
      </c>
      <c r="Y20" s="142">
        <v>12485.698</v>
      </c>
      <c r="Z20" s="142">
        <v>11404.45</v>
      </c>
    </row>
    <row r="21" spans="1:26" s="3" customFormat="1" ht="9.75" x14ac:dyDescent="0.2">
      <c r="A21" s="9" t="s">
        <v>11</v>
      </c>
      <c r="B21" s="21">
        <v>245.1</v>
      </c>
      <c r="C21" s="21">
        <v>246.2</v>
      </c>
      <c r="D21" s="21">
        <v>233.3</v>
      </c>
      <c r="E21" s="21">
        <v>239.4</v>
      </c>
      <c r="F21" s="21">
        <v>241.6</v>
      </c>
      <c r="G21" s="21">
        <v>247.9</v>
      </c>
      <c r="H21" s="21">
        <v>252.6</v>
      </c>
      <c r="I21" s="21">
        <v>310</v>
      </c>
      <c r="J21" s="21">
        <v>326</v>
      </c>
      <c r="K21" s="21">
        <v>301.60000000000002</v>
      </c>
      <c r="L21" s="21">
        <v>249.1</v>
      </c>
      <c r="M21" s="21">
        <v>333.5</v>
      </c>
      <c r="N21" s="21">
        <v>359.43</v>
      </c>
      <c r="O21" s="21">
        <v>379</v>
      </c>
      <c r="P21" s="21">
        <v>469</v>
      </c>
      <c r="Q21" s="21">
        <v>479.3</v>
      </c>
      <c r="R21" s="21">
        <v>360.2</v>
      </c>
      <c r="S21" s="21">
        <v>267.5</v>
      </c>
      <c r="T21" s="178">
        <v>290.10000000000002</v>
      </c>
      <c r="U21" s="142">
        <v>302.5</v>
      </c>
      <c r="V21" s="142">
        <v>440.3</v>
      </c>
      <c r="W21" s="142">
        <v>308.25900000000001</v>
      </c>
      <c r="X21" s="142">
        <v>374.19499999999999</v>
      </c>
      <c r="Y21" s="142">
        <v>374.44499999999999</v>
      </c>
      <c r="Z21" s="142">
        <v>384.971</v>
      </c>
    </row>
    <row r="22" spans="1:26" s="3" customFormat="1" ht="9.75" x14ac:dyDescent="0.2">
      <c r="A22" s="9" t="s">
        <v>12</v>
      </c>
      <c r="B22" s="21">
        <v>255.3</v>
      </c>
      <c r="C22" s="21">
        <v>183.9</v>
      </c>
      <c r="D22" s="21">
        <v>221.8</v>
      </c>
      <c r="E22" s="21">
        <v>263.60000000000002</v>
      </c>
      <c r="F22" s="21">
        <v>270.60000000000002</v>
      </c>
      <c r="G22" s="21">
        <v>300.60000000000002</v>
      </c>
      <c r="H22" s="21">
        <v>376.6</v>
      </c>
      <c r="I22" s="21">
        <v>456.6</v>
      </c>
      <c r="J22" s="21">
        <v>502.9</v>
      </c>
      <c r="K22" s="21">
        <v>509.8</v>
      </c>
      <c r="L22" s="21">
        <v>466.3</v>
      </c>
      <c r="M22" s="21">
        <v>478.1</v>
      </c>
      <c r="N22" s="21">
        <v>512.04</v>
      </c>
      <c r="O22" s="21">
        <v>552.79999999999995</v>
      </c>
      <c r="P22" s="21">
        <v>603.1</v>
      </c>
      <c r="Q22" s="21">
        <v>666.6</v>
      </c>
      <c r="R22" s="21">
        <v>708</v>
      </c>
      <c r="S22" s="21">
        <v>712.5</v>
      </c>
      <c r="T22" s="178">
        <v>777.5</v>
      </c>
      <c r="U22" s="142">
        <v>798.7</v>
      </c>
      <c r="V22" s="142">
        <v>647</v>
      </c>
      <c r="W22" s="142">
        <v>756.80100000000004</v>
      </c>
      <c r="X22" s="142">
        <v>805.01700000000005</v>
      </c>
      <c r="Y22" s="142">
        <v>787.596</v>
      </c>
      <c r="Z22" s="142">
        <v>602.77599999999995</v>
      </c>
    </row>
    <row r="23" spans="1:26" s="3" customFormat="1" ht="9.75" x14ac:dyDescent="0.2">
      <c r="A23" s="9" t="s">
        <v>13</v>
      </c>
      <c r="B23" s="21">
        <v>169.6</v>
      </c>
      <c r="C23" s="21">
        <v>180.2</v>
      </c>
      <c r="D23" s="21">
        <v>195.6</v>
      </c>
      <c r="E23" s="21">
        <v>260</v>
      </c>
      <c r="F23" s="21">
        <v>263.60000000000002</v>
      </c>
      <c r="G23" s="21">
        <v>269.60000000000002</v>
      </c>
      <c r="H23" s="21">
        <v>297.2</v>
      </c>
      <c r="I23" s="21">
        <v>300.3</v>
      </c>
      <c r="J23" s="21">
        <v>344.9</v>
      </c>
      <c r="K23" s="21">
        <v>345.7</v>
      </c>
      <c r="L23" s="21">
        <v>348</v>
      </c>
      <c r="M23" s="21">
        <v>370.7</v>
      </c>
      <c r="N23" s="21">
        <v>261.14999999999998</v>
      </c>
      <c r="O23" s="21">
        <v>410.5</v>
      </c>
      <c r="P23" s="21">
        <v>448.6</v>
      </c>
      <c r="Q23" s="21">
        <v>513.5</v>
      </c>
      <c r="R23" s="21">
        <v>630.1</v>
      </c>
      <c r="S23" s="21">
        <v>484.4</v>
      </c>
      <c r="T23" s="178">
        <v>359.7</v>
      </c>
      <c r="U23" s="142">
        <v>426.8</v>
      </c>
      <c r="V23" s="142">
        <v>444.2</v>
      </c>
      <c r="W23" s="142">
        <v>483.12400000000002</v>
      </c>
      <c r="X23" s="142">
        <v>529.70600000000002</v>
      </c>
      <c r="Y23" s="142">
        <v>531.61099999999999</v>
      </c>
      <c r="Z23" s="142">
        <v>494.82299999999998</v>
      </c>
    </row>
    <row r="24" spans="1:26" s="3" customFormat="1" ht="9.75" x14ac:dyDescent="0.2">
      <c r="A24" s="9" t="s">
        <v>14</v>
      </c>
      <c r="B24" s="21">
        <v>241.1</v>
      </c>
      <c r="C24" s="21">
        <v>220.7</v>
      </c>
      <c r="D24" s="21">
        <v>248.2</v>
      </c>
      <c r="E24" s="21">
        <v>258.7</v>
      </c>
      <c r="F24" s="21">
        <v>311.10000000000002</v>
      </c>
      <c r="G24" s="21">
        <v>350.3</v>
      </c>
      <c r="H24" s="21">
        <v>420.9</v>
      </c>
      <c r="I24" s="21">
        <v>501.7</v>
      </c>
      <c r="J24" s="21">
        <v>560.4</v>
      </c>
      <c r="K24" s="21">
        <v>559.20000000000005</v>
      </c>
      <c r="L24" s="21">
        <v>569.1</v>
      </c>
      <c r="M24" s="21">
        <v>603.29999999999995</v>
      </c>
      <c r="N24" s="21">
        <v>635.65</v>
      </c>
      <c r="O24" s="21">
        <v>704.4</v>
      </c>
      <c r="P24" s="21">
        <v>770.5</v>
      </c>
      <c r="Q24" s="21">
        <v>825.8</v>
      </c>
      <c r="R24" s="21">
        <v>832.7</v>
      </c>
      <c r="S24" s="21">
        <v>839.4</v>
      </c>
      <c r="T24" s="178">
        <v>858.9</v>
      </c>
      <c r="U24" s="142">
        <v>920</v>
      </c>
      <c r="V24" s="142">
        <v>702.7</v>
      </c>
      <c r="W24" s="142">
        <v>765.69299999999998</v>
      </c>
      <c r="X24" s="142">
        <v>402.92700000000002</v>
      </c>
      <c r="Y24" s="142">
        <v>480.60500000000002</v>
      </c>
      <c r="Z24" s="142">
        <v>417.90699999999998</v>
      </c>
    </row>
    <row r="25" spans="1:26" s="3" customFormat="1" ht="9.75" x14ac:dyDescent="0.2">
      <c r="A25" s="9" t="s">
        <v>15</v>
      </c>
      <c r="B25" s="21">
        <v>217.7</v>
      </c>
      <c r="C25" s="21">
        <v>259.2</v>
      </c>
      <c r="D25" s="21">
        <v>259</v>
      </c>
      <c r="E25" s="21">
        <v>292.5</v>
      </c>
      <c r="F25" s="21">
        <v>321.39999999999998</v>
      </c>
      <c r="G25" s="21">
        <v>291.2</v>
      </c>
      <c r="H25" s="21">
        <v>354.3</v>
      </c>
      <c r="I25" s="21">
        <v>418.7</v>
      </c>
      <c r="J25" s="21">
        <v>347.3</v>
      </c>
      <c r="K25" s="21">
        <v>450.4</v>
      </c>
      <c r="L25" s="21">
        <v>452.3</v>
      </c>
      <c r="M25" s="21">
        <v>421.9</v>
      </c>
      <c r="N25" s="21">
        <v>410.33</v>
      </c>
      <c r="O25" s="21">
        <v>504.8</v>
      </c>
      <c r="P25" s="21">
        <v>538.1</v>
      </c>
      <c r="Q25" s="21">
        <v>556</v>
      </c>
      <c r="R25" s="21">
        <v>495.6</v>
      </c>
      <c r="S25" s="21">
        <v>585.20000000000005</v>
      </c>
      <c r="T25" s="178">
        <v>424.9</v>
      </c>
      <c r="U25" s="142">
        <v>639.70000000000005</v>
      </c>
      <c r="V25" s="142">
        <v>660.2</v>
      </c>
      <c r="W25" s="142">
        <v>596.62400000000002</v>
      </c>
      <c r="X25" s="142">
        <v>775.70899999999995</v>
      </c>
      <c r="Y25" s="142">
        <v>833.98299999999995</v>
      </c>
      <c r="Z25" s="142">
        <v>863.83399999999995</v>
      </c>
    </row>
    <row r="26" spans="1:26" s="3" customFormat="1" ht="9.75" x14ac:dyDescent="0.2">
      <c r="A26" s="9" t="s">
        <v>16</v>
      </c>
      <c r="B26" s="21">
        <v>251.1</v>
      </c>
      <c r="C26" s="21">
        <v>128</v>
      </c>
      <c r="D26" s="21">
        <v>192.3</v>
      </c>
      <c r="E26" s="21">
        <v>223.2</v>
      </c>
      <c r="F26" s="21">
        <v>215.9</v>
      </c>
      <c r="G26" s="21">
        <v>198.7</v>
      </c>
      <c r="H26" s="21">
        <v>250.8</v>
      </c>
      <c r="I26" s="21">
        <v>322.2</v>
      </c>
      <c r="J26" s="21">
        <v>417.1</v>
      </c>
      <c r="K26" s="21">
        <v>394.8</v>
      </c>
      <c r="L26" s="21">
        <v>394.8</v>
      </c>
      <c r="M26" s="21">
        <v>262.7</v>
      </c>
      <c r="N26" s="21">
        <v>310.17</v>
      </c>
      <c r="O26" s="21">
        <v>503</v>
      </c>
      <c r="P26" s="21">
        <v>580</v>
      </c>
      <c r="Q26" s="21">
        <v>770.5</v>
      </c>
      <c r="R26" s="21">
        <v>622.6</v>
      </c>
      <c r="S26" s="21">
        <v>696.8</v>
      </c>
      <c r="T26" s="178">
        <v>734.8</v>
      </c>
      <c r="U26" s="142">
        <v>650.5</v>
      </c>
      <c r="V26" s="142">
        <v>679.8</v>
      </c>
      <c r="W26" s="142">
        <v>836.09699999999998</v>
      </c>
      <c r="X26" s="142">
        <v>913.55700000000002</v>
      </c>
      <c r="Y26" s="142">
        <v>1104.681</v>
      </c>
      <c r="Z26" s="142">
        <v>917.03399999999999</v>
      </c>
    </row>
    <row r="27" spans="1:26" s="3" customFormat="1" ht="9.75" x14ac:dyDescent="0.2">
      <c r="A27" s="9" t="s">
        <v>17</v>
      </c>
      <c r="B27" s="21">
        <v>130.9</v>
      </c>
      <c r="C27" s="21">
        <v>162.6</v>
      </c>
      <c r="D27" s="21">
        <v>174.7</v>
      </c>
      <c r="E27" s="21">
        <v>214.8</v>
      </c>
      <c r="F27" s="21">
        <v>217.5</v>
      </c>
      <c r="G27" s="21">
        <v>223.8</v>
      </c>
      <c r="H27" s="21">
        <v>246.9</v>
      </c>
      <c r="I27" s="21">
        <v>420.3</v>
      </c>
      <c r="J27" s="21">
        <v>396.9</v>
      </c>
      <c r="K27" s="21">
        <v>376.4</v>
      </c>
      <c r="L27" s="21">
        <v>291.5</v>
      </c>
      <c r="M27" s="21">
        <v>411.2</v>
      </c>
      <c r="N27" s="21">
        <v>461.31</v>
      </c>
      <c r="O27" s="21">
        <v>487.1</v>
      </c>
      <c r="P27" s="21">
        <v>693.8</v>
      </c>
      <c r="Q27" s="21">
        <v>716.5</v>
      </c>
      <c r="R27" s="21">
        <v>796.9</v>
      </c>
      <c r="S27" s="21">
        <v>753.8</v>
      </c>
      <c r="T27" s="178">
        <v>767.5</v>
      </c>
      <c r="U27" s="142">
        <v>777.7</v>
      </c>
      <c r="V27" s="142">
        <v>746.3</v>
      </c>
      <c r="W27" s="142">
        <v>760.10400000000004</v>
      </c>
      <c r="X27" s="142">
        <v>796.31600000000003</v>
      </c>
      <c r="Y27" s="142">
        <v>953.846</v>
      </c>
      <c r="Z27" s="142">
        <v>953.7</v>
      </c>
    </row>
    <row r="28" spans="1:26" s="3" customFormat="1" ht="9.75" x14ac:dyDescent="0.2">
      <c r="A28" s="9" t="s">
        <v>18</v>
      </c>
      <c r="B28" s="21">
        <v>3342.3</v>
      </c>
      <c r="C28" s="21">
        <v>3690.6</v>
      </c>
      <c r="D28" s="21">
        <v>4274.1000000000004</v>
      </c>
      <c r="E28" s="21">
        <v>4443</v>
      </c>
      <c r="F28" s="21">
        <v>4578.6000000000004</v>
      </c>
      <c r="G28" s="21">
        <v>4648.5</v>
      </c>
      <c r="H28" s="21">
        <v>4779.7</v>
      </c>
      <c r="I28" s="21">
        <v>4824.6000000000004</v>
      </c>
      <c r="J28" s="21">
        <v>3263.5</v>
      </c>
      <c r="K28" s="21">
        <v>2703.5</v>
      </c>
      <c r="L28" s="21">
        <v>1768.3</v>
      </c>
      <c r="M28" s="21">
        <v>1807.5</v>
      </c>
      <c r="N28" s="21">
        <v>3049.74</v>
      </c>
      <c r="O28" s="21">
        <v>3145.9</v>
      </c>
      <c r="P28" s="21">
        <v>3341.8</v>
      </c>
      <c r="Q28" s="21">
        <v>3919.5</v>
      </c>
      <c r="R28" s="21">
        <v>3384.6</v>
      </c>
      <c r="S28" s="21">
        <v>3419</v>
      </c>
      <c r="T28" s="178">
        <v>3541.2</v>
      </c>
      <c r="U28" s="142">
        <v>5175.5</v>
      </c>
      <c r="V28" s="142">
        <v>4979.3999999999996</v>
      </c>
      <c r="W28" s="142">
        <v>7807.2690000000002</v>
      </c>
      <c r="X28" s="142">
        <v>6797.2950000000001</v>
      </c>
      <c r="Y28" s="142">
        <v>7342.5479999999998</v>
      </c>
      <c r="Z28" s="142">
        <v>6547.6989999999996</v>
      </c>
    </row>
    <row r="29" spans="1:26" s="3" customFormat="1" ht="18" x14ac:dyDescent="0.15">
      <c r="A29" s="8" t="s">
        <v>95</v>
      </c>
      <c r="B29" s="22">
        <v>2450.5</v>
      </c>
      <c r="C29" s="22">
        <v>2436.1</v>
      </c>
      <c r="D29" s="22">
        <v>2610.4</v>
      </c>
      <c r="E29" s="22">
        <v>3254.8</v>
      </c>
      <c r="F29" s="22">
        <v>3715.3</v>
      </c>
      <c r="G29" s="22">
        <v>3980.5</v>
      </c>
      <c r="H29" s="22">
        <v>4664.7</v>
      </c>
      <c r="I29" s="22">
        <v>5659</v>
      </c>
      <c r="J29" s="22">
        <v>6562.9</v>
      </c>
      <c r="K29" s="22">
        <v>5720</v>
      </c>
      <c r="L29" s="22">
        <v>5555.4</v>
      </c>
      <c r="M29" s="22">
        <v>5809.1</v>
      </c>
      <c r="N29" s="22">
        <v>5834.92</v>
      </c>
      <c r="O29" s="22">
        <v>6379.9</v>
      </c>
      <c r="P29" s="22">
        <v>8369.5</v>
      </c>
      <c r="Q29" s="22">
        <v>9042.2000000000007</v>
      </c>
      <c r="R29" s="22">
        <v>8863</v>
      </c>
      <c r="S29" s="22">
        <v>8979</v>
      </c>
      <c r="T29" s="177">
        <v>9472.7000000000007</v>
      </c>
      <c r="U29" s="140">
        <v>9439.2000000000007</v>
      </c>
      <c r="V29" s="140">
        <v>9162.6</v>
      </c>
      <c r="W29" s="140">
        <v>10377.249</v>
      </c>
      <c r="X29" s="140">
        <v>11248.192999999999</v>
      </c>
      <c r="Y29" s="140">
        <v>11440.284</v>
      </c>
      <c r="Z29" s="140">
        <v>10445.709000000001</v>
      </c>
    </row>
    <row r="30" spans="1:26" s="3" customFormat="1" ht="12.75" customHeight="1" x14ac:dyDescent="0.2">
      <c r="A30" s="9" t="s">
        <v>19</v>
      </c>
      <c r="B30" s="21">
        <v>62.5</v>
      </c>
      <c r="C30" s="21">
        <v>78.400000000000006</v>
      </c>
      <c r="D30" s="21">
        <v>69.099999999999994</v>
      </c>
      <c r="E30" s="21">
        <v>83.6</v>
      </c>
      <c r="F30" s="21">
        <v>94.9</v>
      </c>
      <c r="G30" s="21">
        <v>87.5</v>
      </c>
      <c r="H30" s="21">
        <v>109.6</v>
      </c>
      <c r="I30" s="21">
        <v>131.4</v>
      </c>
      <c r="J30" s="21">
        <v>147</v>
      </c>
      <c r="K30" s="21">
        <v>164.7</v>
      </c>
      <c r="L30" s="21">
        <v>142.6</v>
      </c>
      <c r="M30" s="21">
        <v>177.8</v>
      </c>
      <c r="N30" s="21">
        <v>195.26</v>
      </c>
      <c r="O30" s="21">
        <v>218.6</v>
      </c>
      <c r="P30" s="21">
        <v>241</v>
      </c>
      <c r="Q30" s="21">
        <v>271</v>
      </c>
      <c r="R30" s="21">
        <v>293.2</v>
      </c>
      <c r="S30" s="21">
        <v>222.3</v>
      </c>
      <c r="T30" s="178">
        <v>271</v>
      </c>
      <c r="U30" s="142">
        <v>277.2</v>
      </c>
      <c r="V30" s="142">
        <v>294.2</v>
      </c>
      <c r="W30" s="142">
        <v>324.53399999999999</v>
      </c>
      <c r="X30" s="142">
        <v>310.00900000000001</v>
      </c>
      <c r="Y30" s="142">
        <v>312.41899999999998</v>
      </c>
      <c r="Z30" s="142">
        <v>333.90899999999999</v>
      </c>
    </row>
    <row r="31" spans="1:26" s="3" customFormat="1" ht="12.75" customHeight="1" x14ac:dyDescent="0.2">
      <c r="A31" s="9" t="s">
        <v>20</v>
      </c>
      <c r="B31" s="21">
        <v>262.7</v>
      </c>
      <c r="C31" s="21">
        <v>115.9</v>
      </c>
      <c r="D31" s="21">
        <v>148.80000000000001</v>
      </c>
      <c r="E31" s="21">
        <v>159.5</v>
      </c>
      <c r="F31" s="21">
        <v>140.5</v>
      </c>
      <c r="G31" s="21">
        <v>159.30000000000001</v>
      </c>
      <c r="H31" s="21">
        <v>176.9</v>
      </c>
      <c r="I31" s="21">
        <v>196.6</v>
      </c>
      <c r="J31" s="21">
        <v>184.3</v>
      </c>
      <c r="K31" s="21">
        <v>120.1</v>
      </c>
      <c r="L31" s="21">
        <v>80.3</v>
      </c>
      <c r="M31" s="21">
        <v>115.6</v>
      </c>
      <c r="N31" s="21">
        <v>87.6</v>
      </c>
      <c r="O31" s="21">
        <v>143.9</v>
      </c>
      <c r="P31" s="21">
        <v>155.80000000000001</v>
      </c>
      <c r="Q31" s="21">
        <v>209.7</v>
      </c>
      <c r="R31" s="21">
        <v>239.7</v>
      </c>
      <c r="S31" s="21">
        <v>222.8</v>
      </c>
      <c r="T31" s="178">
        <v>290.2</v>
      </c>
      <c r="U31" s="142">
        <v>236.7</v>
      </c>
      <c r="V31" s="142">
        <v>204.2</v>
      </c>
      <c r="W31" s="142">
        <v>179.405</v>
      </c>
      <c r="X31" s="142">
        <v>202.75299999999999</v>
      </c>
      <c r="Y31" s="142">
        <v>217.06</v>
      </c>
      <c r="Z31" s="142">
        <v>226.97900000000001</v>
      </c>
    </row>
    <row r="32" spans="1:26" s="3" customFormat="1" ht="15.75" customHeight="1" x14ac:dyDescent="0.2">
      <c r="A32" s="9" t="s">
        <v>21</v>
      </c>
      <c r="B32" s="21">
        <v>77.8</v>
      </c>
      <c r="C32" s="21">
        <v>99.8</v>
      </c>
      <c r="D32" s="21">
        <v>106.7</v>
      </c>
      <c r="E32" s="21">
        <v>94.1</v>
      </c>
      <c r="F32" s="21">
        <v>105</v>
      </c>
      <c r="G32" s="21">
        <v>117.6</v>
      </c>
      <c r="H32" s="21">
        <v>193.2</v>
      </c>
      <c r="I32" s="21">
        <v>259.60000000000002</v>
      </c>
      <c r="J32" s="21">
        <v>346.8</v>
      </c>
      <c r="K32" s="21">
        <v>243.5</v>
      </c>
      <c r="L32" s="21">
        <v>288.2</v>
      </c>
      <c r="M32" s="21">
        <v>283.2</v>
      </c>
      <c r="N32" s="21">
        <v>302.8</v>
      </c>
      <c r="O32" s="21">
        <v>326.89999999999998</v>
      </c>
      <c r="P32" s="21">
        <v>356.1</v>
      </c>
      <c r="Q32" s="21">
        <v>393.8</v>
      </c>
      <c r="R32" s="21">
        <v>366</v>
      </c>
      <c r="S32" s="21">
        <v>422.8</v>
      </c>
      <c r="T32" s="178">
        <v>322.60000000000002</v>
      </c>
      <c r="U32" s="142">
        <v>332.2</v>
      </c>
      <c r="V32" s="142">
        <v>373.9</v>
      </c>
      <c r="W32" s="142">
        <v>440.34300000000002</v>
      </c>
      <c r="X32" s="142">
        <v>462.14800000000002</v>
      </c>
      <c r="Y32" s="142">
        <v>462.32400000000001</v>
      </c>
      <c r="Z32" s="142">
        <v>478.63900000000001</v>
      </c>
    </row>
    <row r="33" spans="1:26" s="3" customFormat="1" ht="9.75" x14ac:dyDescent="0.2">
      <c r="A33" s="4" t="s">
        <v>63</v>
      </c>
      <c r="B33" s="118"/>
      <c r="C33" s="118"/>
      <c r="D33" s="118"/>
      <c r="E33" s="118"/>
      <c r="F33" s="118"/>
      <c r="G33" s="21"/>
      <c r="H33" s="118"/>
      <c r="I33" s="118"/>
      <c r="J33" s="118"/>
      <c r="K33" s="118"/>
      <c r="L33" s="21"/>
      <c r="M33" s="21"/>
      <c r="N33" s="21"/>
      <c r="O33" s="21"/>
      <c r="P33" s="21"/>
      <c r="Q33" s="21"/>
      <c r="R33" s="21"/>
      <c r="S33" s="21"/>
      <c r="T33" s="85"/>
      <c r="U33" s="142"/>
      <c r="V33" s="142"/>
      <c r="W33" s="142"/>
      <c r="X33" s="142"/>
      <c r="Y33" s="60"/>
      <c r="Z33" s="60"/>
    </row>
    <row r="34" spans="1:26" s="3" customFormat="1" ht="14.25" customHeight="1" x14ac:dyDescent="0.2">
      <c r="A34" s="14" t="s">
        <v>23</v>
      </c>
      <c r="B34" s="21">
        <v>12.2</v>
      </c>
      <c r="C34" s="21">
        <v>11.9</v>
      </c>
      <c r="D34" s="21">
        <v>4.8</v>
      </c>
      <c r="E34" s="21">
        <v>9.5</v>
      </c>
      <c r="F34" s="21">
        <v>8.3000000000000007</v>
      </c>
      <c r="G34" s="21">
        <v>32.6</v>
      </c>
      <c r="H34" s="21">
        <v>35</v>
      </c>
      <c r="I34" s="21">
        <v>36.700000000000003</v>
      </c>
      <c r="J34" s="21">
        <v>63.9</v>
      </c>
      <c r="K34" s="21">
        <v>42.6</v>
      </c>
      <c r="L34" s="21">
        <v>42.3</v>
      </c>
      <c r="M34" s="21">
        <v>30.4</v>
      </c>
      <c r="N34" s="21">
        <v>33.5</v>
      </c>
      <c r="O34" s="21">
        <v>34.700000000000003</v>
      </c>
      <c r="P34" s="21">
        <v>34.9</v>
      </c>
      <c r="Q34" s="21">
        <v>35.5</v>
      </c>
      <c r="R34" s="21">
        <v>23.5</v>
      </c>
      <c r="S34" s="21">
        <v>27.9</v>
      </c>
      <c r="T34" s="178">
        <v>18.5</v>
      </c>
      <c r="U34" s="142">
        <v>10.1</v>
      </c>
      <c r="V34" s="142">
        <v>22.1</v>
      </c>
      <c r="W34" s="142">
        <v>17.788</v>
      </c>
      <c r="X34" s="142">
        <v>35.713000000000001</v>
      </c>
      <c r="Y34" s="143">
        <v>22</v>
      </c>
      <c r="Z34" s="143">
        <v>25</v>
      </c>
    </row>
    <row r="35" spans="1:26" s="3" customFormat="1" ht="19.5" x14ac:dyDescent="0.2">
      <c r="A35" s="14" t="s">
        <v>261</v>
      </c>
      <c r="B35" s="21">
        <v>65.599999999999994</v>
      </c>
      <c r="C35" s="118">
        <v>88</v>
      </c>
      <c r="D35" s="118">
        <v>102</v>
      </c>
      <c r="E35" s="118">
        <v>85</v>
      </c>
      <c r="F35" s="118">
        <v>97</v>
      </c>
      <c r="G35" s="21">
        <v>85</v>
      </c>
      <c r="H35" s="118">
        <v>158</v>
      </c>
      <c r="I35" s="118">
        <v>223</v>
      </c>
      <c r="J35" s="118">
        <v>283</v>
      </c>
      <c r="K35" s="118">
        <v>201</v>
      </c>
      <c r="L35" s="21">
        <v>245.9</v>
      </c>
      <c r="M35" s="21">
        <v>252.8</v>
      </c>
      <c r="N35" s="21">
        <v>269.3</v>
      </c>
      <c r="O35" s="21">
        <v>292.2</v>
      </c>
      <c r="P35" s="21">
        <v>321.2</v>
      </c>
      <c r="Q35" s="21">
        <v>358.3</v>
      </c>
      <c r="R35" s="21">
        <v>342.5</v>
      </c>
      <c r="S35" s="21">
        <v>394.9</v>
      </c>
      <c r="T35" s="178">
        <v>304</v>
      </c>
      <c r="U35" s="142">
        <v>322.10000000000002</v>
      </c>
      <c r="V35" s="142">
        <v>351.8</v>
      </c>
      <c r="W35" s="142">
        <v>422.55500000000001</v>
      </c>
      <c r="X35" s="142">
        <v>426.435</v>
      </c>
      <c r="Y35" s="142">
        <v>440.61599999999999</v>
      </c>
      <c r="Z35" s="142">
        <v>453.41500000000002</v>
      </c>
    </row>
    <row r="36" spans="1:26" s="3" customFormat="1" ht="9.75" x14ac:dyDescent="0.2">
      <c r="A36" s="9" t="s">
        <v>24</v>
      </c>
      <c r="B36" s="21">
        <v>204.5</v>
      </c>
      <c r="C36" s="21">
        <v>239.4</v>
      </c>
      <c r="D36" s="21">
        <v>238.5</v>
      </c>
      <c r="E36" s="21">
        <v>247</v>
      </c>
      <c r="F36" s="21">
        <v>300.10000000000002</v>
      </c>
      <c r="G36" s="21">
        <v>293</v>
      </c>
      <c r="H36" s="21">
        <v>333.7</v>
      </c>
      <c r="I36" s="21">
        <v>488.7</v>
      </c>
      <c r="J36" s="21">
        <v>545.4</v>
      </c>
      <c r="K36" s="21">
        <v>489.9</v>
      </c>
      <c r="L36" s="21">
        <v>410</v>
      </c>
      <c r="M36" s="21">
        <v>434.4</v>
      </c>
      <c r="N36" s="21">
        <v>389.05</v>
      </c>
      <c r="O36" s="21">
        <v>575.5</v>
      </c>
      <c r="P36" s="21">
        <v>774.4</v>
      </c>
      <c r="Q36" s="21">
        <v>863.6</v>
      </c>
      <c r="R36" s="21">
        <v>774</v>
      </c>
      <c r="S36" s="21">
        <v>542.29999999999995</v>
      </c>
      <c r="T36" s="178">
        <v>535.5</v>
      </c>
      <c r="U36" s="142">
        <v>585.1</v>
      </c>
      <c r="V36" s="142">
        <v>500</v>
      </c>
      <c r="W36" s="142">
        <v>639.05499999999995</v>
      </c>
      <c r="X36" s="142">
        <v>648.00099999999998</v>
      </c>
      <c r="Y36" s="142">
        <v>746.02800000000002</v>
      </c>
      <c r="Z36" s="142">
        <v>682.68499999999995</v>
      </c>
    </row>
    <row r="37" spans="1:26" s="3" customFormat="1" ht="9.75" x14ac:dyDescent="0.2">
      <c r="A37" s="9" t="s">
        <v>25</v>
      </c>
      <c r="B37" s="21">
        <v>171.8</v>
      </c>
      <c r="C37" s="21">
        <v>175.7</v>
      </c>
      <c r="D37" s="21">
        <v>198</v>
      </c>
      <c r="E37" s="21">
        <v>232.3</v>
      </c>
      <c r="F37" s="21">
        <v>245</v>
      </c>
      <c r="G37" s="21">
        <v>266</v>
      </c>
      <c r="H37" s="21">
        <v>501.8</v>
      </c>
      <c r="I37" s="21">
        <v>753.3</v>
      </c>
      <c r="J37" s="21">
        <v>800.6</v>
      </c>
      <c r="K37" s="21">
        <v>607.79999999999995</v>
      </c>
      <c r="L37" s="21">
        <v>524.6</v>
      </c>
      <c r="M37" s="21">
        <v>544.9</v>
      </c>
      <c r="N37" s="21">
        <v>581.91</v>
      </c>
      <c r="O37" s="21">
        <v>638.70000000000005</v>
      </c>
      <c r="P37" s="21">
        <v>1115.9000000000001</v>
      </c>
      <c r="Q37" s="21">
        <v>1207.2</v>
      </c>
      <c r="R37" s="21">
        <v>1208.5999999999999</v>
      </c>
      <c r="S37" s="21">
        <v>902.4</v>
      </c>
      <c r="T37" s="178">
        <v>916</v>
      </c>
      <c r="U37" s="142">
        <v>973</v>
      </c>
      <c r="V37" s="142">
        <v>1164</v>
      </c>
      <c r="W37" s="142">
        <v>1270.905</v>
      </c>
      <c r="X37" s="142">
        <v>1318.5350000000001</v>
      </c>
      <c r="Y37" s="142">
        <v>1216.7380000000001</v>
      </c>
      <c r="Z37" s="142">
        <v>1220.5640000000001</v>
      </c>
    </row>
    <row r="38" spans="1:26" s="3" customFormat="1" ht="9.75" x14ac:dyDescent="0.2">
      <c r="A38" s="9" t="s">
        <v>26</v>
      </c>
      <c r="B38" s="21">
        <v>391.5</v>
      </c>
      <c r="C38" s="21">
        <v>414.7</v>
      </c>
      <c r="D38" s="21">
        <v>433.2</v>
      </c>
      <c r="E38" s="21">
        <v>444.2</v>
      </c>
      <c r="F38" s="21">
        <v>510.8</v>
      </c>
      <c r="G38" s="21">
        <v>532.9</v>
      </c>
      <c r="H38" s="21">
        <v>671.4</v>
      </c>
      <c r="I38" s="21">
        <v>844</v>
      </c>
      <c r="J38" s="21">
        <v>908</v>
      </c>
      <c r="K38" s="21">
        <v>1030.7</v>
      </c>
      <c r="L38" s="21">
        <v>1043.5</v>
      </c>
      <c r="M38" s="21">
        <v>1075.9000000000001</v>
      </c>
      <c r="N38" s="21">
        <v>1149.43</v>
      </c>
      <c r="O38" s="21">
        <v>1360.2</v>
      </c>
      <c r="P38" s="21">
        <v>1787.6</v>
      </c>
      <c r="Q38" s="21">
        <v>2323</v>
      </c>
      <c r="R38" s="21">
        <v>2171.6999999999998</v>
      </c>
      <c r="S38" s="21">
        <v>2625.8</v>
      </c>
      <c r="T38" s="178">
        <v>2640.6</v>
      </c>
      <c r="U38" s="142">
        <v>2930.2</v>
      </c>
      <c r="V38" s="142">
        <v>2666</v>
      </c>
      <c r="W38" s="142">
        <v>3386.4450000000002</v>
      </c>
      <c r="X38" s="142">
        <v>3968.6579999999999</v>
      </c>
      <c r="Y38" s="142">
        <v>4186.4040000000005</v>
      </c>
      <c r="Z38" s="142">
        <v>4065.0410000000002</v>
      </c>
    </row>
    <row r="39" spans="1:26" s="3" customFormat="1" ht="9.75" x14ac:dyDescent="0.2">
      <c r="A39" s="9" t="s">
        <v>27</v>
      </c>
      <c r="B39" s="21">
        <v>27.9</v>
      </c>
      <c r="C39" s="21">
        <v>7.8</v>
      </c>
      <c r="D39" s="21">
        <v>4.5</v>
      </c>
      <c r="E39" s="21">
        <v>13.3</v>
      </c>
      <c r="F39" s="21">
        <v>6.5</v>
      </c>
      <c r="G39" s="21">
        <v>8.1</v>
      </c>
      <c r="H39" s="21">
        <v>13.7</v>
      </c>
      <c r="I39" s="21">
        <v>12.7</v>
      </c>
      <c r="J39" s="21">
        <v>9.4</v>
      </c>
      <c r="K39" s="21">
        <v>22.1</v>
      </c>
      <c r="L39" s="21">
        <v>27.6</v>
      </c>
      <c r="M39" s="21">
        <v>23.2</v>
      </c>
      <c r="N39" s="21">
        <v>24.33</v>
      </c>
      <c r="O39" s="21">
        <v>24.8</v>
      </c>
      <c r="P39" s="21">
        <v>25.1</v>
      </c>
      <c r="Q39" s="21">
        <v>33.4</v>
      </c>
      <c r="R39" s="21">
        <v>59.2</v>
      </c>
      <c r="S39" s="21">
        <v>71</v>
      </c>
      <c r="T39" s="178">
        <v>46.3</v>
      </c>
      <c r="U39" s="142">
        <v>44.8</v>
      </c>
      <c r="V39" s="142">
        <v>35.6</v>
      </c>
      <c r="W39" s="142">
        <v>50.779000000000003</v>
      </c>
      <c r="X39" s="142">
        <v>180.392</v>
      </c>
      <c r="Y39" s="142">
        <v>60.701999999999998</v>
      </c>
      <c r="Z39" s="142">
        <v>72.153999999999996</v>
      </c>
    </row>
    <row r="40" spans="1:26" s="3" customFormat="1" ht="9.75" x14ac:dyDescent="0.2">
      <c r="A40" s="9" t="s">
        <v>28</v>
      </c>
      <c r="B40" s="21">
        <v>89</v>
      </c>
      <c r="C40" s="21">
        <v>93.9</v>
      </c>
      <c r="D40" s="21">
        <v>97.5</v>
      </c>
      <c r="E40" s="21">
        <v>109.4</v>
      </c>
      <c r="F40" s="21">
        <v>148.19999999999999</v>
      </c>
      <c r="G40" s="21">
        <v>143.1</v>
      </c>
      <c r="H40" s="21">
        <v>163.1</v>
      </c>
      <c r="I40" s="21">
        <v>204.5</v>
      </c>
      <c r="J40" s="21">
        <v>258.5</v>
      </c>
      <c r="K40" s="21">
        <v>246.2</v>
      </c>
      <c r="L40" s="21">
        <v>232.6</v>
      </c>
      <c r="M40" s="21">
        <v>270.7</v>
      </c>
      <c r="N40" s="21">
        <v>313.39</v>
      </c>
      <c r="O40" s="21">
        <v>323.10000000000002</v>
      </c>
      <c r="P40" s="21">
        <v>354</v>
      </c>
      <c r="Q40" s="21">
        <v>359.3</v>
      </c>
      <c r="R40" s="21">
        <v>361.9</v>
      </c>
      <c r="S40" s="21">
        <v>231.6</v>
      </c>
      <c r="T40" s="178">
        <v>264.39999999999998</v>
      </c>
      <c r="U40" s="142">
        <v>286.60000000000002</v>
      </c>
      <c r="V40" s="142">
        <v>282.5</v>
      </c>
      <c r="W40" s="142">
        <v>307.45299999999997</v>
      </c>
      <c r="X40" s="142">
        <v>343.90800000000002</v>
      </c>
      <c r="Y40" s="142">
        <v>376.95400000000001</v>
      </c>
      <c r="Z40" s="142">
        <v>337.851</v>
      </c>
    </row>
    <row r="41" spans="1:26" s="3" customFormat="1" ht="9.75" x14ac:dyDescent="0.2">
      <c r="A41" s="9" t="s">
        <v>29</v>
      </c>
      <c r="B41" s="21">
        <v>81.8</v>
      </c>
      <c r="C41" s="21">
        <v>92.4</v>
      </c>
      <c r="D41" s="21">
        <v>100.4</v>
      </c>
      <c r="E41" s="21">
        <v>113.6</v>
      </c>
      <c r="F41" s="21">
        <v>132.4</v>
      </c>
      <c r="G41" s="21">
        <v>99.6</v>
      </c>
      <c r="H41" s="21">
        <v>125.5</v>
      </c>
      <c r="I41" s="21">
        <v>131.30000000000001</v>
      </c>
      <c r="J41" s="21">
        <v>151.4</v>
      </c>
      <c r="K41" s="21">
        <v>191.8</v>
      </c>
      <c r="L41" s="21">
        <v>149.69999999999999</v>
      </c>
      <c r="M41" s="21">
        <v>177.7</v>
      </c>
      <c r="N41" s="21">
        <v>214.66</v>
      </c>
      <c r="O41" s="21">
        <v>184.6</v>
      </c>
      <c r="P41" s="21">
        <v>298</v>
      </c>
      <c r="Q41" s="21">
        <v>350.5</v>
      </c>
      <c r="R41" s="21">
        <v>272.3</v>
      </c>
      <c r="S41" s="21">
        <v>202.3</v>
      </c>
      <c r="T41" s="178">
        <v>235.9</v>
      </c>
      <c r="U41" s="142">
        <v>302.2</v>
      </c>
      <c r="V41" s="142">
        <v>272.60000000000002</v>
      </c>
      <c r="W41" s="142">
        <v>314.49400000000003</v>
      </c>
      <c r="X41" s="142">
        <v>339.62</v>
      </c>
      <c r="Y41" s="142">
        <v>378.99200000000002</v>
      </c>
      <c r="Z41" s="142">
        <v>361.73399999999998</v>
      </c>
    </row>
    <row r="42" spans="1:26" s="3" customFormat="1" ht="9.75" x14ac:dyDescent="0.2">
      <c r="A42" s="9" t="s">
        <v>30</v>
      </c>
      <c r="B42" s="21">
        <v>1080.9000000000001</v>
      </c>
      <c r="C42" s="21">
        <v>1118.2</v>
      </c>
      <c r="D42" s="21">
        <v>1213.7</v>
      </c>
      <c r="E42" s="21">
        <v>1757.9</v>
      </c>
      <c r="F42" s="21">
        <v>2032</v>
      </c>
      <c r="G42" s="21">
        <v>2273.4</v>
      </c>
      <c r="H42" s="21">
        <v>2375.6999999999998</v>
      </c>
      <c r="I42" s="21">
        <v>2636.9</v>
      </c>
      <c r="J42" s="21">
        <v>3211.6</v>
      </c>
      <c r="K42" s="21">
        <v>2603.1999999999998</v>
      </c>
      <c r="L42" s="21">
        <v>2656.5</v>
      </c>
      <c r="M42" s="21">
        <v>2705.7</v>
      </c>
      <c r="N42" s="21">
        <v>2576.5300000000002</v>
      </c>
      <c r="O42" s="21">
        <v>2583.5</v>
      </c>
      <c r="P42" s="21">
        <v>3261.8</v>
      </c>
      <c r="Q42" s="21">
        <v>3030.7</v>
      </c>
      <c r="R42" s="21">
        <v>3116.3</v>
      </c>
      <c r="S42" s="21">
        <v>3536.1</v>
      </c>
      <c r="T42" s="178">
        <v>3950.3</v>
      </c>
      <c r="U42" s="142">
        <v>3471.2</v>
      </c>
      <c r="V42" s="142">
        <v>3369.6</v>
      </c>
      <c r="W42" s="142">
        <v>3463.8359999999998</v>
      </c>
      <c r="X42" s="142">
        <v>3474.1689999999999</v>
      </c>
      <c r="Y42" s="142">
        <v>3482.663</v>
      </c>
      <c r="Z42" s="142">
        <v>2666.1529999999998</v>
      </c>
    </row>
    <row r="43" spans="1:26" s="3" customFormat="1" ht="18" x14ac:dyDescent="0.15">
      <c r="A43" s="8" t="s">
        <v>220</v>
      </c>
      <c r="B43" s="22">
        <v>3337.3999999999996</v>
      </c>
      <c r="C43" s="22">
        <f>SUM(C44:C50)</f>
        <v>3450.7000000000003</v>
      </c>
      <c r="D43" s="22">
        <f>SUM(D44:D50)</f>
        <v>3782</v>
      </c>
      <c r="E43" s="22">
        <f>SUM(E44:E50)</f>
        <v>3687</v>
      </c>
      <c r="F43" s="22">
        <f>SUM(F44:F50)</f>
        <v>4159.3</v>
      </c>
      <c r="G43" s="22">
        <v>4408.8999999999996</v>
      </c>
      <c r="H43" s="22">
        <f>SUM(H44:H50)</f>
        <v>5504.6</v>
      </c>
      <c r="I43" s="22">
        <f>SUM(I44:I50)</f>
        <v>7043.7000000000007</v>
      </c>
      <c r="J43" s="22">
        <f>SUM(J44:J50)</f>
        <v>7288.6999999999989</v>
      </c>
      <c r="K43" s="22">
        <f>SUM(K44:K50)</f>
        <v>6614.4</v>
      </c>
      <c r="L43" s="22">
        <v>6803.1</v>
      </c>
      <c r="M43" s="22">
        <v>6931.1</v>
      </c>
      <c r="N43" s="22">
        <v>7933.89</v>
      </c>
      <c r="O43" s="22">
        <v>7705.7</v>
      </c>
      <c r="P43" s="22">
        <v>10097.6</v>
      </c>
      <c r="Q43" s="22">
        <v>9320.1</v>
      </c>
      <c r="R43" s="22">
        <v>8962</v>
      </c>
      <c r="S43" s="22">
        <v>9622.1</v>
      </c>
      <c r="T43" s="177">
        <v>9067.2999999999993</v>
      </c>
      <c r="U43" s="140">
        <v>9920.1</v>
      </c>
      <c r="V43" s="140">
        <v>10701.1</v>
      </c>
      <c r="W43" s="140">
        <v>11999.141</v>
      </c>
      <c r="X43" s="140">
        <v>13760.758</v>
      </c>
      <c r="Y43" s="140">
        <v>14592.851000000001</v>
      </c>
      <c r="Z43" s="140">
        <v>13553.267</v>
      </c>
    </row>
    <row r="44" spans="1:26" s="3" customFormat="1" ht="9.75" x14ac:dyDescent="0.2">
      <c r="A44" s="9" t="s">
        <v>31</v>
      </c>
      <c r="B44" s="21">
        <v>67.8</v>
      </c>
      <c r="C44" s="21">
        <v>73.400000000000006</v>
      </c>
      <c r="D44" s="21">
        <v>118.1</v>
      </c>
      <c r="E44" s="21">
        <v>58.2</v>
      </c>
      <c r="F44" s="21">
        <v>39.6</v>
      </c>
      <c r="G44" s="21">
        <v>71.599999999999994</v>
      </c>
      <c r="H44" s="21">
        <v>42.1</v>
      </c>
      <c r="I44" s="21">
        <v>68.7</v>
      </c>
      <c r="J44" s="21">
        <v>80.8</v>
      </c>
      <c r="K44" s="21">
        <v>125.7</v>
      </c>
      <c r="L44" s="21">
        <v>135</v>
      </c>
      <c r="M44" s="21">
        <v>122.3</v>
      </c>
      <c r="N44" s="21">
        <v>97.74</v>
      </c>
      <c r="O44" s="21">
        <v>106.9</v>
      </c>
      <c r="P44" s="21">
        <v>270.89999999999998</v>
      </c>
      <c r="Q44" s="21">
        <v>296.5</v>
      </c>
      <c r="R44" s="21">
        <v>235.2</v>
      </c>
      <c r="S44" s="21">
        <v>244.3</v>
      </c>
      <c r="T44" s="178">
        <v>187</v>
      </c>
      <c r="U44" s="142">
        <v>257</v>
      </c>
      <c r="V44" s="142">
        <v>258.10000000000002</v>
      </c>
      <c r="W44" s="142">
        <v>307.09699999999998</v>
      </c>
      <c r="X44" s="142">
        <v>467.98899999999998</v>
      </c>
      <c r="Y44" s="142">
        <v>564.03800000000001</v>
      </c>
      <c r="Z44" s="142">
        <v>565.61699999999996</v>
      </c>
    </row>
    <row r="45" spans="1:26" s="3" customFormat="1" ht="9.75" x14ac:dyDescent="0.2">
      <c r="A45" s="9" t="s">
        <v>32</v>
      </c>
      <c r="B45" s="21">
        <v>36.799999999999997</v>
      </c>
      <c r="C45" s="21">
        <v>77</v>
      </c>
      <c r="D45" s="21">
        <v>64</v>
      </c>
      <c r="E45" s="21">
        <v>50.2</v>
      </c>
      <c r="F45" s="21">
        <v>51.8</v>
      </c>
      <c r="G45" s="21">
        <v>48.8</v>
      </c>
      <c r="H45" s="21">
        <v>62.8</v>
      </c>
      <c r="I45" s="21">
        <v>77.7</v>
      </c>
      <c r="J45" s="21">
        <v>59.3</v>
      </c>
      <c r="K45" s="21">
        <v>72.3</v>
      </c>
      <c r="L45" s="21">
        <v>87.3</v>
      </c>
      <c r="M45" s="21">
        <v>103.9</v>
      </c>
      <c r="N45" s="21">
        <v>85.23</v>
      </c>
      <c r="O45" s="21">
        <v>111</v>
      </c>
      <c r="P45" s="21">
        <v>125.2</v>
      </c>
      <c r="Q45" s="21">
        <v>126</v>
      </c>
      <c r="R45" s="21">
        <v>70.8</v>
      </c>
      <c r="S45" s="21">
        <v>96.3</v>
      </c>
      <c r="T45" s="178">
        <v>90.4</v>
      </c>
      <c r="U45" s="142">
        <v>101.2</v>
      </c>
      <c r="V45" s="142">
        <v>87.5</v>
      </c>
      <c r="W45" s="142">
        <v>121.968</v>
      </c>
      <c r="X45" s="142">
        <v>123.03</v>
      </c>
      <c r="Y45" s="142">
        <v>142.00399999999999</v>
      </c>
      <c r="Z45" s="142">
        <v>130.876</v>
      </c>
    </row>
    <row r="46" spans="1:26" s="3" customFormat="1" ht="9.75" x14ac:dyDescent="0.2">
      <c r="A46" s="9" t="s">
        <v>33</v>
      </c>
      <c r="B46" s="21"/>
      <c r="C46" s="21"/>
      <c r="D46" s="21"/>
      <c r="E46" s="21"/>
      <c r="F46" s="21"/>
      <c r="G46" s="21" t="s">
        <v>258</v>
      </c>
      <c r="H46" s="21"/>
      <c r="I46" s="21"/>
      <c r="J46" s="21"/>
      <c r="K46" s="21"/>
      <c r="L46" s="21" t="s">
        <v>258</v>
      </c>
      <c r="M46" s="21" t="s">
        <v>258</v>
      </c>
      <c r="N46" s="21" t="s">
        <v>258</v>
      </c>
      <c r="O46" s="21" t="s">
        <v>258</v>
      </c>
      <c r="P46" s="21">
        <v>634.20000000000005</v>
      </c>
      <c r="Q46" s="21">
        <v>252.6</v>
      </c>
      <c r="R46" s="21">
        <v>285.5</v>
      </c>
      <c r="S46" s="21">
        <v>833.7</v>
      </c>
      <c r="T46" s="178">
        <v>774.9</v>
      </c>
      <c r="U46" s="142">
        <v>799.7</v>
      </c>
      <c r="V46" s="142">
        <v>809</v>
      </c>
      <c r="W46" s="142">
        <v>742.65499999999997</v>
      </c>
      <c r="X46" s="142">
        <v>927.19399999999996</v>
      </c>
      <c r="Y46" s="142">
        <v>1219.5719999999999</v>
      </c>
      <c r="Z46" s="142">
        <v>1239.8050000000001</v>
      </c>
    </row>
    <row r="47" spans="1:26" s="3" customFormat="1" ht="9.75" x14ac:dyDescent="0.2">
      <c r="A47" s="9" t="s">
        <v>34</v>
      </c>
      <c r="B47" s="21">
        <v>1391.6</v>
      </c>
      <c r="C47" s="21">
        <v>1440.2</v>
      </c>
      <c r="D47" s="21">
        <v>1645</v>
      </c>
      <c r="E47" s="21">
        <v>1580.1</v>
      </c>
      <c r="F47" s="21">
        <v>1809.6</v>
      </c>
      <c r="G47" s="21">
        <v>1939.5</v>
      </c>
      <c r="H47" s="21">
        <v>2704.8</v>
      </c>
      <c r="I47" s="21">
        <v>3704.1</v>
      </c>
      <c r="J47" s="21">
        <v>3937.6</v>
      </c>
      <c r="K47" s="21">
        <v>3411.7</v>
      </c>
      <c r="L47" s="21">
        <v>3605.5</v>
      </c>
      <c r="M47" s="21">
        <v>3691.7</v>
      </c>
      <c r="N47" s="21">
        <v>4371</v>
      </c>
      <c r="O47" s="21">
        <v>3948.7</v>
      </c>
      <c r="P47" s="21">
        <v>4759</v>
      </c>
      <c r="Q47" s="21">
        <v>4644.3</v>
      </c>
      <c r="R47" s="21">
        <v>4502</v>
      </c>
      <c r="S47" s="21">
        <v>4728.3999999999996</v>
      </c>
      <c r="T47" s="178">
        <v>4414.8999999999996</v>
      </c>
      <c r="U47" s="142">
        <v>4532</v>
      </c>
      <c r="V47" s="142">
        <v>5124.3</v>
      </c>
      <c r="W47" s="142">
        <v>6283.1220000000003</v>
      </c>
      <c r="X47" s="142">
        <v>7592.6310000000003</v>
      </c>
      <c r="Y47" s="142">
        <v>7640.3739999999998</v>
      </c>
      <c r="Z47" s="142">
        <v>6682.4120000000003</v>
      </c>
    </row>
    <row r="48" spans="1:26" s="3" customFormat="1" ht="9.75" x14ac:dyDescent="0.2">
      <c r="A48" s="9" t="s">
        <v>35</v>
      </c>
      <c r="B48" s="21">
        <v>484.9</v>
      </c>
      <c r="C48" s="21">
        <v>496.4</v>
      </c>
      <c r="D48" s="21">
        <v>520.9</v>
      </c>
      <c r="E48" s="21">
        <v>582.1</v>
      </c>
      <c r="F48" s="21">
        <v>630.6</v>
      </c>
      <c r="G48" s="21">
        <v>648.29999999999995</v>
      </c>
      <c r="H48" s="21">
        <v>668.8</v>
      </c>
      <c r="I48" s="21">
        <v>725.3</v>
      </c>
      <c r="J48" s="21">
        <v>382.4</v>
      </c>
      <c r="K48" s="21">
        <v>476.4</v>
      </c>
      <c r="L48" s="21">
        <v>499.7</v>
      </c>
      <c r="M48" s="21">
        <v>504.3</v>
      </c>
      <c r="N48" s="21">
        <v>511.11</v>
      </c>
      <c r="O48" s="21">
        <v>595.20000000000005</v>
      </c>
      <c r="P48" s="21">
        <v>623.70000000000005</v>
      </c>
      <c r="Q48" s="21">
        <v>575.29999999999995</v>
      </c>
      <c r="R48" s="21">
        <v>602.9</v>
      </c>
      <c r="S48" s="21">
        <v>483.5</v>
      </c>
      <c r="T48" s="178">
        <v>328.3</v>
      </c>
      <c r="U48" s="142">
        <v>318.5</v>
      </c>
      <c r="V48" s="142">
        <v>365</v>
      </c>
      <c r="W48" s="142">
        <v>543.423</v>
      </c>
      <c r="X48" s="142">
        <v>590.78200000000004</v>
      </c>
      <c r="Y48" s="142">
        <v>632.09199999999998</v>
      </c>
      <c r="Z48" s="142">
        <v>601.303</v>
      </c>
    </row>
    <row r="49" spans="1:26" s="3" customFormat="1" ht="9.75" x14ac:dyDescent="0.2">
      <c r="A49" s="9" t="s">
        <v>36</v>
      </c>
      <c r="B49" s="21">
        <v>400.5</v>
      </c>
      <c r="C49" s="21">
        <v>407.3</v>
      </c>
      <c r="D49" s="21">
        <v>450.1</v>
      </c>
      <c r="E49" s="21">
        <v>411.8</v>
      </c>
      <c r="F49" s="21">
        <v>508.5</v>
      </c>
      <c r="G49" s="21">
        <v>514.79999999999995</v>
      </c>
      <c r="H49" s="21">
        <v>638</v>
      </c>
      <c r="I49" s="21">
        <v>762.3</v>
      </c>
      <c r="J49" s="21">
        <v>820.2</v>
      </c>
      <c r="K49" s="21">
        <v>723.1</v>
      </c>
      <c r="L49" s="21">
        <v>666.9</v>
      </c>
      <c r="M49" s="21">
        <v>628.70000000000005</v>
      </c>
      <c r="N49" s="21">
        <v>884.78</v>
      </c>
      <c r="O49" s="21">
        <v>810.3</v>
      </c>
      <c r="P49" s="21">
        <v>1115</v>
      </c>
      <c r="Q49" s="21">
        <v>911.7</v>
      </c>
      <c r="R49" s="21">
        <v>754</v>
      </c>
      <c r="S49" s="21">
        <v>727.6</v>
      </c>
      <c r="T49" s="178">
        <v>610.20000000000005</v>
      </c>
      <c r="U49" s="142">
        <v>731.4</v>
      </c>
      <c r="V49" s="142">
        <v>770.7</v>
      </c>
      <c r="W49" s="142">
        <v>796.755</v>
      </c>
      <c r="X49" s="142">
        <v>798.495</v>
      </c>
      <c r="Y49" s="142">
        <v>951.05</v>
      </c>
      <c r="Z49" s="142">
        <v>1036.1669999999999</v>
      </c>
    </row>
    <row r="50" spans="1:26" s="3" customFormat="1" ht="9.75" x14ac:dyDescent="0.2">
      <c r="A50" s="9" t="s">
        <v>37</v>
      </c>
      <c r="B50" s="21">
        <v>955.8</v>
      </c>
      <c r="C50" s="21">
        <v>956.4</v>
      </c>
      <c r="D50" s="21">
        <v>983.9</v>
      </c>
      <c r="E50" s="21">
        <v>1004.6</v>
      </c>
      <c r="F50" s="21">
        <v>1119.2</v>
      </c>
      <c r="G50" s="21">
        <v>1185.9000000000001</v>
      </c>
      <c r="H50" s="21">
        <v>1388.1</v>
      </c>
      <c r="I50" s="21">
        <v>1705.6</v>
      </c>
      <c r="J50" s="21">
        <v>2008.4</v>
      </c>
      <c r="K50" s="21">
        <v>1805.2</v>
      </c>
      <c r="L50" s="21">
        <v>1808.6</v>
      </c>
      <c r="M50" s="21">
        <v>1880.3</v>
      </c>
      <c r="N50" s="21">
        <v>1984.03</v>
      </c>
      <c r="O50" s="21">
        <v>2133.6</v>
      </c>
      <c r="P50" s="21">
        <v>2325</v>
      </c>
      <c r="Q50" s="21">
        <v>2408.6999999999998</v>
      </c>
      <c r="R50" s="21">
        <v>2293.1</v>
      </c>
      <c r="S50" s="21">
        <v>2333.9</v>
      </c>
      <c r="T50" s="178">
        <v>2347.4</v>
      </c>
      <c r="U50" s="142">
        <v>2611.3000000000002</v>
      </c>
      <c r="V50" s="142">
        <v>2644.3</v>
      </c>
      <c r="W50" s="142">
        <v>2686.0790000000002</v>
      </c>
      <c r="X50" s="142">
        <v>2703.7220000000002</v>
      </c>
      <c r="Y50" s="142">
        <v>2963.4270000000001</v>
      </c>
      <c r="Z50" s="142">
        <v>2950.8589999999999</v>
      </c>
    </row>
    <row r="51" spans="1:26" s="3" customFormat="1" ht="9.75" x14ac:dyDescent="0.2">
      <c r="A51" s="9" t="s">
        <v>38</v>
      </c>
      <c r="B51" s="21"/>
      <c r="C51" s="21"/>
      <c r="D51" s="21"/>
      <c r="E51" s="21"/>
      <c r="F51" s="21"/>
      <c r="G51" s="21" t="s">
        <v>258</v>
      </c>
      <c r="H51" s="21"/>
      <c r="I51" s="21"/>
      <c r="J51" s="21"/>
      <c r="K51" s="21"/>
      <c r="L51" s="21" t="s">
        <v>258</v>
      </c>
      <c r="M51" s="21" t="s">
        <v>258</v>
      </c>
      <c r="N51" s="21" t="s">
        <v>258</v>
      </c>
      <c r="O51" s="21" t="s">
        <v>258</v>
      </c>
      <c r="P51" s="21">
        <v>244.6</v>
      </c>
      <c r="Q51" s="21">
        <v>105</v>
      </c>
      <c r="R51" s="21">
        <v>218.5</v>
      </c>
      <c r="S51" s="21">
        <v>174.3</v>
      </c>
      <c r="T51" s="178">
        <v>314.3</v>
      </c>
      <c r="U51" s="142">
        <v>568.9</v>
      </c>
      <c r="V51" s="142">
        <v>642.4</v>
      </c>
      <c r="W51" s="142">
        <v>518.04200000000003</v>
      </c>
      <c r="X51" s="142">
        <v>556.91499999999996</v>
      </c>
      <c r="Y51" s="142">
        <v>480.29399999999998</v>
      </c>
      <c r="Z51" s="142">
        <v>346.22800000000001</v>
      </c>
    </row>
    <row r="52" spans="1:26" s="3" customFormat="1" ht="18" x14ac:dyDescent="0.15">
      <c r="A52" s="8" t="s">
        <v>115</v>
      </c>
      <c r="B52" s="22">
        <v>1493.1000000000001</v>
      </c>
      <c r="C52" s="22">
        <f>SUM(C53:C59)</f>
        <v>1610.7999999999997</v>
      </c>
      <c r="D52" s="22">
        <f>SUM(D53:D59)</f>
        <v>1500.6999999999998</v>
      </c>
      <c r="E52" s="22">
        <f>SUM(E53:E59)</f>
        <v>1591.9</v>
      </c>
      <c r="F52" s="22">
        <f>SUM(F53:F59)</f>
        <v>1664.5</v>
      </c>
      <c r="G52" s="22">
        <v>1803.8000000000002</v>
      </c>
      <c r="H52" s="22">
        <f>SUM(H53:H59)</f>
        <v>2082.9</v>
      </c>
      <c r="I52" s="22">
        <f>SUM(I53:I59)</f>
        <v>2527.6</v>
      </c>
      <c r="J52" s="22">
        <f>SUM(J53:J59)</f>
        <v>2629.1000000000004</v>
      </c>
      <c r="K52" s="22">
        <f>SUM(K53:K59)</f>
        <v>2799.8999999999996</v>
      </c>
      <c r="L52" s="22">
        <v>3030.6</v>
      </c>
      <c r="M52" s="22">
        <v>3192.5</v>
      </c>
      <c r="N52" s="22">
        <v>3749.3</v>
      </c>
      <c r="O52" s="22">
        <v>4141.5</v>
      </c>
      <c r="P52" s="22">
        <v>5011.8999999999996</v>
      </c>
      <c r="Q52" s="22">
        <v>4996.7</v>
      </c>
      <c r="R52" s="22">
        <v>5031</v>
      </c>
      <c r="S52" s="22">
        <v>5081.7</v>
      </c>
      <c r="T52" s="177">
        <v>3557.3</v>
      </c>
      <c r="U52" s="140">
        <v>4027.5</v>
      </c>
      <c r="V52" s="140">
        <v>3995.8</v>
      </c>
      <c r="W52" s="140">
        <v>4718.5709999999999</v>
      </c>
      <c r="X52" s="140">
        <v>5970.2920000000004</v>
      </c>
      <c r="Y52" s="140">
        <v>7364.0820000000003</v>
      </c>
      <c r="Z52" s="140">
        <v>9062.8369999999995</v>
      </c>
    </row>
    <row r="53" spans="1:26" s="3" customFormat="1" ht="9.75" x14ac:dyDescent="0.2">
      <c r="A53" s="9" t="s">
        <v>39</v>
      </c>
      <c r="B53" s="21">
        <v>433.1</v>
      </c>
      <c r="C53" s="21">
        <v>567.79999999999995</v>
      </c>
      <c r="D53" s="21">
        <v>484.9</v>
      </c>
      <c r="E53" s="21">
        <v>520.20000000000005</v>
      </c>
      <c r="F53" s="21">
        <v>578</v>
      </c>
      <c r="G53" s="21">
        <v>628.1</v>
      </c>
      <c r="H53" s="21">
        <v>715.2</v>
      </c>
      <c r="I53" s="21">
        <v>800.1</v>
      </c>
      <c r="J53" s="21">
        <v>907.1</v>
      </c>
      <c r="K53" s="21">
        <v>1065.9000000000001</v>
      </c>
      <c r="L53" s="21">
        <v>1123.8</v>
      </c>
      <c r="M53" s="21">
        <v>1212.4000000000001</v>
      </c>
      <c r="N53" s="21">
        <v>1435.87</v>
      </c>
      <c r="O53" s="21">
        <v>1536.4</v>
      </c>
      <c r="P53" s="21">
        <v>1647.7</v>
      </c>
      <c r="Q53" s="21">
        <v>1809.8</v>
      </c>
      <c r="R53" s="21">
        <v>1862</v>
      </c>
      <c r="S53" s="21">
        <v>2000.1</v>
      </c>
      <c r="T53" s="178">
        <v>976</v>
      </c>
      <c r="U53" s="142">
        <v>1018.6</v>
      </c>
      <c r="V53" s="142">
        <v>969.7</v>
      </c>
      <c r="W53" s="142">
        <v>1031.242</v>
      </c>
      <c r="X53" s="142">
        <v>1005.3390000000001</v>
      </c>
      <c r="Y53" s="142">
        <v>1617.377</v>
      </c>
      <c r="Z53" s="142">
        <v>2900.9639999999999</v>
      </c>
    </row>
    <row r="54" spans="1:26" s="3" customFormat="1" ht="9.75" x14ac:dyDescent="0.2">
      <c r="A54" s="9" t="s">
        <v>99</v>
      </c>
      <c r="B54" s="21">
        <v>14.6</v>
      </c>
      <c r="C54" s="21">
        <v>25.3</v>
      </c>
      <c r="D54" s="21">
        <v>14.4</v>
      </c>
      <c r="E54" s="21">
        <v>19.8</v>
      </c>
      <c r="F54" s="21">
        <v>17.8</v>
      </c>
      <c r="G54" s="21">
        <v>24.1</v>
      </c>
      <c r="H54" s="21">
        <v>23.9</v>
      </c>
      <c r="I54" s="21">
        <v>231</v>
      </c>
      <c r="J54" s="21">
        <v>62.2</v>
      </c>
      <c r="K54" s="21">
        <v>37.299999999999997</v>
      </c>
      <c r="L54" s="21">
        <v>158.4</v>
      </c>
      <c r="M54" s="21">
        <v>81.8</v>
      </c>
      <c r="N54" s="21">
        <v>89.44</v>
      </c>
      <c r="O54" s="21">
        <v>250.6</v>
      </c>
      <c r="P54" s="21">
        <v>259.5</v>
      </c>
      <c r="Q54" s="21">
        <v>262.3</v>
      </c>
      <c r="R54" s="21">
        <v>271.60000000000002</v>
      </c>
      <c r="S54" s="21">
        <v>309.3</v>
      </c>
      <c r="T54" s="178">
        <v>235.7</v>
      </c>
      <c r="U54" s="142">
        <v>280.10000000000002</v>
      </c>
      <c r="V54" s="142">
        <v>180.3</v>
      </c>
      <c r="W54" s="142">
        <v>111.97499999999999</v>
      </c>
      <c r="X54" s="142">
        <v>134.88300000000001</v>
      </c>
      <c r="Y54" s="142">
        <v>162.60599999999999</v>
      </c>
      <c r="Z54" s="142">
        <v>171.68600000000001</v>
      </c>
    </row>
    <row r="55" spans="1:26" s="3" customFormat="1" ht="19.5" x14ac:dyDescent="0.2">
      <c r="A55" s="9" t="s">
        <v>41</v>
      </c>
      <c r="B55" s="21">
        <v>192.6</v>
      </c>
      <c r="C55" s="21">
        <v>205.6</v>
      </c>
      <c r="D55" s="21">
        <v>209.8</v>
      </c>
      <c r="E55" s="21">
        <v>214.2</v>
      </c>
      <c r="F55" s="21">
        <v>221.4</v>
      </c>
      <c r="G55" s="21">
        <v>229.1</v>
      </c>
      <c r="H55" s="21">
        <v>229.3</v>
      </c>
      <c r="I55" s="21">
        <v>237</v>
      </c>
      <c r="J55" s="21">
        <v>247.3</v>
      </c>
      <c r="K55" s="21">
        <v>255.6</v>
      </c>
      <c r="L55" s="21">
        <v>264.2</v>
      </c>
      <c r="M55" s="21">
        <v>273</v>
      </c>
      <c r="N55" s="21">
        <v>281.86</v>
      </c>
      <c r="O55" s="21">
        <v>290.8</v>
      </c>
      <c r="P55" s="21">
        <v>328.4</v>
      </c>
      <c r="Q55" s="21">
        <v>375.1</v>
      </c>
      <c r="R55" s="21">
        <v>412.4</v>
      </c>
      <c r="S55" s="21">
        <v>426.8</v>
      </c>
      <c r="T55" s="178">
        <v>435.7</v>
      </c>
      <c r="U55" s="142">
        <v>474.1</v>
      </c>
      <c r="V55" s="142">
        <v>500.4</v>
      </c>
      <c r="W55" s="142">
        <v>514.38099999999997</v>
      </c>
      <c r="X55" s="142">
        <v>522.6</v>
      </c>
      <c r="Y55" s="142">
        <v>559.29300000000001</v>
      </c>
      <c r="Z55" s="142">
        <v>610.81500000000005</v>
      </c>
    </row>
    <row r="56" spans="1:26" s="3" customFormat="1" ht="19.5" x14ac:dyDescent="0.2">
      <c r="A56" s="9" t="s">
        <v>42</v>
      </c>
      <c r="B56" s="21">
        <v>50.2</v>
      </c>
      <c r="C56" s="21">
        <v>75.3</v>
      </c>
      <c r="D56" s="21">
        <v>66.400000000000006</v>
      </c>
      <c r="E56" s="21">
        <v>68.5</v>
      </c>
      <c r="F56" s="21">
        <v>63.2</v>
      </c>
      <c r="G56" s="21">
        <v>62</v>
      </c>
      <c r="H56" s="21">
        <v>80.599999999999994</v>
      </c>
      <c r="I56" s="21">
        <v>92.9</v>
      </c>
      <c r="J56" s="21">
        <v>95.5</v>
      </c>
      <c r="K56" s="21">
        <v>90.1</v>
      </c>
      <c r="L56" s="21">
        <v>70.2</v>
      </c>
      <c r="M56" s="21">
        <v>82.4</v>
      </c>
      <c r="N56" s="21">
        <v>87.76</v>
      </c>
      <c r="O56" s="21">
        <v>113.1</v>
      </c>
      <c r="P56" s="21">
        <v>173.5</v>
      </c>
      <c r="Q56" s="21">
        <v>184</v>
      </c>
      <c r="R56" s="21">
        <v>165.1</v>
      </c>
      <c r="S56" s="21">
        <v>201.8</v>
      </c>
      <c r="T56" s="178">
        <v>174.8</v>
      </c>
      <c r="U56" s="142">
        <v>212.3</v>
      </c>
      <c r="V56" s="142">
        <v>127.8</v>
      </c>
      <c r="W56" s="142">
        <v>235.167</v>
      </c>
      <c r="X56" s="142">
        <v>309.02</v>
      </c>
      <c r="Y56" s="142">
        <v>419.928</v>
      </c>
      <c r="Z56" s="142">
        <v>372.82400000000001</v>
      </c>
    </row>
    <row r="57" spans="1:26" s="3" customFormat="1" ht="19.5" x14ac:dyDescent="0.2">
      <c r="A57" s="9" t="s">
        <v>43</v>
      </c>
      <c r="B57" s="21">
        <v>134.5</v>
      </c>
      <c r="C57" s="21">
        <v>163.9</v>
      </c>
      <c r="D57" s="21">
        <v>134.1</v>
      </c>
      <c r="E57" s="21">
        <v>135.9</v>
      </c>
      <c r="F57" s="21">
        <v>136.19999999999999</v>
      </c>
      <c r="G57" s="21">
        <v>119</v>
      </c>
      <c r="H57" s="21">
        <v>157.9</v>
      </c>
      <c r="I57" s="21">
        <v>175.5</v>
      </c>
      <c r="J57" s="21">
        <v>196.9</v>
      </c>
      <c r="K57" s="21">
        <v>197.7</v>
      </c>
      <c r="L57" s="21">
        <v>198</v>
      </c>
      <c r="M57" s="21">
        <v>200.1</v>
      </c>
      <c r="N57" s="21">
        <v>205.73</v>
      </c>
      <c r="O57" s="21">
        <v>210.3</v>
      </c>
      <c r="P57" s="21">
        <v>170.8</v>
      </c>
      <c r="Q57" s="21">
        <v>174</v>
      </c>
      <c r="R57" s="21">
        <v>177.5</v>
      </c>
      <c r="S57" s="21">
        <v>192.2</v>
      </c>
      <c r="T57" s="178">
        <v>209.9</v>
      </c>
      <c r="U57" s="142">
        <v>228.6</v>
      </c>
      <c r="V57" s="142">
        <v>239.4</v>
      </c>
      <c r="W57" s="142">
        <v>322.154</v>
      </c>
      <c r="X57" s="142">
        <v>341.77600000000001</v>
      </c>
      <c r="Y57" s="142">
        <v>481.452</v>
      </c>
      <c r="Z57" s="142">
        <v>511.09</v>
      </c>
    </row>
    <row r="58" spans="1:26" s="3" customFormat="1" ht="9.75" x14ac:dyDescent="0.2">
      <c r="A58" s="9" t="s">
        <v>97</v>
      </c>
      <c r="B58" s="21" t="s">
        <v>96</v>
      </c>
      <c r="C58" s="21" t="s">
        <v>96</v>
      </c>
      <c r="D58" s="21" t="s">
        <v>96</v>
      </c>
      <c r="E58" s="21" t="s">
        <v>96</v>
      </c>
      <c r="F58" s="21" t="s">
        <v>96</v>
      </c>
      <c r="G58" s="21">
        <v>40.5</v>
      </c>
      <c r="H58" s="21">
        <v>80.3</v>
      </c>
      <c r="I58" s="21">
        <v>45.3</v>
      </c>
      <c r="J58" s="21">
        <v>55</v>
      </c>
      <c r="K58" s="21">
        <v>74.8</v>
      </c>
      <c r="L58" s="21">
        <v>115.3</v>
      </c>
      <c r="M58" s="21">
        <v>76</v>
      </c>
      <c r="N58" s="21">
        <v>315.91000000000003</v>
      </c>
      <c r="O58" s="21">
        <v>365.7</v>
      </c>
      <c r="P58" s="21">
        <v>1140.0999999999999</v>
      </c>
      <c r="Q58" s="21">
        <v>943.2</v>
      </c>
      <c r="R58" s="21">
        <v>1041.5</v>
      </c>
      <c r="S58" s="21">
        <v>1069.3</v>
      </c>
      <c r="T58" s="178">
        <v>600.29999999999995</v>
      </c>
      <c r="U58" s="142">
        <v>637.29999999999995</v>
      </c>
      <c r="V58" s="142">
        <v>756.2</v>
      </c>
      <c r="W58" s="142">
        <v>1024.5340000000001</v>
      </c>
      <c r="X58" s="142">
        <v>2016.2850000000001</v>
      </c>
      <c r="Y58" s="142">
        <v>2331.5010000000002</v>
      </c>
      <c r="Z58" s="142">
        <v>2605.0230000000001</v>
      </c>
    </row>
    <row r="59" spans="1:26" s="3" customFormat="1" ht="9.75" x14ac:dyDescent="0.2">
      <c r="A59" s="72" t="s">
        <v>45</v>
      </c>
      <c r="B59" s="21">
        <v>668.1</v>
      </c>
      <c r="C59" s="21">
        <v>572.9</v>
      </c>
      <c r="D59" s="21">
        <v>591.1</v>
      </c>
      <c r="E59" s="21">
        <v>633.29999999999995</v>
      </c>
      <c r="F59" s="21">
        <v>647.9</v>
      </c>
      <c r="G59" s="21">
        <v>701</v>
      </c>
      <c r="H59" s="21">
        <v>795.7</v>
      </c>
      <c r="I59" s="21">
        <v>945.8</v>
      </c>
      <c r="J59" s="21">
        <v>1065.0999999999999</v>
      </c>
      <c r="K59" s="21">
        <v>1078.5</v>
      </c>
      <c r="L59" s="21">
        <v>1100.9000000000001</v>
      </c>
      <c r="M59" s="21">
        <v>1267</v>
      </c>
      <c r="N59" s="21">
        <v>1332.74</v>
      </c>
      <c r="O59" s="21">
        <v>1374.6</v>
      </c>
      <c r="P59" s="21">
        <v>1291.9000000000001</v>
      </c>
      <c r="Q59" s="21">
        <v>1248.3</v>
      </c>
      <c r="R59" s="21">
        <v>1101</v>
      </c>
      <c r="S59" s="21">
        <v>882.1</v>
      </c>
      <c r="T59" s="178">
        <v>924.9</v>
      </c>
      <c r="U59" s="139">
        <v>1176.5</v>
      </c>
      <c r="V59" s="142">
        <v>1222</v>
      </c>
      <c r="W59" s="142">
        <v>1479.1179999999999</v>
      </c>
      <c r="X59" s="142">
        <v>1640.3889999999999</v>
      </c>
      <c r="Y59" s="142">
        <v>1791.925</v>
      </c>
      <c r="Z59" s="142">
        <v>1890.4349999999999</v>
      </c>
    </row>
    <row r="60" spans="1:26" s="3" customFormat="1" ht="18" x14ac:dyDescent="0.15">
      <c r="A60" s="7" t="s">
        <v>90</v>
      </c>
      <c r="B60" s="22">
        <v>6934.1</v>
      </c>
      <c r="C60" s="22">
        <v>7462.3</v>
      </c>
      <c r="D60" s="22">
        <v>7473.2</v>
      </c>
      <c r="E60" s="22">
        <v>7603.9</v>
      </c>
      <c r="F60" s="22">
        <v>8264.7000000000007</v>
      </c>
      <c r="G60" s="22">
        <v>9141.7999999999993</v>
      </c>
      <c r="H60" s="22">
        <v>10017.299999999999</v>
      </c>
      <c r="I60" s="22">
        <v>12288.6</v>
      </c>
      <c r="J60" s="22">
        <v>13563.9</v>
      </c>
      <c r="K60" s="22">
        <v>12725.5</v>
      </c>
      <c r="L60" s="22">
        <v>12440.1</v>
      </c>
      <c r="M60" s="22">
        <v>13602.2</v>
      </c>
      <c r="N60" s="22">
        <v>14182.12</v>
      </c>
      <c r="O60" s="22">
        <v>15260.3</v>
      </c>
      <c r="P60" s="22">
        <v>16855.7</v>
      </c>
      <c r="Q60" s="22">
        <v>16888.900000000001</v>
      </c>
      <c r="R60" s="22">
        <v>16162.1</v>
      </c>
      <c r="S60" s="22">
        <v>15640.8</v>
      </c>
      <c r="T60" s="177">
        <v>15222.8</v>
      </c>
      <c r="U60" s="105">
        <v>16190.2</v>
      </c>
      <c r="V60" s="140">
        <v>15774.9</v>
      </c>
      <c r="W60" s="140">
        <v>17403.914000000001</v>
      </c>
      <c r="X60" s="140">
        <v>18541.039000000001</v>
      </c>
      <c r="Y60" s="140">
        <v>20158.292000000001</v>
      </c>
      <c r="Z60" s="140">
        <v>20256.216</v>
      </c>
    </row>
    <row r="61" spans="1:26" s="3" customFormat="1" ht="9.75" x14ac:dyDescent="0.2">
      <c r="A61" s="9" t="s">
        <v>46</v>
      </c>
      <c r="B61" s="21">
        <v>1254.9000000000001</v>
      </c>
      <c r="C61" s="21">
        <v>1400.6</v>
      </c>
      <c r="D61" s="21">
        <v>1406.7</v>
      </c>
      <c r="E61" s="21">
        <v>1467.7</v>
      </c>
      <c r="F61" s="21">
        <v>1509.2</v>
      </c>
      <c r="G61" s="21">
        <v>1608.4</v>
      </c>
      <c r="H61" s="21">
        <v>1705.1</v>
      </c>
      <c r="I61" s="21">
        <v>1856.8</v>
      </c>
      <c r="J61" s="21">
        <v>2351.8000000000002</v>
      </c>
      <c r="K61" s="21">
        <v>2352.6999999999998</v>
      </c>
      <c r="L61" s="21">
        <v>2007</v>
      </c>
      <c r="M61" s="21">
        <v>2109.3000000000002</v>
      </c>
      <c r="N61" s="21">
        <v>2323.61</v>
      </c>
      <c r="O61" s="21">
        <v>2485.3000000000002</v>
      </c>
      <c r="P61" s="21">
        <v>2652.1</v>
      </c>
      <c r="Q61" s="21">
        <v>2690.7</v>
      </c>
      <c r="R61" s="21">
        <v>2698.2</v>
      </c>
      <c r="S61" s="21">
        <v>2460.5</v>
      </c>
      <c r="T61" s="178">
        <v>2290</v>
      </c>
      <c r="U61" s="142">
        <v>2371.8000000000002</v>
      </c>
      <c r="V61" s="142">
        <v>2455.1</v>
      </c>
      <c r="W61" s="142">
        <v>2906.2240000000002</v>
      </c>
      <c r="X61" s="142">
        <v>3062.47</v>
      </c>
      <c r="Y61" s="142">
        <v>3315.4650000000001</v>
      </c>
      <c r="Z61" s="142">
        <v>3348.2</v>
      </c>
    </row>
    <row r="62" spans="1:26" s="3" customFormat="1" ht="9.75" x14ac:dyDescent="0.2">
      <c r="A62" s="9" t="s">
        <v>47</v>
      </c>
      <c r="B62" s="21">
        <v>120.2</v>
      </c>
      <c r="C62" s="21">
        <v>131.4</v>
      </c>
      <c r="D62" s="21">
        <v>140.30000000000001</v>
      </c>
      <c r="E62" s="21">
        <v>147.1</v>
      </c>
      <c r="F62" s="21">
        <v>161.80000000000001</v>
      </c>
      <c r="G62" s="21">
        <v>182.1</v>
      </c>
      <c r="H62" s="21">
        <v>229</v>
      </c>
      <c r="I62" s="21">
        <v>283.7</v>
      </c>
      <c r="J62" s="21">
        <v>298.8</v>
      </c>
      <c r="K62" s="21">
        <v>299.89999999999998</v>
      </c>
      <c r="L62" s="21">
        <v>303.60000000000002</v>
      </c>
      <c r="M62" s="21">
        <v>314.8</v>
      </c>
      <c r="N62" s="21">
        <v>351.39</v>
      </c>
      <c r="O62" s="21">
        <v>369.6</v>
      </c>
      <c r="P62" s="21">
        <v>415.7</v>
      </c>
      <c r="Q62" s="21">
        <v>439.7</v>
      </c>
      <c r="R62" s="21">
        <v>466.1</v>
      </c>
      <c r="S62" s="21">
        <v>470.3</v>
      </c>
      <c r="T62" s="178">
        <v>336.7</v>
      </c>
      <c r="U62" s="142">
        <v>398.4</v>
      </c>
      <c r="V62" s="142">
        <v>369.8</v>
      </c>
      <c r="W62" s="142">
        <v>371.95699999999999</v>
      </c>
      <c r="X62" s="142">
        <v>435.83600000000001</v>
      </c>
      <c r="Y62" s="142">
        <v>536.54700000000003</v>
      </c>
      <c r="Z62" s="142">
        <v>484.375</v>
      </c>
    </row>
    <row r="63" spans="1:26" s="3" customFormat="1" ht="9.75" x14ac:dyDescent="0.2">
      <c r="A63" s="9" t="s">
        <v>48</v>
      </c>
      <c r="B63" s="21">
        <v>182.1</v>
      </c>
      <c r="C63" s="21">
        <v>183.5</v>
      </c>
      <c r="D63" s="21">
        <v>144.5</v>
      </c>
      <c r="E63" s="21">
        <v>153.69999999999999</v>
      </c>
      <c r="F63" s="21">
        <v>155.9</v>
      </c>
      <c r="G63" s="21">
        <v>180.7</v>
      </c>
      <c r="H63" s="21">
        <v>213.2</v>
      </c>
      <c r="I63" s="21">
        <v>242.8</v>
      </c>
      <c r="J63" s="21">
        <v>284.10000000000002</v>
      </c>
      <c r="K63" s="21">
        <v>276.60000000000002</v>
      </c>
      <c r="L63" s="21">
        <v>289</v>
      </c>
      <c r="M63" s="21">
        <v>298.10000000000002</v>
      </c>
      <c r="N63" s="21">
        <v>265.75</v>
      </c>
      <c r="O63" s="21">
        <v>304.7</v>
      </c>
      <c r="P63" s="21">
        <v>320.8</v>
      </c>
      <c r="Q63" s="21">
        <v>324.5</v>
      </c>
      <c r="R63" s="21">
        <v>328.5</v>
      </c>
      <c r="S63" s="21">
        <v>330.1</v>
      </c>
      <c r="T63" s="178">
        <v>333.6</v>
      </c>
      <c r="U63" s="142">
        <v>348.3</v>
      </c>
      <c r="V63" s="142">
        <v>324.60000000000002</v>
      </c>
      <c r="W63" s="142">
        <v>340.73399999999998</v>
      </c>
      <c r="X63" s="142">
        <v>342.57799999999997</v>
      </c>
      <c r="Y63" s="142">
        <v>360.32900000000001</v>
      </c>
      <c r="Z63" s="142">
        <v>367.57100000000003</v>
      </c>
    </row>
    <row r="64" spans="1:26" s="3" customFormat="1" ht="9.75" x14ac:dyDescent="0.2">
      <c r="A64" s="9" t="s">
        <v>49</v>
      </c>
      <c r="B64" s="21">
        <v>1502.6</v>
      </c>
      <c r="C64" s="21">
        <v>1547.7</v>
      </c>
      <c r="D64" s="21">
        <v>1543.4</v>
      </c>
      <c r="E64" s="21">
        <v>1561.7</v>
      </c>
      <c r="F64" s="21">
        <v>1768.4</v>
      </c>
      <c r="G64" s="21">
        <v>1641.6</v>
      </c>
      <c r="H64" s="21">
        <v>1778.3</v>
      </c>
      <c r="I64" s="21">
        <v>2040.7</v>
      </c>
      <c r="J64" s="21">
        <v>2222.5</v>
      </c>
      <c r="K64" s="21">
        <v>2010.2</v>
      </c>
      <c r="L64" s="21">
        <v>2027.3</v>
      </c>
      <c r="M64" s="21">
        <v>2396.1</v>
      </c>
      <c r="N64" s="21">
        <v>2399.5</v>
      </c>
      <c r="O64" s="21">
        <v>2400.4</v>
      </c>
      <c r="P64" s="21">
        <v>2404.8000000000002</v>
      </c>
      <c r="Q64" s="21">
        <v>2405.6</v>
      </c>
      <c r="R64" s="21">
        <v>2406.5</v>
      </c>
      <c r="S64" s="21">
        <v>2408.1</v>
      </c>
      <c r="T64" s="178">
        <v>2409.9</v>
      </c>
      <c r="U64" s="142">
        <v>2675.5</v>
      </c>
      <c r="V64" s="142">
        <v>2680.1</v>
      </c>
      <c r="W64" s="142">
        <v>3011.451</v>
      </c>
      <c r="X64" s="142">
        <v>3093.422</v>
      </c>
      <c r="Y64" s="142">
        <v>3436.5169999999998</v>
      </c>
      <c r="Z64" s="142">
        <v>3452.7269999999999</v>
      </c>
    </row>
    <row r="65" spans="1:26" s="3" customFormat="1" ht="9.75" x14ac:dyDescent="0.2">
      <c r="A65" s="9" t="s">
        <v>50</v>
      </c>
      <c r="B65" s="21">
        <v>257</v>
      </c>
      <c r="C65" s="21">
        <v>276.7</v>
      </c>
      <c r="D65" s="21">
        <v>353.5</v>
      </c>
      <c r="E65" s="21">
        <v>314.7</v>
      </c>
      <c r="F65" s="21">
        <v>360.9</v>
      </c>
      <c r="G65" s="21">
        <v>371.7</v>
      </c>
      <c r="H65" s="21">
        <v>423.9</v>
      </c>
      <c r="I65" s="21">
        <v>483</v>
      </c>
      <c r="J65" s="21">
        <v>486.4</v>
      </c>
      <c r="K65" s="21">
        <v>464.8</v>
      </c>
      <c r="L65" s="21">
        <v>482</v>
      </c>
      <c r="M65" s="21">
        <v>504.9</v>
      </c>
      <c r="N65" s="21">
        <v>516.09</v>
      </c>
      <c r="O65" s="21">
        <v>532.6</v>
      </c>
      <c r="P65" s="21">
        <v>633</v>
      </c>
      <c r="Q65" s="21">
        <v>648.5</v>
      </c>
      <c r="R65" s="21">
        <v>650.1</v>
      </c>
      <c r="S65" s="21">
        <v>658.6</v>
      </c>
      <c r="T65" s="178">
        <v>717.1</v>
      </c>
      <c r="U65" s="142">
        <v>759.9</v>
      </c>
      <c r="V65" s="142">
        <v>802.6</v>
      </c>
      <c r="W65" s="142">
        <v>841.44799999999998</v>
      </c>
      <c r="X65" s="142">
        <v>1176.008</v>
      </c>
      <c r="Y65" s="142">
        <v>1389.576</v>
      </c>
      <c r="Z65" s="142">
        <v>1400.9269999999999</v>
      </c>
    </row>
    <row r="66" spans="1:26" s="3" customFormat="1" ht="9.75" x14ac:dyDescent="0.2">
      <c r="A66" s="9" t="s">
        <v>51</v>
      </c>
      <c r="B66" s="21">
        <v>502.3</v>
      </c>
      <c r="C66" s="21">
        <v>507.8</v>
      </c>
      <c r="D66" s="21">
        <v>515.20000000000005</v>
      </c>
      <c r="E66" s="21">
        <v>542.9</v>
      </c>
      <c r="F66" s="21">
        <v>625.20000000000005</v>
      </c>
      <c r="G66" s="21">
        <v>732.9</v>
      </c>
      <c r="H66" s="21">
        <v>854.5</v>
      </c>
      <c r="I66" s="21">
        <v>1004.5</v>
      </c>
      <c r="J66" s="21">
        <v>977.8</v>
      </c>
      <c r="K66" s="21">
        <v>852.2</v>
      </c>
      <c r="L66" s="21">
        <v>874.7</v>
      </c>
      <c r="M66" s="21">
        <v>886.4</v>
      </c>
      <c r="N66" s="21">
        <v>818.5</v>
      </c>
      <c r="O66" s="21">
        <v>837.1</v>
      </c>
      <c r="P66" s="21">
        <v>862.1</v>
      </c>
      <c r="Q66" s="21">
        <v>832.8</v>
      </c>
      <c r="R66" s="21">
        <v>629.79999999999995</v>
      </c>
      <c r="S66" s="21">
        <v>605</v>
      </c>
      <c r="T66" s="178">
        <v>597.5</v>
      </c>
      <c r="U66" s="142">
        <v>656.4</v>
      </c>
      <c r="V66" s="142">
        <v>577.6</v>
      </c>
      <c r="W66" s="142">
        <v>716.71600000000001</v>
      </c>
      <c r="X66" s="142">
        <v>850.577</v>
      </c>
      <c r="Y66" s="142">
        <v>780.71199999999999</v>
      </c>
      <c r="Z66" s="142">
        <v>786.48599999999999</v>
      </c>
    </row>
    <row r="67" spans="1:26" s="3" customFormat="1" ht="9.75" x14ac:dyDescent="0.2">
      <c r="A67" s="9" t="s">
        <v>52</v>
      </c>
      <c r="B67" s="21">
        <v>330.2</v>
      </c>
      <c r="C67" s="21">
        <v>525.4</v>
      </c>
      <c r="D67" s="21">
        <v>360.7</v>
      </c>
      <c r="E67" s="21">
        <v>415.5</v>
      </c>
      <c r="F67" s="21">
        <v>448.5</v>
      </c>
      <c r="G67" s="21">
        <v>638.20000000000005</v>
      </c>
      <c r="H67" s="21">
        <v>718.4</v>
      </c>
      <c r="I67" s="21">
        <v>884.1</v>
      </c>
      <c r="J67" s="21">
        <v>832.8</v>
      </c>
      <c r="K67" s="21">
        <v>695.1</v>
      </c>
      <c r="L67" s="21">
        <v>761.4</v>
      </c>
      <c r="M67" s="21">
        <v>748.8</v>
      </c>
      <c r="N67" s="21">
        <v>825.82</v>
      </c>
      <c r="O67" s="21">
        <v>1004</v>
      </c>
      <c r="P67" s="21">
        <v>1112.8</v>
      </c>
      <c r="Q67" s="21">
        <v>1154.0999999999999</v>
      </c>
      <c r="R67" s="21">
        <v>1060</v>
      </c>
      <c r="S67" s="21">
        <v>1101.0999999999999</v>
      </c>
      <c r="T67" s="178">
        <v>1081.2</v>
      </c>
      <c r="U67" s="142">
        <v>1172.8</v>
      </c>
      <c r="V67" s="142">
        <v>1214.8</v>
      </c>
      <c r="W67" s="142">
        <v>1317.0329999999999</v>
      </c>
      <c r="X67" s="142">
        <v>1986.9480000000001</v>
      </c>
      <c r="Y67" s="142">
        <v>1927.681</v>
      </c>
      <c r="Z67" s="142">
        <v>1753.8620000000001</v>
      </c>
    </row>
    <row r="68" spans="1:26" s="3" customFormat="1" ht="9.75" x14ac:dyDescent="0.2">
      <c r="A68" s="9" t="s">
        <v>53</v>
      </c>
      <c r="B68" s="21">
        <v>221</v>
      </c>
      <c r="C68" s="21">
        <v>218.8</v>
      </c>
      <c r="D68" s="21">
        <v>190.2</v>
      </c>
      <c r="E68" s="21">
        <v>161.1</v>
      </c>
      <c r="F68" s="21">
        <v>230.4</v>
      </c>
      <c r="G68" s="21">
        <v>257.39999999999998</v>
      </c>
      <c r="H68" s="21">
        <v>308.5</v>
      </c>
      <c r="I68" s="21">
        <v>375.8</v>
      </c>
      <c r="J68" s="21">
        <v>425.8</v>
      </c>
      <c r="K68" s="21">
        <v>335.9</v>
      </c>
      <c r="L68" s="21">
        <v>378.3</v>
      </c>
      <c r="M68" s="21">
        <v>405.4</v>
      </c>
      <c r="N68" s="21">
        <v>409.16</v>
      </c>
      <c r="O68" s="21">
        <v>487.1</v>
      </c>
      <c r="P68" s="21">
        <v>684.5</v>
      </c>
      <c r="Q68" s="21">
        <v>726.6</v>
      </c>
      <c r="R68" s="21">
        <v>662.1</v>
      </c>
      <c r="S68" s="21">
        <v>545.79999999999995</v>
      </c>
      <c r="T68" s="178">
        <v>552.6</v>
      </c>
      <c r="U68" s="142">
        <v>503.8</v>
      </c>
      <c r="V68" s="142">
        <v>460.4</v>
      </c>
      <c r="W68" s="142">
        <v>508.89800000000002</v>
      </c>
      <c r="X68" s="142">
        <v>530.34299999999996</v>
      </c>
      <c r="Y68" s="142">
        <v>595.72299999999996</v>
      </c>
      <c r="Z68" s="142">
        <v>603.82799999999997</v>
      </c>
    </row>
    <row r="69" spans="1:26" s="3" customFormat="1" ht="9.75" x14ac:dyDescent="0.2">
      <c r="A69" s="9" t="s">
        <v>54</v>
      </c>
      <c r="B69" s="21">
        <v>577</v>
      </c>
      <c r="C69" s="21">
        <v>532.6</v>
      </c>
      <c r="D69" s="21">
        <v>484.6</v>
      </c>
      <c r="E69" s="21">
        <v>575.70000000000005</v>
      </c>
      <c r="F69" s="21">
        <v>684.3</v>
      </c>
      <c r="G69" s="21">
        <v>747.8</v>
      </c>
      <c r="H69" s="21">
        <v>826.5</v>
      </c>
      <c r="I69" s="21">
        <v>1072</v>
      </c>
      <c r="J69" s="21">
        <v>1353.9</v>
      </c>
      <c r="K69" s="21">
        <v>1403.9</v>
      </c>
      <c r="L69" s="21">
        <v>1453.4</v>
      </c>
      <c r="M69" s="21">
        <v>1469.7</v>
      </c>
      <c r="N69" s="21">
        <v>1501.07</v>
      </c>
      <c r="O69" s="21">
        <v>1530.4</v>
      </c>
      <c r="P69" s="21">
        <v>1587.9</v>
      </c>
      <c r="Q69" s="21">
        <v>1259.0999999999999</v>
      </c>
      <c r="R69" s="21">
        <v>1273.5999999999999</v>
      </c>
      <c r="S69" s="21">
        <v>1308.0999999999999</v>
      </c>
      <c r="T69" s="178">
        <v>1351.1</v>
      </c>
      <c r="U69" s="142">
        <v>1410.1</v>
      </c>
      <c r="V69" s="142">
        <v>1477</v>
      </c>
      <c r="W69" s="142">
        <v>1590.529</v>
      </c>
      <c r="X69" s="142">
        <v>1701.4369999999999</v>
      </c>
      <c r="Y69" s="142">
        <v>1859.4449999999999</v>
      </c>
      <c r="Z69" s="142">
        <v>2010.0139999999999</v>
      </c>
    </row>
    <row r="70" spans="1:26" s="3" customFormat="1" ht="9.75" x14ac:dyDescent="0.2">
      <c r="A70" s="9" t="s">
        <v>55</v>
      </c>
      <c r="B70" s="21">
        <v>385.2</v>
      </c>
      <c r="C70" s="21">
        <v>441.1</v>
      </c>
      <c r="D70" s="21">
        <v>472.8</v>
      </c>
      <c r="E70" s="21">
        <v>521.70000000000005</v>
      </c>
      <c r="F70" s="21">
        <v>545.1</v>
      </c>
      <c r="G70" s="21">
        <v>580.79999999999995</v>
      </c>
      <c r="H70" s="21">
        <v>652.6</v>
      </c>
      <c r="I70" s="21">
        <v>752.4</v>
      </c>
      <c r="J70" s="21">
        <v>775.9</v>
      </c>
      <c r="K70" s="21">
        <v>740.1</v>
      </c>
      <c r="L70" s="21">
        <v>586.6</v>
      </c>
      <c r="M70" s="21">
        <v>743.3</v>
      </c>
      <c r="N70" s="21">
        <v>704.32</v>
      </c>
      <c r="O70" s="21">
        <v>790.8</v>
      </c>
      <c r="P70" s="21">
        <v>1151.8</v>
      </c>
      <c r="Q70" s="21">
        <v>1190.0999999999999</v>
      </c>
      <c r="R70" s="21">
        <v>966</v>
      </c>
      <c r="S70" s="21">
        <v>892</v>
      </c>
      <c r="T70" s="178">
        <v>911.5</v>
      </c>
      <c r="U70" s="142">
        <v>993.5</v>
      </c>
      <c r="V70" s="142">
        <v>967.2</v>
      </c>
      <c r="W70" s="142">
        <v>1101.6079999999999</v>
      </c>
      <c r="X70" s="142">
        <v>950.56</v>
      </c>
      <c r="Y70" s="142">
        <v>1129.7729999999999</v>
      </c>
      <c r="Z70" s="142">
        <v>1189.3879999999999</v>
      </c>
    </row>
    <row r="71" spans="1:26" s="3" customFormat="1" ht="9.75" x14ac:dyDescent="0.2">
      <c r="A71" s="9" t="s">
        <v>56</v>
      </c>
      <c r="B71" s="21">
        <v>223.4</v>
      </c>
      <c r="C71" s="21">
        <v>197</v>
      </c>
      <c r="D71" s="21">
        <v>250.8</v>
      </c>
      <c r="E71" s="21">
        <v>235.1</v>
      </c>
      <c r="F71" s="21">
        <v>279.2</v>
      </c>
      <c r="G71" s="21">
        <v>316.3</v>
      </c>
      <c r="H71" s="21">
        <v>403.3</v>
      </c>
      <c r="I71" s="21">
        <v>554.29999999999995</v>
      </c>
      <c r="J71" s="21">
        <v>605.1</v>
      </c>
      <c r="K71" s="21">
        <v>610.20000000000005</v>
      </c>
      <c r="L71" s="21">
        <v>624.79999999999995</v>
      </c>
      <c r="M71" s="21">
        <v>671.1</v>
      </c>
      <c r="N71" s="21">
        <v>739.42</v>
      </c>
      <c r="O71" s="21">
        <v>831.2</v>
      </c>
      <c r="P71" s="21">
        <v>902.8</v>
      </c>
      <c r="Q71" s="21">
        <v>931</v>
      </c>
      <c r="R71" s="21">
        <v>885.9</v>
      </c>
      <c r="S71" s="21">
        <v>886.9</v>
      </c>
      <c r="T71" s="178">
        <v>662.8</v>
      </c>
      <c r="U71" s="142">
        <v>837.4</v>
      </c>
      <c r="V71" s="142">
        <v>852</v>
      </c>
      <c r="W71" s="142">
        <v>855.52300000000002</v>
      </c>
      <c r="X71" s="142">
        <v>828.52599999999995</v>
      </c>
      <c r="Y71" s="142">
        <v>938.65599999999995</v>
      </c>
      <c r="Z71" s="142">
        <v>1054.5029999999999</v>
      </c>
    </row>
    <row r="72" spans="1:26" s="3" customFormat="1" ht="9.75" x14ac:dyDescent="0.2">
      <c r="A72" s="9" t="s">
        <v>57</v>
      </c>
      <c r="B72" s="21">
        <v>691.2</v>
      </c>
      <c r="C72" s="21">
        <v>748.6</v>
      </c>
      <c r="D72" s="21">
        <v>859.1</v>
      </c>
      <c r="E72" s="21">
        <v>849.8</v>
      </c>
      <c r="F72" s="21">
        <v>854</v>
      </c>
      <c r="G72" s="21">
        <v>909.5</v>
      </c>
      <c r="H72" s="21">
        <v>754</v>
      </c>
      <c r="I72" s="21">
        <v>1287</v>
      </c>
      <c r="J72" s="21">
        <v>1328.2</v>
      </c>
      <c r="K72" s="21">
        <v>1023.4</v>
      </c>
      <c r="L72" s="21">
        <v>1041.0999999999999</v>
      </c>
      <c r="M72" s="21">
        <v>1331</v>
      </c>
      <c r="N72" s="21">
        <v>1484.28</v>
      </c>
      <c r="O72" s="21">
        <v>1738.7</v>
      </c>
      <c r="P72" s="21">
        <v>1888</v>
      </c>
      <c r="Q72" s="21">
        <v>2211.6999999999998</v>
      </c>
      <c r="R72" s="21">
        <v>1874.7</v>
      </c>
      <c r="S72" s="21">
        <v>1787.7</v>
      </c>
      <c r="T72" s="178">
        <v>1782.2</v>
      </c>
      <c r="U72" s="142">
        <v>1841</v>
      </c>
      <c r="V72" s="142">
        <v>1400.9</v>
      </c>
      <c r="W72" s="142">
        <v>1802.65</v>
      </c>
      <c r="X72" s="142">
        <v>1881.3119999999999</v>
      </c>
      <c r="Y72" s="142">
        <v>1938.1849999999999</v>
      </c>
      <c r="Z72" s="142">
        <v>2012.7750000000001</v>
      </c>
    </row>
    <row r="73" spans="1:26" s="3" customFormat="1" ht="9.75" x14ac:dyDescent="0.2">
      <c r="A73" s="9" t="s">
        <v>58</v>
      </c>
      <c r="B73" s="21">
        <v>472.5</v>
      </c>
      <c r="C73" s="21">
        <v>509.2</v>
      </c>
      <c r="D73" s="21">
        <v>571.20000000000005</v>
      </c>
      <c r="E73" s="21">
        <v>475</v>
      </c>
      <c r="F73" s="21">
        <v>484.5</v>
      </c>
      <c r="G73" s="21">
        <v>681.7</v>
      </c>
      <c r="H73" s="21">
        <v>810.1</v>
      </c>
      <c r="I73" s="21">
        <v>1022.1</v>
      </c>
      <c r="J73" s="21">
        <v>1112.5</v>
      </c>
      <c r="K73" s="21">
        <v>1129.9000000000001</v>
      </c>
      <c r="L73" s="21">
        <v>1144.3</v>
      </c>
      <c r="M73" s="21">
        <v>1169.5999999999999</v>
      </c>
      <c r="N73" s="21">
        <v>1235.8699999999999</v>
      </c>
      <c r="O73" s="21">
        <v>1314.4</v>
      </c>
      <c r="P73" s="21">
        <v>1520.7</v>
      </c>
      <c r="Q73" s="21">
        <v>1140</v>
      </c>
      <c r="R73" s="21">
        <v>1293.5999999999999</v>
      </c>
      <c r="S73" s="21">
        <v>1210.0999999999999</v>
      </c>
      <c r="T73" s="178">
        <v>1215.5999999999999</v>
      </c>
      <c r="U73" s="142">
        <v>1202.3</v>
      </c>
      <c r="V73" s="142">
        <v>1158.8</v>
      </c>
      <c r="W73" s="142">
        <v>1181.3710000000001</v>
      </c>
      <c r="X73" s="142">
        <v>1011.231</v>
      </c>
      <c r="Y73" s="142">
        <v>1152.414</v>
      </c>
      <c r="Z73" s="142">
        <v>1056.424</v>
      </c>
    </row>
    <row r="74" spans="1:26" s="3" customFormat="1" ht="9.75" x14ac:dyDescent="0.2">
      <c r="A74" s="9" t="s">
        <v>59</v>
      </c>
      <c r="B74" s="21">
        <v>214.2</v>
      </c>
      <c r="C74" s="21">
        <v>242.1</v>
      </c>
      <c r="D74" s="21">
        <v>180.3</v>
      </c>
      <c r="E74" s="21">
        <v>182.2</v>
      </c>
      <c r="F74" s="21">
        <v>157.19999999999999</v>
      </c>
      <c r="G74" s="21">
        <v>292.7</v>
      </c>
      <c r="H74" s="21">
        <v>340</v>
      </c>
      <c r="I74" s="21">
        <v>429.4</v>
      </c>
      <c r="J74" s="21">
        <v>508.5</v>
      </c>
      <c r="K74" s="21">
        <v>530.6</v>
      </c>
      <c r="L74" s="21">
        <v>466.8</v>
      </c>
      <c r="M74" s="21">
        <v>553.79999999999995</v>
      </c>
      <c r="N74" s="21">
        <v>607.34</v>
      </c>
      <c r="O74" s="21">
        <v>633.79999999999995</v>
      </c>
      <c r="P74" s="21">
        <v>718.9</v>
      </c>
      <c r="Q74" s="21">
        <v>934.8</v>
      </c>
      <c r="R74" s="21">
        <v>967</v>
      </c>
      <c r="S74" s="21">
        <v>976.6</v>
      </c>
      <c r="T74" s="178">
        <v>981.1</v>
      </c>
      <c r="U74" s="142">
        <v>1019.1</v>
      </c>
      <c r="V74" s="142">
        <v>1034.2</v>
      </c>
      <c r="W74" s="142">
        <v>857.77200000000005</v>
      </c>
      <c r="X74" s="142">
        <v>689.79100000000005</v>
      </c>
      <c r="Y74" s="142">
        <v>797.26900000000001</v>
      </c>
      <c r="Z74" s="142">
        <v>735.13599999999997</v>
      </c>
    </row>
    <row r="75" spans="1:26" s="3" customFormat="1" ht="18" x14ac:dyDescent="0.15">
      <c r="A75" s="8" t="s">
        <v>101</v>
      </c>
      <c r="B75" s="22">
        <v>2264.7999999999997</v>
      </c>
      <c r="C75" s="22">
        <v>2642.2999999999997</v>
      </c>
      <c r="D75" s="22">
        <v>2850.7</v>
      </c>
      <c r="E75" s="22">
        <v>2810.8</v>
      </c>
      <c r="F75" s="22">
        <v>3169.5</v>
      </c>
      <c r="G75" s="22">
        <v>3569.1</v>
      </c>
      <c r="H75" s="22">
        <v>4378.7</v>
      </c>
      <c r="I75" s="22">
        <v>5592.5999999999995</v>
      </c>
      <c r="J75" s="22">
        <v>6227.5000000000009</v>
      </c>
      <c r="K75" s="22">
        <v>5316.3</v>
      </c>
      <c r="L75" s="22">
        <v>4818.5</v>
      </c>
      <c r="M75" s="22">
        <v>5466.6</v>
      </c>
      <c r="N75" s="22">
        <v>6360.61</v>
      </c>
      <c r="O75" s="22">
        <v>6576</v>
      </c>
      <c r="P75" s="22">
        <v>7976.7</v>
      </c>
      <c r="Q75" s="22">
        <v>7948.4</v>
      </c>
      <c r="R75" s="22">
        <v>6380.4</v>
      </c>
      <c r="S75" s="22">
        <v>6301.7</v>
      </c>
      <c r="T75" s="177">
        <v>5964.5</v>
      </c>
      <c r="U75" s="140">
        <v>6734.5</v>
      </c>
      <c r="V75" s="140">
        <v>6953.7</v>
      </c>
      <c r="W75" s="140">
        <v>7673.0290000000005</v>
      </c>
      <c r="X75" s="140">
        <v>8459.6479999999992</v>
      </c>
      <c r="Y75" s="140">
        <v>9435.7180000000008</v>
      </c>
      <c r="Z75" s="140">
        <v>9618.4750000000004</v>
      </c>
    </row>
    <row r="76" spans="1:26" s="3" customFormat="1" ht="9.75" x14ac:dyDescent="0.2">
      <c r="A76" s="9" t="s">
        <v>60</v>
      </c>
      <c r="B76" s="21">
        <v>73.2</v>
      </c>
      <c r="C76" s="21">
        <v>85.6</v>
      </c>
      <c r="D76" s="21">
        <v>101.1</v>
      </c>
      <c r="E76" s="21">
        <v>101.8</v>
      </c>
      <c r="F76" s="21">
        <v>97.4</v>
      </c>
      <c r="G76" s="21">
        <v>123.7</v>
      </c>
      <c r="H76" s="21">
        <v>148.69999999999999</v>
      </c>
      <c r="I76" s="21">
        <v>194.5</v>
      </c>
      <c r="J76" s="21">
        <v>281.10000000000002</v>
      </c>
      <c r="K76" s="21">
        <v>288.60000000000002</v>
      </c>
      <c r="L76" s="21">
        <v>159.69999999999999</v>
      </c>
      <c r="M76" s="21">
        <v>182.6</v>
      </c>
      <c r="N76" s="21">
        <v>249.93</v>
      </c>
      <c r="O76" s="21">
        <v>279.7</v>
      </c>
      <c r="P76" s="21">
        <v>389.3</v>
      </c>
      <c r="Q76" s="21">
        <v>292.60000000000002</v>
      </c>
      <c r="R76" s="21">
        <v>295.89999999999998</v>
      </c>
      <c r="S76" s="21">
        <v>271.8</v>
      </c>
      <c r="T76" s="178">
        <v>231.5</v>
      </c>
      <c r="U76" s="142">
        <v>250.8</v>
      </c>
      <c r="V76" s="142">
        <v>267.39999999999998</v>
      </c>
      <c r="W76" s="142">
        <v>280.74900000000002</v>
      </c>
      <c r="X76" s="142">
        <v>333.42899999999997</v>
      </c>
      <c r="Y76" s="142">
        <v>351.61500000000001</v>
      </c>
      <c r="Z76" s="142">
        <v>372.74900000000002</v>
      </c>
    </row>
    <row r="77" spans="1:26" s="3" customFormat="1" ht="9.75" x14ac:dyDescent="0.2">
      <c r="A77" s="9" t="s">
        <v>61</v>
      </c>
      <c r="B77" s="21">
        <v>616.70000000000005</v>
      </c>
      <c r="C77" s="21">
        <v>636.20000000000005</v>
      </c>
      <c r="D77" s="21">
        <v>704.2</v>
      </c>
      <c r="E77" s="21">
        <v>778.7</v>
      </c>
      <c r="F77" s="21">
        <v>891</v>
      </c>
      <c r="G77" s="21">
        <v>1105</v>
      </c>
      <c r="H77" s="21">
        <v>1284.2</v>
      </c>
      <c r="I77" s="21">
        <v>1658.8</v>
      </c>
      <c r="J77" s="21">
        <v>1702</v>
      </c>
      <c r="K77" s="21">
        <v>1590.7</v>
      </c>
      <c r="L77" s="21">
        <v>1770.1</v>
      </c>
      <c r="M77" s="21">
        <v>1822.2</v>
      </c>
      <c r="N77" s="21">
        <v>1869.4</v>
      </c>
      <c r="O77" s="21">
        <v>1755.3</v>
      </c>
      <c r="P77" s="21">
        <v>2423.9</v>
      </c>
      <c r="Q77" s="21">
        <v>2477.5</v>
      </c>
      <c r="R77" s="21">
        <v>2106.6</v>
      </c>
      <c r="S77" s="21">
        <v>2144</v>
      </c>
      <c r="T77" s="178">
        <v>2088.1999999999998</v>
      </c>
      <c r="U77" s="142">
        <v>2414.6</v>
      </c>
      <c r="V77" s="142">
        <v>2372.4</v>
      </c>
      <c r="W77" s="142">
        <v>2888.1909999999998</v>
      </c>
      <c r="X77" s="142">
        <v>2942.59</v>
      </c>
      <c r="Y77" s="142">
        <v>3262.1039999999998</v>
      </c>
      <c r="Z77" s="142">
        <v>3349.4659999999999</v>
      </c>
    </row>
    <row r="78" spans="1:26" s="3" customFormat="1" ht="9.75" x14ac:dyDescent="0.2">
      <c r="A78" s="9" t="s">
        <v>62</v>
      </c>
      <c r="B78" s="21">
        <v>905.8</v>
      </c>
      <c r="C78" s="21">
        <v>1263.2</v>
      </c>
      <c r="D78" s="21">
        <v>1339</v>
      </c>
      <c r="E78" s="21">
        <v>1191.4000000000001</v>
      </c>
      <c r="F78" s="21">
        <v>1373.8</v>
      </c>
      <c r="G78" s="21">
        <v>1321.8</v>
      </c>
      <c r="H78" s="21">
        <v>1710.9</v>
      </c>
      <c r="I78" s="21">
        <v>2066.1999999999998</v>
      </c>
      <c r="J78" s="21">
        <v>2220.4</v>
      </c>
      <c r="K78" s="21">
        <v>2006.1</v>
      </c>
      <c r="L78" s="21">
        <v>1815.9</v>
      </c>
      <c r="M78" s="21">
        <v>2147.6</v>
      </c>
      <c r="N78" s="21">
        <v>2564.6799999999998</v>
      </c>
      <c r="O78" s="21">
        <v>2753.4</v>
      </c>
      <c r="P78" s="21">
        <v>3161.4</v>
      </c>
      <c r="Q78" s="21">
        <v>3396.4</v>
      </c>
      <c r="R78" s="21">
        <v>2662.1</v>
      </c>
      <c r="S78" s="21">
        <v>2468.5</v>
      </c>
      <c r="T78" s="178">
        <v>2120.4</v>
      </c>
      <c r="U78" s="142">
        <v>2562.5</v>
      </c>
      <c r="V78" s="142">
        <v>2741.5</v>
      </c>
      <c r="W78" s="142">
        <v>2776.9450000000002</v>
      </c>
      <c r="X78" s="142">
        <v>3313.29</v>
      </c>
      <c r="Y78" s="142">
        <v>3730.7719999999999</v>
      </c>
      <c r="Z78" s="142">
        <v>3911.0740000000001</v>
      </c>
    </row>
    <row r="79" spans="1:26" s="3" customFormat="1" ht="9.75" x14ac:dyDescent="0.2">
      <c r="A79" s="4" t="s">
        <v>63</v>
      </c>
      <c r="B79" s="118"/>
      <c r="C79" s="118"/>
      <c r="D79" s="118"/>
      <c r="E79" s="118"/>
      <c r="F79" s="118"/>
      <c r="G79" s="21"/>
      <c r="H79" s="118"/>
      <c r="I79" s="118"/>
      <c r="J79" s="118"/>
      <c r="K79" s="118"/>
      <c r="L79" s="21"/>
      <c r="M79" s="21"/>
      <c r="N79" s="21"/>
      <c r="O79" s="21"/>
      <c r="P79" s="21"/>
      <c r="Q79" s="21"/>
      <c r="R79" s="21"/>
      <c r="S79" s="21"/>
      <c r="T79" s="85"/>
      <c r="U79" s="142"/>
      <c r="V79" s="142"/>
      <c r="W79" s="142"/>
      <c r="X79" s="142"/>
      <c r="Y79" s="60"/>
      <c r="Z79" s="60"/>
    </row>
    <row r="80" spans="1:26" s="3" customFormat="1" ht="19.5" x14ac:dyDescent="0.2">
      <c r="A80" s="14" t="s">
        <v>88</v>
      </c>
      <c r="B80" s="21">
        <v>355.2</v>
      </c>
      <c r="C80" s="21">
        <v>689.3</v>
      </c>
      <c r="D80" s="21">
        <v>683.4</v>
      </c>
      <c r="E80" s="21">
        <v>582.9</v>
      </c>
      <c r="F80" s="21">
        <v>703.8</v>
      </c>
      <c r="G80" s="21">
        <v>582.20000000000005</v>
      </c>
      <c r="H80" s="21">
        <v>757.5</v>
      </c>
      <c r="I80" s="21">
        <v>872.2</v>
      </c>
      <c r="J80" s="21">
        <v>891.5</v>
      </c>
      <c r="K80" s="21">
        <v>827.2</v>
      </c>
      <c r="L80" s="21">
        <v>564.4</v>
      </c>
      <c r="M80" s="21">
        <v>757.4</v>
      </c>
      <c r="N80" s="21">
        <v>1021.78</v>
      </c>
      <c r="O80" s="21">
        <v>1044.2</v>
      </c>
      <c r="P80" s="21">
        <v>1115.8</v>
      </c>
      <c r="Q80" s="21">
        <v>968</v>
      </c>
      <c r="R80" s="21">
        <v>746.5</v>
      </c>
      <c r="S80" s="21">
        <v>812.5</v>
      </c>
      <c r="T80" s="178">
        <v>586</v>
      </c>
      <c r="U80" s="142">
        <v>802.3</v>
      </c>
      <c r="V80" s="142">
        <v>993.3</v>
      </c>
      <c r="W80" s="142">
        <v>898.17700000000002</v>
      </c>
      <c r="X80" s="142">
        <v>877.84100000000001</v>
      </c>
      <c r="Y80" s="142">
        <v>955.27499999999998</v>
      </c>
      <c r="Z80" s="142">
        <v>975.73</v>
      </c>
    </row>
    <row r="81" spans="1:26" s="3" customFormat="1" ht="19.5" x14ac:dyDescent="0.2">
      <c r="A81" s="14" t="s">
        <v>64</v>
      </c>
      <c r="B81" s="21">
        <v>96.8</v>
      </c>
      <c r="C81" s="21">
        <v>117.8</v>
      </c>
      <c r="D81" s="21">
        <v>180.6</v>
      </c>
      <c r="E81" s="21">
        <v>127.2</v>
      </c>
      <c r="F81" s="21">
        <v>151.1</v>
      </c>
      <c r="G81" s="21">
        <v>182.6</v>
      </c>
      <c r="H81" s="21">
        <v>251.3</v>
      </c>
      <c r="I81" s="21">
        <v>253.5</v>
      </c>
      <c r="J81" s="21">
        <v>229.6</v>
      </c>
      <c r="K81" s="21">
        <v>135.4</v>
      </c>
      <c r="L81" s="21">
        <v>139.69999999999999</v>
      </c>
      <c r="M81" s="21">
        <v>167.8</v>
      </c>
      <c r="N81" s="21">
        <v>197.52</v>
      </c>
      <c r="O81" s="21">
        <v>246</v>
      </c>
      <c r="P81" s="21">
        <v>271</v>
      </c>
      <c r="Q81" s="21">
        <v>296.8</v>
      </c>
      <c r="R81" s="21">
        <v>228.1</v>
      </c>
      <c r="S81" s="21">
        <v>236.1</v>
      </c>
      <c r="T81" s="178">
        <v>186</v>
      </c>
      <c r="U81" s="142">
        <v>145.69999999999999</v>
      </c>
      <c r="V81" s="142">
        <v>166.9</v>
      </c>
      <c r="W81" s="142">
        <v>172.59</v>
      </c>
      <c r="X81" s="142">
        <v>190.03899999999999</v>
      </c>
      <c r="Y81" s="143">
        <v>290</v>
      </c>
      <c r="Z81" s="143">
        <v>332</v>
      </c>
    </row>
    <row r="82" spans="1:26" s="3" customFormat="1" ht="19.5" x14ac:dyDescent="0.2">
      <c r="A82" s="14" t="s">
        <v>87</v>
      </c>
      <c r="B82" s="21">
        <v>453.8</v>
      </c>
      <c r="C82" s="21">
        <v>456.1</v>
      </c>
      <c r="D82" s="21">
        <v>475</v>
      </c>
      <c r="E82" s="21">
        <v>481.3</v>
      </c>
      <c r="F82" s="21">
        <v>518.9</v>
      </c>
      <c r="G82" s="21">
        <v>557</v>
      </c>
      <c r="H82" s="21">
        <v>702.1</v>
      </c>
      <c r="I82" s="21">
        <v>940</v>
      </c>
      <c r="J82" s="21">
        <v>1099.3</v>
      </c>
      <c r="K82" s="21">
        <v>1043.5</v>
      </c>
      <c r="L82" s="21">
        <v>1111.8</v>
      </c>
      <c r="M82" s="21">
        <v>1222.4000000000001</v>
      </c>
      <c r="N82" s="21">
        <v>1345.38</v>
      </c>
      <c r="O82" s="21">
        <v>1463.2</v>
      </c>
      <c r="P82" s="21">
        <v>1774.6</v>
      </c>
      <c r="Q82" s="21">
        <v>2131.5</v>
      </c>
      <c r="R82" s="21">
        <v>1687.5</v>
      </c>
      <c r="S82" s="21">
        <v>1419.9</v>
      </c>
      <c r="T82" s="178">
        <v>1348.4</v>
      </c>
      <c r="U82" s="142">
        <v>1614.5</v>
      </c>
      <c r="V82" s="142">
        <v>1581.3</v>
      </c>
      <c r="W82" s="142">
        <v>1706.1780000000001</v>
      </c>
      <c r="X82" s="142">
        <v>2245.41</v>
      </c>
      <c r="Y82" s="142">
        <v>2485.5300000000002</v>
      </c>
      <c r="Z82" s="142">
        <v>2603.328</v>
      </c>
    </row>
    <row r="83" spans="1:26" s="3" customFormat="1" ht="9.75" x14ac:dyDescent="0.2">
      <c r="A83" s="9" t="s">
        <v>65</v>
      </c>
      <c r="B83" s="21">
        <v>669.1</v>
      </c>
      <c r="C83" s="21">
        <v>657.3</v>
      </c>
      <c r="D83" s="21">
        <v>706.4</v>
      </c>
      <c r="E83" s="21">
        <v>738.9</v>
      </c>
      <c r="F83" s="21">
        <v>807.3</v>
      </c>
      <c r="G83" s="21">
        <v>1018.6</v>
      </c>
      <c r="H83" s="21">
        <v>1234.9000000000001</v>
      </c>
      <c r="I83" s="21">
        <v>1673.1</v>
      </c>
      <c r="J83" s="21">
        <v>2024</v>
      </c>
      <c r="K83" s="21">
        <v>1430.9</v>
      </c>
      <c r="L83" s="21">
        <v>1072.9000000000001</v>
      </c>
      <c r="M83" s="21">
        <v>1314.3</v>
      </c>
      <c r="N83" s="21">
        <v>1676.6</v>
      </c>
      <c r="O83" s="21">
        <v>1787.6</v>
      </c>
      <c r="P83" s="21">
        <v>2002</v>
      </c>
      <c r="Q83" s="21">
        <v>1781.9</v>
      </c>
      <c r="R83" s="21">
        <v>1315.8</v>
      </c>
      <c r="S83" s="21">
        <v>1417.3</v>
      </c>
      <c r="T83" s="178">
        <v>1524.4</v>
      </c>
      <c r="U83" s="142">
        <v>1506.6</v>
      </c>
      <c r="V83" s="142">
        <v>1572.3</v>
      </c>
      <c r="W83" s="142">
        <v>1727.144</v>
      </c>
      <c r="X83" s="142">
        <v>1870.3389999999999</v>
      </c>
      <c r="Y83" s="142">
        <v>2091.2269999999999</v>
      </c>
      <c r="Z83" s="142">
        <v>1985.1859999999999</v>
      </c>
    </row>
    <row r="84" spans="1:26" s="3" customFormat="1" ht="18" x14ac:dyDescent="0.15">
      <c r="A84" s="8" t="s">
        <v>106</v>
      </c>
      <c r="B84" s="22">
        <f>SUM(B85:B94)</f>
        <v>2532.5</v>
      </c>
      <c r="C84" s="22">
        <v>2293</v>
      </c>
      <c r="D84" s="22">
        <v>2573</v>
      </c>
      <c r="E84" s="22">
        <v>2987</v>
      </c>
      <c r="F84" s="22">
        <v>3551</v>
      </c>
      <c r="G84" s="22">
        <v>4075.5</v>
      </c>
      <c r="H84" s="22">
        <v>5037</v>
      </c>
      <c r="I84" s="22">
        <v>6412</v>
      </c>
      <c r="J84" s="22">
        <v>6609</v>
      </c>
      <c r="K84" s="22">
        <v>5731</v>
      </c>
      <c r="L84" s="22">
        <v>6060.5</v>
      </c>
      <c r="M84" s="22">
        <v>6605.3</v>
      </c>
      <c r="N84" s="22">
        <v>6788.2</v>
      </c>
      <c r="O84" s="22">
        <v>7314.9</v>
      </c>
      <c r="P84" s="22">
        <v>8112.6</v>
      </c>
      <c r="Q84" s="22">
        <v>8721.7999999999993</v>
      </c>
      <c r="R84" s="22">
        <v>8020.7</v>
      </c>
      <c r="S84" s="22">
        <v>6793</v>
      </c>
      <c r="T84" s="177">
        <v>6649</v>
      </c>
      <c r="U84" s="140">
        <v>7437.9</v>
      </c>
      <c r="V84" s="140">
        <v>7488.3</v>
      </c>
      <c r="W84" s="140">
        <v>8075.2550000000001</v>
      </c>
      <c r="X84" s="140">
        <v>8287.7289999999994</v>
      </c>
      <c r="Y84" s="140">
        <v>10001.356</v>
      </c>
      <c r="Z84" s="140">
        <v>9878.7270000000008</v>
      </c>
    </row>
    <row r="85" spans="1:26" s="3" customFormat="1" ht="9.75" x14ac:dyDescent="0.2">
      <c r="A85" s="9" t="s">
        <v>66</v>
      </c>
      <c r="B85" s="21">
        <v>24.6</v>
      </c>
      <c r="C85" s="21">
        <v>15.4</v>
      </c>
      <c r="D85" s="21">
        <v>26.1</v>
      </c>
      <c r="E85" s="21">
        <v>23</v>
      </c>
      <c r="F85" s="21">
        <v>41.4</v>
      </c>
      <c r="G85" s="21">
        <v>34.200000000000003</v>
      </c>
      <c r="H85" s="21">
        <v>47.2</v>
      </c>
      <c r="I85" s="21">
        <v>51.8</v>
      </c>
      <c r="J85" s="21">
        <v>58.4</v>
      </c>
      <c r="K85" s="21">
        <v>60.7</v>
      </c>
      <c r="L85" s="21">
        <v>68.3</v>
      </c>
      <c r="M85" s="21">
        <v>76.599999999999994</v>
      </c>
      <c r="N85" s="21">
        <v>80.63</v>
      </c>
      <c r="O85" s="21">
        <v>89.7</v>
      </c>
      <c r="P85" s="21">
        <v>100.4</v>
      </c>
      <c r="Q85" s="21">
        <v>113.6</v>
      </c>
      <c r="R85" s="21">
        <v>124.6</v>
      </c>
      <c r="S85" s="21">
        <v>130.9</v>
      </c>
      <c r="T85" s="178">
        <v>108.3</v>
      </c>
      <c r="U85" s="142">
        <v>99.2</v>
      </c>
      <c r="V85" s="142">
        <v>88.8</v>
      </c>
      <c r="W85" s="142">
        <v>151.249</v>
      </c>
      <c r="X85" s="142">
        <v>164.691</v>
      </c>
      <c r="Y85" s="142">
        <v>190.41900000000001</v>
      </c>
      <c r="Z85" s="142">
        <v>223.83</v>
      </c>
    </row>
    <row r="86" spans="1:26" s="3" customFormat="1" ht="9.75" x14ac:dyDescent="0.2">
      <c r="A86" s="9" t="s">
        <v>68</v>
      </c>
      <c r="B86" s="21">
        <v>31.2</v>
      </c>
      <c r="C86" s="21">
        <v>34.200000000000003</v>
      </c>
      <c r="D86" s="21">
        <v>27</v>
      </c>
      <c r="E86" s="21">
        <v>19.8</v>
      </c>
      <c r="F86" s="21">
        <v>17.399999999999999</v>
      </c>
      <c r="G86" s="21">
        <v>16.899999999999999</v>
      </c>
      <c r="H86" s="21">
        <v>24.1</v>
      </c>
      <c r="I86" s="21">
        <v>33.1</v>
      </c>
      <c r="J86" s="21">
        <v>44.5</v>
      </c>
      <c r="K86" s="21">
        <v>50.3</v>
      </c>
      <c r="L86" s="21">
        <v>49.5</v>
      </c>
      <c r="M86" s="21">
        <v>52.4</v>
      </c>
      <c r="N86" s="21">
        <v>55.45</v>
      </c>
      <c r="O86" s="21">
        <v>78.8</v>
      </c>
      <c r="P86" s="21">
        <v>92.6</v>
      </c>
      <c r="Q86" s="21">
        <v>109</v>
      </c>
      <c r="R86" s="21">
        <v>107.8</v>
      </c>
      <c r="S86" s="21">
        <v>101</v>
      </c>
      <c r="T86" s="178">
        <v>93.1</v>
      </c>
      <c r="U86" s="142">
        <v>111.9</v>
      </c>
      <c r="V86" s="142">
        <v>111</v>
      </c>
      <c r="W86" s="142">
        <v>108.503</v>
      </c>
      <c r="X86" s="142">
        <v>139.667</v>
      </c>
      <c r="Y86" s="142">
        <v>172.70099999999999</v>
      </c>
      <c r="Z86" s="142">
        <v>340.90100000000001</v>
      </c>
    </row>
    <row r="87" spans="1:26" s="3" customFormat="1" ht="9.75" x14ac:dyDescent="0.2">
      <c r="A87" s="9" t="s">
        <v>69</v>
      </c>
      <c r="B87" s="21">
        <v>131.4</v>
      </c>
      <c r="C87" s="21">
        <v>66</v>
      </c>
      <c r="D87" s="21">
        <v>100.7</v>
      </c>
      <c r="E87" s="21">
        <v>99.8</v>
      </c>
      <c r="F87" s="21">
        <v>103.8</v>
      </c>
      <c r="G87" s="21">
        <v>121.2</v>
      </c>
      <c r="H87" s="21">
        <v>138</v>
      </c>
      <c r="I87" s="21">
        <v>163.19999999999999</v>
      </c>
      <c r="J87" s="21">
        <v>192.7</v>
      </c>
      <c r="K87" s="21">
        <v>184.8</v>
      </c>
      <c r="L87" s="21">
        <v>140.6</v>
      </c>
      <c r="M87" s="21">
        <v>156.19999999999999</v>
      </c>
      <c r="N87" s="21">
        <v>173.5</v>
      </c>
      <c r="O87" s="21">
        <v>202.7</v>
      </c>
      <c r="P87" s="21">
        <v>261.89999999999998</v>
      </c>
      <c r="Q87" s="21">
        <v>301.3</v>
      </c>
      <c r="R87" s="21">
        <v>191.6</v>
      </c>
      <c r="S87" s="21">
        <v>235.9</v>
      </c>
      <c r="T87" s="178">
        <v>188.2</v>
      </c>
      <c r="U87" s="142">
        <v>247.8</v>
      </c>
      <c r="V87" s="142">
        <v>287.60000000000002</v>
      </c>
      <c r="W87" s="142">
        <v>316.96600000000001</v>
      </c>
      <c r="X87" s="142">
        <v>321.01499999999999</v>
      </c>
      <c r="Y87" s="142">
        <v>372.8</v>
      </c>
      <c r="Z87" s="142">
        <v>364.59199999999998</v>
      </c>
    </row>
    <row r="88" spans="1:26" s="3" customFormat="1" ht="9.75" x14ac:dyDescent="0.2">
      <c r="A88" s="9" t="s">
        <v>70</v>
      </c>
      <c r="B88" s="21">
        <v>415</v>
      </c>
      <c r="C88" s="21">
        <v>439.4</v>
      </c>
      <c r="D88" s="21">
        <v>371.9</v>
      </c>
      <c r="E88" s="21">
        <v>419.8</v>
      </c>
      <c r="F88" s="21">
        <v>354.1</v>
      </c>
      <c r="G88" s="21">
        <v>398.4</v>
      </c>
      <c r="H88" s="21">
        <v>440.6</v>
      </c>
      <c r="I88" s="21">
        <v>598.20000000000005</v>
      </c>
      <c r="J88" s="21">
        <v>631.9</v>
      </c>
      <c r="K88" s="21">
        <v>654.29999999999995</v>
      </c>
      <c r="L88" s="21">
        <v>659.6</v>
      </c>
      <c r="M88" s="21">
        <v>635.70000000000005</v>
      </c>
      <c r="N88" s="21">
        <v>645.78</v>
      </c>
      <c r="O88" s="21">
        <v>664.7</v>
      </c>
      <c r="P88" s="21">
        <v>754.8</v>
      </c>
      <c r="Q88" s="21">
        <v>890</v>
      </c>
      <c r="R88" s="21">
        <v>754.4</v>
      </c>
      <c r="S88" s="21">
        <v>629.9</v>
      </c>
      <c r="T88" s="178">
        <v>786.1</v>
      </c>
      <c r="U88" s="142">
        <v>757.7</v>
      </c>
      <c r="V88" s="142">
        <v>826.3</v>
      </c>
      <c r="W88" s="142">
        <v>988.67899999999997</v>
      </c>
      <c r="X88" s="142">
        <v>923.346</v>
      </c>
      <c r="Y88" s="142">
        <v>945.77499999999998</v>
      </c>
      <c r="Z88" s="142">
        <v>875.42200000000003</v>
      </c>
    </row>
    <row r="89" spans="1:26" s="3" customFormat="1" ht="9.75" x14ac:dyDescent="0.2">
      <c r="A89" s="9" t="s">
        <v>72</v>
      </c>
      <c r="B89" s="21">
        <v>443.4</v>
      </c>
      <c r="C89" s="21">
        <v>376.1</v>
      </c>
      <c r="D89" s="21">
        <v>491.8</v>
      </c>
      <c r="E89" s="21">
        <v>575.29999999999995</v>
      </c>
      <c r="F89" s="21">
        <v>662.8</v>
      </c>
      <c r="G89" s="21">
        <v>780.3</v>
      </c>
      <c r="H89" s="21">
        <v>898.5</v>
      </c>
      <c r="I89" s="21">
        <v>1159.0999999999999</v>
      </c>
      <c r="J89" s="21">
        <v>1101.5999999999999</v>
      </c>
      <c r="K89" s="21">
        <v>860.6</v>
      </c>
      <c r="L89" s="21">
        <v>987.9</v>
      </c>
      <c r="M89" s="21">
        <v>1047.0999999999999</v>
      </c>
      <c r="N89" s="21">
        <v>1076.77</v>
      </c>
      <c r="O89" s="21">
        <v>1134</v>
      </c>
      <c r="P89" s="21">
        <v>1200.5999999999999</v>
      </c>
      <c r="Q89" s="21">
        <v>1311.1</v>
      </c>
      <c r="R89" s="21">
        <v>1373.8</v>
      </c>
      <c r="S89" s="21">
        <v>1056.5</v>
      </c>
      <c r="T89" s="178">
        <v>1148.5</v>
      </c>
      <c r="U89" s="142">
        <v>1695.9</v>
      </c>
      <c r="V89" s="142">
        <v>1307.0999999999999</v>
      </c>
      <c r="W89" s="142">
        <v>1345.6980000000001</v>
      </c>
      <c r="X89" s="142">
        <v>1396.4570000000001</v>
      </c>
      <c r="Y89" s="142">
        <v>1630.6579999999999</v>
      </c>
      <c r="Z89" s="142">
        <v>1489.15</v>
      </c>
    </row>
    <row r="90" spans="1:26" s="3" customFormat="1" ht="9.75" x14ac:dyDescent="0.2">
      <c r="A90" s="9" t="s">
        <v>73</v>
      </c>
      <c r="B90" s="21">
        <v>185.8</v>
      </c>
      <c r="C90" s="21">
        <v>183.3</v>
      </c>
      <c r="D90" s="21">
        <v>230.8</v>
      </c>
      <c r="E90" s="21">
        <v>216.2</v>
      </c>
      <c r="F90" s="21">
        <v>266.8</v>
      </c>
      <c r="G90" s="21">
        <v>302.5</v>
      </c>
      <c r="H90" s="21">
        <v>331.1</v>
      </c>
      <c r="I90" s="21">
        <v>575.1</v>
      </c>
      <c r="J90" s="21">
        <v>584.9</v>
      </c>
      <c r="K90" s="21">
        <v>602.20000000000005</v>
      </c>
      <c r="L90" s="21">
        <v>628.1</v>
      </c>
      <c r="M90" s="21">
        <v>755.2</v>
      </c>
      <c r="N90" s="21">
        <v>871.06</v>
      </c>
      <c r="O90" s="21">
        <v>973.3</v>
      </c>
      <c r="P90" s="21">
        <v>835.7</v>
      </c>
      <c r="Q90" s="21">
        <v>922.6</v>
      </c>
      <c r="R90" s="21">
        <v>912.6</v>
      </c>
      <c r="S90" s="21">
        <v>973.8</v>
      </c>
      <c r="T90" s="178">
        <v>987.5</v>
      </c>
      <c r="U90" s="142">
        <v>1024.2</v>
      </c>
      <c r="V90" s="142">
        <v>1105.9000000000001</v>
      </c>
      <c r="W90" s="142">
        <v>1203.7560000000001</v>
      </c>
      <c r="X90" s="142">
        <v>1251.3130000000001</v>
      </c>
      <c r="Y90" s="142">
        <v>1490.693</v>
      </c>
      <c r="Z90" s="142">
        <v>1605.2460000000001</v>
      </c>
    </row>
    <row r="91" spans="1:26" s="3" customFormat="1" ht="9.75" x14ac:dyDescent="0.2">
      <c r="A91" s="9" t="s">
        <v>74</v>
      </c>
      <c r="B91" s="21">
        <v>337.7</v>
      </c>
      <c r="C91" s="21">
        <v>395.5</v>
      </c>
      <c r="D91" s="21">
        <v>463.3</v>
      </c>
      <c r="E91" s="21">
        <v>512.4</v>
      </c>
      <c r="F91" s="21">
        <v>582</v>
      </c>
      <c r="G91" s="21">
        <v>641</v>
      </c>
      <c r="H91" s="21">
        <v>803.9</v>
      </c>
      <c r="I91" s="21">
        <v>1010.4</v>
      </c>
      <c r="J91" s="21">
        <v>1063.0999999999999</v>
      </c>
      <c r="K91" s="21">
        <v>1063.2</v>
      </c>
      <c r="L91" s="21">
        <v>1002.9</v>
      </c>
      <c r="M91" s="21">
        <v>1082.5999999999999</v>
      </c>
      <c r="N91" s="21">
        <v>1085.45</v>
      </c>
      <c r="O91" s="21">
        <v>1090.5</v>
      </c>
      <c r="P91" s="21">
        <v>1097.8</v>
      </c>
      <c r="Q91" s="21">
        <v>1002</v>
      </c>
      <c r="R91" s="21">
        <v>1089.2</v>
      </c>
      <c r="S91" s="21">
        <v>1000.3</v>
      </c>
      <c r="T91" s="178">
        <v>639.79999999999995</v>
      </c>
      <c r="U91" s="142">
        <v>765.8</v>
      </c>
      <c r="V91" s="142">
        <v>824.5</v>
      </c>
      <c r="W91" s="142">
        <v>839.875</v>
      </c>
      <c r="X91" s="142">
        <v>790.21299999999997</v>
      </c>
      <c r="Y91" s="142">
        <v>903.74800000000005</v>
      </c>
      <c r="Z91" s="142">
        <v>933.04300000000001</v>
      </c>
    </row>
    <row r="92" spans="1:26" s="3" customFormat="1" ht="9.75" x14ac:dyDescent="0.2">
      <c r="A92" s="9" t="s">
        <v>75</v>
      </c>
      <c r="B92" s="21">
        <v>504.9</v>
      </c>
      <c r="C92" s="21">
        <v>401.2</v>
      </c>
      <c r="D92" s="21">
        <v>417.6</v>
      </c>
      <c r="E92" s="21">
        <v>566.29999999999995</v>
      </c>
      <c r="F92" s="21">
        <v>704.5</v>
      </c>
      <c r="G92" s="21">
        <v>704.4</v>
      </c>
      <c r="H92" s="21">
        <v>1073.2</v>
      </c>
      <c r="I92" s="21">
        <v>1274.7</v>
      </c>
      <c r="J92" s="21">
        <v>1392.2</v>
      </c>
      <c r="K92" s="21">
        <v>1216</v>
      </c>
      <c r="L92" s="21">
        <v>1379.9</v>
      </c>
      <c r="M92" s="21">
        <v>1505.2</v>
      </c>
      <c r="N92" s="21">
        <v>1570.96</v>
      </c>
      <c r="O92" s="21">
        <v>1723.4</v>
      </c>
      <c r="P92" s="21">
        <v>2302</v>
      </c>
      <c r="Q92" s="21">
        <v>2587.9</v>
      </c>
      <c r="R92" s="21">
        <v>2216.1999999999998</v>
      </c>
      <c r="S92" s="21">
        <v>1729.1</v>
      </c>
      <c r="T92" s="178">
        <v>1738.4</v>
      </c>
      <c r="U92" s="142">
        <v>1759.2</v>
      </c>
      <c r="V92" s="142">
        <v>1944.4</v>
      </c>
      <c r="W92" s="142">
        <v>2004.616</v>
      </c>
      <c r="X92" s="142">
        <v>2243.5189999999998</v>
      </c>
      <c r="Y92" s="142">
        <v>3016.2759999999998</v>
      </c>
      <c r="Z92" s="142">
        <v>2630.0169999999998</v>
      </c>
    </row>
    <row r="93" spans="1:26" s="3" customFormat="1" ht="9.75" x14ac:dyDescent="0.2">
      <c r="A93" s="9" t="s">
        <v>76</v>
      </c>
      <c r="B93" s="21">
        <v>253.3</v>
      </c>
      <c r="C93" s="21">
        <v>173.6</v>
      </c>
      <c r="D93" s="21">
        <v>229.6</v>
      </c>
      <c r="E93" s="21">
        <v>318.2</v>
      </c>
      <c r="F93" s="21">
        <v>520.4</v>
      </c>
      <c r="G93" s="21">
        <v>755.9</v>
      </c>
      <c r="H93" s="21">
        <v>906</v>
      </c>
      <c r="I93" s="21">
        <v>1103.8</v>
      </c>
      <c r="J93" s="21">
        <v>1015.7</v>
      </c>
      <c r="K93" s="21">
        <v>605.20000000000005</v>
      </c>
      <c r="L93" s="21">
        <v>706.7</v>
      </c>
      <c r="M93" s="21">
        <v>836.7</v>
      </c>
      <c r="N93" s="21">
        <v>738.69</v>
      </c>
      <c r="O93" s="21">
        <v>826.5</v>
      </c>
      <c r="P93" s="21">
        <v>848</v>
      </c>
      <c r="Q93" s="21">
        <v>785.2</v>
      </c>
      <c r="R93" s="21">
        <v>772.3</v>
      </c>
      <c r="S93" s="21">
        <v>458.2</v>
      </c>
      <c r="T93" s="178">
        <v>522.29999999999995</v>
      </c>
      <c r="U93" s="142">
        <v>537.6</v>
      </c>
      <c r="V93" s="142">
        <v>541.20000000000005</v>
      </c>
      <c r="W93" s="142">
        <v>639.34199999999998</v>
      </c>
      <c r="X93" s="142">
        <v>693.35900000000004</v>
      </c>
      <c r="Y93" s="142">
        <v>742.94299999999998</v>
      </c>
      <c r="Z93" s="142">
        <v>868.88400000000001</v>
      </c>
    </row>
    <row r="94" spans="1:26" s="3" customFormat="1" ht="9.75" x14ac:dyDescent="0.2">
      <c r="A94" s="9" t="s">
        <v>77</v>
      </c>
      <c r="B94" s="21">
        <v>205.2</v>
      </c>
      <c r="C94" s="21">
        <v>207.9</v>
      </c>
      <c r="D94" s="21">
        <v>213.7</v>
      </c>
      <c r="E94" s="21">
        <v>235.9</v>
      </c>
      <c r="F94" s="21">
        <v>297.3</v>
      </c>
      <c r="G94" s="21">
        <v>320.7</v>
      </c>
      <c r="H94" s="21">
        <v>374.5</v>
      </c>
      <c r="I94" s="21">
        <v>442.8</v>
      </c>
      <c r="J94" s="21">
        <v>524</v>
      </c>
      <c r="K94" s="21">
        <v>433.5</v>
      </c>
      <c r="L94" s="21">
        <v>437</v>
      </c>
      <c r="M94" s="21">
        <v>457.6</v>
      </c>
      <c r="N94" s="21">
        <v>489.7</v>
      </c>
      <c r="O94" s="21">
        <v>531.29999999999995</v>
      </c>
      <c r="P94" s="21">
        <v>619.1</v>
      </c>
      <c r="Q94" s="21">
        <v>699.1</v>
      </c>
      <c r="R94" s="21">
        <v>478.2</v>
      </c>
      <c r="S94" s="21">
        <v>477.6</v>
      </c>
      <c r="T94" s="178">
        <v>436.9</v>
      </c>
      <c r="U94" s="142">
        <v>438.6</v>
      </c>
      <c r="V94" s="142">
        <v>451.5</v>
      </c>
      <c r="W94" s="142">
        <v>476.57100000000003</v>
      </c>
      <c r="X94" s="142">
        <v>364.149</v>
      </c>
      <c r="Y94" s="142">
        <v>535.34299999999996</v>
      </c>
      <c r="Z94" s="142">
        <v>547.64200000000005</v>
      </c>
    </row>
    <row r="95" spans="1:26" s="3" customFormat="1" ht="18" x14ac:dyDescent="0.15">
      <c r="A95" s="8" t="s">
        <v>108</v>
      </c>
      <c r="B95" s="22">
        <v>1043</v>
      </c>
      <c r="C95" s="22">
        <v>1157</v>
      </c>
      <c r="D95" s="22">
        <v>1030</v>
      </c>
      <c r="E95" s="22">
        <v>1100</v>
      </c>
      <c r="F95" s="22">
        <v>1174</v>
      </c>
      <c r="G95" s="22">
        <v>1265.5999999999999</v>
      </c>
      <c r="H95" s="22">
        <v>1487</v>
      </c>
      <c r="I95" s="22">
        <v>1803</v>
      </c>
      <c r="J95" s="22">
        <v>1989</v>
      </c>
      <c r="K95" s="22">
        <v>2035</v>
      </c>
      <c r="L95" s="22">
        <v>2194.5</v>
      </c>
      <c r="M95" s="22">
        <v>2516.5</v>
      </c>
      <c r="N95" s="22">
        <v>2633.6</v>
      </c>
      <c r="O95" s="22">
        <v>2848.6</v>
      </c>
      <c r="P95" s="22">
        <v>3205.5</v>
      </c>
      <c r="Q95" s="22">
        <v>2872.5</v>
      </c>
      <c r="R95" s="22">
        <v>2819.5</v>
      </c>
      <c r="S95" s="22">
        <v>2512</v>
      </c>
      <c r="T95" s="177">
        <v>2269.6</v>
      </c>
      <c r="U95" s="140">
        <v>2513.6999999999998</v>
      </c>
      <c r="V95" s="140">
        <v>2554.6999999999998</v>
      </c>
      <c r="W95" s="140">
        <v>3114.7449999999999</v>
      </c>
      <c r="X95" s="140">
        <v>3567.4259999999999</v>
      </c>
      <c r="Y95" s="140">
        <v>4481.7269999999999</v>
      </c>
      <c r="Z95" s="140">
        <v>4680.9780000000001</v>
      </c>
    </row>
    <row r="96" spans="1:26" s="3" customFormat="1" ht="9.75" x14ac:dyDescent="0.2">
      <c r="A96" s="9" t="s">
        <v>67</v>
      </c>
      <c r="B96" s="21">
        <v>170.3</v>
      </c>
      <c r="C96" s="21">
        <v>183.6</v>
      </c>
      <c r="D96" s="21">
        <v>184.9</v>
      </c>
      <c r="E96" s="21">
        <v>184</v>
      </c>
      <c r="F96" s="21">
        <v>196.8</v>
      </c>
      <c r="G96" s="21">
        <v>201.2</v>
      </c>
      <c r="H96" s="21">
        <v>217.4</v>
      </c>
      <c r="I96" s="21">
        <v>270.60000000000002</v>
      </c>
      <c r="J96" s="21">
        <v>307.2</v>
      </c>
      <c r="K96" s="21">
        <v>248.1</v>
      </c>
      <c r="L96" s="21">
        <v>271.7</v>
      </c>
      <c r="M96" s="21">
        <v>304.39999999999998</v>
      </c>
      <c r="N96" s="21">
        <v>339.36</v>
      </c>
      <c r="O96" s="21">
        <v>380.1</v>
      </c>
      <c r="P96" s="21">
        <v>409.4</v>
      </c>
      <c r="Q96" s="21">
        <v>414.7</v>
      </c>
      <c r="R96" s="21">
        <v>335.8</v>
      </c>
      <c r="S96" s="21">
        <v>269.2</v>
      </c>
      <c r="T96" s="178">
        <v>247.8</v>
      </c>
      <c r="U96" s="142">
        <v>268.2</v>
      </c>
      <c r="V96" s="142">
        <v>275.8</v>
      </c>
      <c r="W96" s="142">
        <v>279.34300000000002</v>
      </c>
      <c r="X96" s="142">
        <v>291.77</v>
      </c>
      <c r="Y96" s="142">
        <v>469.47800000000001</v>
      </c>
      <c r="Z96" s="142">
        <v>532.96500000000003</v>
      </c>
    </row>
    <row r="97" spans="1:26" s="3" customFormat="1" ht="9.75" x14ac:dyDescent="0.2">
      <c r="A97" s="9" t="s">
        <v>78</v>
      </c>
      <c r="B97" s="21">
        <v>247.2</v>
      </c>
      <c r="C97" s="21">
        <v>355.6</v>
      </c>
      <c r="D97" s="21">
        <v>249.6</v>
      </c>
      <c r="E97" s="21">
        <v>262.3</v>
      </c>
      <c r="F97" s="21">
        <v>239.8</v>
      </c>
      <c r="G97" s="21">
        <v>260.5</v>
      </c>
      <c r="H97" s="21">
        <v>288.39999999999998</v>
      </c>
      <c r="I97" s="21">
        <v>320.2</v>
      </c>
      <c r="J97" s="21">
        <v>290.89999999999998</v>
      </c>
      <c r="K97" s="21">
        <v>293.39999999999998</v>
      </c>
      <c r="L97" s="21">
        <v>303</v>
      </c>
      <c r="M97" s="21">
        <v>318.89999999999998</v>
      </c>
      <c r="N97" s="21">
        <v>356.19</v>
      </c>
      <c r="O97" s="21">
        <v>417.5</v>
      </c>
      <c r="P97" s="21">
        <v>473.8</v>
      </c>
      <c r="Q97" s="21">
        <v>546.20000000000005</v>
      </c>
      <c r="R97" s="21">
        <v>620.4</v>
      </c>
      <c r="S97" s="21">
        <v>633.79999999999995</v>
      </c>
      <c r="T97" s="178">
        <v>530.1</v>
      </c>
      <c r="U97" s="142">
        <v>561.9</v>
      </c>
      <c r="V97" s="142">
        <v>530</v>
      </c>
      <c r="W97" s="142">
        <v>578.08600000000001</v>
      </c>
      <c r="X97" s="142">
        <v>583.93799999999999</v>
      </c>
      <c r="Y97" s="142">
        <v>705.12800000000004</v>
      </c>
      <c r="Z97" s="142">
        <v>752.36699999999996</v>
      </c>
    </row>
    <row r="98" spans="1:26" s="3" customFormat="1" ht="9.75" x14ac:dyDescent="0.2">
      <c r="A98" s="9" t="s">
        <v>71</v>
      </c>
      <c r="B98" s="21">
        <v>74.8</v>
      </c>
      <c r="C98" s="21">
        <v>92.6</v>
      </c>
      <c r="D98" s="21">
        <v>81.400000000000006</v>
      </c>
      <c r="E98" s="21">
        <v>101.8</v>
      </c>
      <c r="F98" s="21">
        <v>147.1</v>
      </c>
      <c r="G98" s="21">
        <v>131.1</v>
      </c>
      <c r="H98" s="21">
        <v>179</v>
      </c>
      <c r="I98" s="21">
        <v>232.7</v>
      </c>
      <c r="J98" s="21">
        <v>258.60000000000002</v>
      </c>
      <c r="K98" s="21">
        <v>269.10000000000002</v>
      </c>
      <c r="L98" s="21">
        <v>274.8</v>
      </c>
      <c r="M98" s="21">
        <v>276.89999999999998</v>
      </c>
      <c r="N98" s="21">
        <v>302.88</v>
      </c>
      <c r="O98" s="21">
        <v>295.10000000000002</v>
      </c>
      <c r="P98" s="21">
        <v>352.5</v>
      </c>
      <c r="Q98" s="21">
        <v>235</v>
      </c>
      <c r="R98" s="21">
        <v>291.7</v>
      </c>
      <c r="S98" s="21">
        <v>270.5</v>
      </c>
      <c r="T98" s="178">
        <v>186.5</v>
      </c>
      <c r="U98" s="142">
        <v>216.8</v>
      </c>
      <c r="V98" s="142">
        <v>180.4</v>
      </c>
      <c r="W98" s="142">
        <v>204.47</v>
      </c>
      <c r="X98" s="142">
        <v>283.238</v>
      </c>
      <c r="Y98" s="142">
        <v>380.245</v>
      </c>
      <c r="Z98" s="142">
        <v>455.56299999999999</v>
      </c>
    </row>
    <row r="99" spans="1:26" s="3" customFormat="1" ht="9.75" x14ac:dyDescent="0.2">
      <c r="A99" s="9" t="s">
        <v>79</v>
      </c>
      <c r="B99" s="21">
        <v>7.5</v>
      </c>
      <c r="C99" s="21">
        <v>10.3</v>
      </c>
      <c r="D99" s="21">
        <v>14.2</v>
      </c>
      <c r="E99" s="21">
        <v>12.5</v>
      </c>
      <c r="F99" s="21">
        <v>16.600000000000001</v>
      </c>
      <c r="G99" s="21">
        <v>13</v>
      </c>
      <c r="H99" s="21">
        <v>31.5</v>
      </c>
      <c r="I99" s="21">
        <v>21</v>
      </c>
      <c r="J99" s="21">
        <v>63.4</v>
      </c>
      <c r="K99" s="21">
        <v>63.3</v>
      </c>
      <c r="L99" s="21">
        <v>57.8</v>
      </c>
      <c r="M99" s="21">
        <v>68.8</v>
      </c>
      <c r="N99" s="21">
        <v>72.37</v>
      </c>
      <c r="O99" s="21">
        <v>82.5</v>
      </c>
      <c r="P99" s="21">
        <v>87.7</v>
      </c>
      <c r="Q99" s="21">
        <v>72.3</v>
      </c>
      <c r="R99" s="21">
        <v>75</v>
      </c>
      <c r="S99" s="21">
        <v>66.7</v>
      </c>
      <c r="T99" s="178">
        <v>35.5</v>
      </c>
      <c r="U99" s="142">
        <v>44.7</v>
      </c>
      <c r="V99" s="142">
        <v>68.099999999999994</v>
      </c>
      <c r="W99" s="142">
        <v>60.052</v>
      </c>
      <c r="X99" s="142">
        <v>67.372</v>
      </c>
      <c r="Y99" s="142">
        <v>87.007000000000005</v>
      </c>
      <c r="Z99" s="142">
        <v>81.692999999999998</v>
      </c>
    </row>
    <row r="100" spans="1:26" s="3" customFormat="1" ht="9.75" x14ac:dyDescent="0.2">
      <c r="A100" s="9" t="s">
        <v>80</v>
      </c>
      <c r="B100" s="21">
        <v>191.4</v>
      </c>
      <c r="C100" s="21">
        <v>220.8</v>
      </c>
      <c r="D100" s="21">
        <v>175.4</v>
      </c>
      <c r="E100" s="21">
        <v>215.6</v>
      </c>
      <c r="F100" s="21">
        <v>215.2</v>
      </c>
      <c r="G100" s="21">
        <v>246.7</v>
      </c>
      <c r="H100" s="21">
        <v>320</v>
      </c>
      <c r="I100" s="21">
        <v>366.7</v>
      </c>
      <c r="J100" s="21">
        <v>375.4</v>
      </c>
      <c r="K100" s="21">
        <v>399</v>
      </c>
      <c r="L100" s="21">
        <v>535.20000000000005</v>
      </c>
      <c r="M100" s="21">
        <v>591.79999999999995</v>
      </c>
      <c r="N100" s="21">
        <v>610.83000000000004</v>
      </c>
      <c r="O100" s="21">
        <v>614.70000000000005</v>
      </c>
      <c r="P100" s="21">
        <v>671.6</v>
      </c>
      <c r="Q100" s="21">
        <v>498.5</v>
      </c>
      <c r="R100" s="21">
        <v>491.6</v>
      </c>
      <c r="S100" s="21">
        <v>412.1</v>
      </c>
      <c r="T100" s="178">
        <v>538.20000000000005</v>
      </c>
      <c r="U100" s="142">
        <v>559.20000000000005</v>
      </c>
      <c r="V100" s="142">
        <v>650.4</v>
      </c>
      <c r="W100" s="142">
        <v>885.33199999999999</v>
      </c>
      <c r="X100" s="142">
        <v>1043.876</v>
      </c>
      <c r="Y100" s="142">
        <v>1209.115</v>
      </c>
      <c r="Z100" s="142">
        <v>1306.635</v>
      </c>
    </row>
    <row r="101" spans="1:26" s="3" customFormat="1" ht="9.75" x14ac:dyDescent="0.2">
      <c r="A101" s="9" t="s">
        <v>81</v>
      </c>
      <c r="B101" s="21">
        <v>148.80000000000001</v>
      </c>
      <c r="C101" s="21">
        <v>129.6</v>
      </c>
      <c r="D101" s="21">
        <v>136.19999999999999</v>
      </c>
      <c r="E101" s="21">
        <v>140</v>
      </c>
      <c r="F101" s="21">
        <v>180.8</v>
      </c>
      <c r="G101" s="21">
        <v>194.5</v>
      </c>
      <c r="H101" s="21">
        <v>205.1</v>
      </c>
      <c r="I101" s="21">
        <v>265.8</v>
      </c>
      <c r="J101" s="21">
        <v>303.89999999999998</v>
      </c>
      <c r="K101" s="21">
        <v>379</v>
      </c>
      <c r="L101" s="21">
        <v>315.10000000000002</v>
      </c>
      <c r="M101" s="21">
        <v>402</v>
      </c>
      <c r="N101" s="21">
        <v>344.15</v>
      </c>
      <c r="O101" s="21">
        <v>325.10000000000002</v>
      </c>
      <c r="P101" s="21">
        <v>443.7</v>
      </c>
      <c r="Q101" s="21">
        <v>449.9</v>
      </c>
      <c r="R101" s="21">
        <v>366.2</v>
      </c>
      <c r="S101" s="21">
        <v>269.7</v>
      </c>
      <c r="T101" s="178">
        <v>273.8</v>
      </c>
      <c r="U101" s="142">
        <v>294.5</v>
      </c>
      <c r="V101" s="142">
        <v>229.3</v>
      </c>
      <c r="W101" s="142">
        <v>334.25400000000002</v>
      </c>
      <c r="X101" s="142">
        <v>374.13900000000001</v>
      </c>
      <c r="Y101" s="142">
        <v>577.79700000000003</v>
      </c>
      <c r="Z101" s="142">
        <v>527.42700000000002</v>
      </c>
    </row>
    <row r="102" spans="1:26" s="3" customFormat="1" ht="9.75" x14ac:dyDescent="0.2">
      <c r="A102" s="9" t="s">
        <v>82</v>
      </c>
      <c r="B102" s="21">
        <v>121.5</v>
      </c>
      <c r="C102" s="21">
        <v>101.7</v>
      </c>
      <c r="D102" s="21">
        <v>113.6</v>
      </c>
      <c r="E102" s="21">
        <v>104</v>
      </c>
      <c r="F102" s="21">
        <v>80.099999999999994</v>
      </c>
      <c r="G102" s="21">
        <v>125.3</v>
      </c>
      <c r="H102" s="21">
        <v>138.6</v>
      </c>
      <c r="I102" s="21">
        <v>169</v>
      </c>
      <c r="J102" s="21">
        <v>184.9</v>
      </c>
      <c r="K102" s="21">
        <v>149.6</v>
      </c>
      <c r="L102" s="21">
        <v>166.3</v>
      </c>
      <c r="M102" s="21">
        <v>240.9</v>
      </c>
      <c r="N102" s="21">
        <v>317.42</v>
      </c>
      <c r="O102" s="21">
        <v>363.5</v>
      </c>
      <c r="P102" s="21">
        <v>343.5</v>
      </c>
      <c r="Q102" s="21">
        <v>261.3</v>
      </c>
      <c r="R102" s="21">
        <v>221.2</v>
      </c>
      <c r="S102" s="21">
        <v>181.6</v>
      </c>
      <c r="T102" s="178">
        <v>158.9</v>
      </c>
      <c r="U102" s="142">
        <v>204.9</v>
      </c>
      <c r="V102" s="142">
        <v>156.1</v>
      </c>
      <c r="W102" s="142">
        <v>226.30199999999999</v>
      </c>
      <c r="X102" s="142">
        <v>378.63299999999998</v>
      </c>
      <c r="Y102" s="142">
        <v>496.20299999999997</v>
      </c>
      <c r="Z102" s="142">
        <v>506.60199999999998</v>
      </c>
    </row>
    <row r="103" spans="1:26" s="3" customFormat="1" ht="9.75" x14ac:dyDescent="0.2">
      <c r="A103" s="9" t="s">
        <v>83</v>
      </c>
      <c r="B103" s="21">
        <v>6.2</v>
      </c>
      <c r="C103" s="21">
        <v>7</v>
      </c>
      <c r="D103" s="21">
        <v>2.5</v>
      </c>
      <c r="E103" s="21">
        <v>7.1</v>
      </c>
      <c r="F103" s="21">
        <v>3.8</v>
      </c>
      <c r="G103" s="21">
        <v>9</v>
      </c>
      <c r="H103" s="21">
        <v>13.8</v>
      </c>
      <c r="I103" s="21">
        <v>14.8</v>
      </c>
      <c r="J103" s="21">
        <v>15</v>
      </c>
      <c r="K103" s="21">
        <v>15.6</v>
      </c>
      <c r="L103" s="21">
        <v>15.9</v>
      </c>
      <c r="M103" s="21">
        <v>18.2</v>
      </c>
      <c r="N103" s="21">
        <v>20.02</v>
      </c>
      <c r="O103" s="21">
        <v>15.3</v>
      </c>
      <c r="P103" s="21">
        <v>13</v>
      </c>
      <c r="Q103" s="21">
        <v>20.7</v>
      </c>
      <c r="R103" s="21">
        <v>5.3</v>
      </c>
      <c r="S103" s="21">
        <v>6.4</v>
      </c>
      <c r="T103" s="178">
        <v>4.3</v>
      </c>
      <c r="U103" s="142">
        <v>7.4</v>
      </c>
      <c r="V103" s="142">
        <v>9</v>
      </c>
      <c r="W103" s="142">
        <v>10.683999999999999</v>
      </c>
      <c r="X103" s="142">
        <v>11.522</v>
      </c>
      <c r="Y103" s="142">
        <v>11.962999999999999</v>
      </c>
      <c r="Z103" s="142">
        <v>9.5079999999999991</v>
      </c>
    </row>
    <row r="104" spans="1:26" s="3" customFormat="1" ht="9.75" x14ac:dyDescent="0.2">
      <c r="A104" s="9" t="s">
        <v>84</v>
      </c>
      <c r="B104" s="21">
        <v>66.400000000000006</v>
      </c>
      <c r="C104" s="21">
        <v>38.4</v>
      </c>
      <c r="D104" s="21">
        <v>42.6</v>
      </c>
      <c r="E104" s="21">
        <v>42.8</v>
      </c>
      <c r="F104" s="21">
        <v>58.7</v>
      </c>
      <c r="G104" s="21">
        <v>44.4</v>
      </c>
      <c r="H104" s="21">
        <v>65.8</v>
      </c>
      <c r="I104" s="21">
        <v>105.6</v>
      </c>
      <c r="J104" s="21">
        <v>148.9</v>
      </c>
      <c r="K104" s="21">
        <v>164.7</v>
      </c>
      <c r="L104" s="21">
        <v>201.8</v>
      </c>
      <c r="M104" s="21">
        <v>239.4</v>
      </c>
      <c r="N104" s="21">
        <v>214.97</v>
      </c>
      <c r="O104" s="21">
        <v>291.2</v>
      </c>
      <c r="P104" s="21">
        <v>304.5</v>
      </c>
      <c r="Q104" s="21">
        <v>312.10000000000002</v>
      </c>
      <c r="R104" s="21">
        <v>333.9</v>
      </c>
      <c r="S104" s="21">
        <v>347.7</v>
      </c>
      <c r="T104" s="178">
        <v>264.8</v>
      </c>
      <c r="U104" s="142">
        <v>331.5</v>
      </c>
      <c r="V104" s="142">
        <v>439.8</v>
      </c>
      <c r="W104" s="142">
        <v>503.24299999999999</v>
      </c>
      <c r="X104" s="142">
        <v>504.12700000000001</v>
      </c>
      <c r="Y104" s="142">
        <v>512.88</v>
      </c>
      <c r="Z104" s="142">
        <v>463.06599999999997</v>
      </c>
    </row>
    <row r="105" spans="1:26" s="3" customFormat="1" ht="12.75" customHeight="1" x14ac:dyDescent="0.2">
      <c r="A105" s="9" t="s">
        <v>85</v>
      </c>
      <c r="B105" s="21">
        <v>8</v>
      </c>
      <c r="C105" s="21">
        <v>7.6</v>
      </c>
      <c r="D105" s="21">
        <v>16.7</v>
      </c>
      <c r="E105" s="21">
        <v>10.5</v>
      </c>
      <c r="F105" s="21">
        <v>10.6</v>
      </c>
      <c r="G105" s="21">
        <v>16.2</v>
      </c>
      <c r="H105" s="21">
        <v>21.1</v>
      </c>
      <c r="I105" s="21">
        <v>30</v>
      </c>
      <c r="J105" s="21">
        <v>39.4</v>
      </c>
      <c r="K105" s="21">
        <v>48.8</v>
      </c>
      <c r="L105" s="21">
        <v>52.6</v>
      </c>
      <c r="M105" s="21">
        <v>53</v>
      </c>
      <c r="N105" s="21">
        <v>54.1</v>
      </c>
      <c r="O105" s="21">
        <v>63.2</v>
      </c>
      <c r="P105" s="21">
        <v>104</v>
      </c>
      <c r="Q105" s="21">
        <v>59.6</v>
      </c>
      <c r="R105" s="21">
        <v>75.900000000000006</v>
      </c>
      <c r="S105" s="21">
        <v>50.4</v>
      </c>
      <c r="T105" s="178">
        <v>27.8</v>
      </c>
      <c r="U105" s="142">
        <v>23.4</v>
      </c>
      <c r="V105" s="142">
        <v>14.1</v>
      </c>
      <c r="W105" s="142">
        <v>29.956</v>
      </c>
      <c r="X105" s="142">
        <v>25.29</v>
      </c>
      <c r="Y105" s="142">
        <v>25.7</v>
      </c>
      <c r="Z105" s="142">
        <v>38.978999999999999</v>
      </c>
    </row>
    <row r="106" spans="1:26" s="3" customFormat="1" ht="13.5" customHeight="1" thickBot="1" x14ac:dyDescent="0.25">
      <c r="A106" s="71" t="s">
        <v>86</v>
      </c>
      <c r="B106" s="64">
        <v>0.8</v>
      </c>
      <c r="C106" s="64">
        <v>10</v>
      </c>
      <c r="D106" s="64">
        <v>12.6</v>
      </c>
      <c r="E106" s="64">
        <v>19.5</v>
      </c>
      <c r="F106" s="64">
        <v>24.8</v>
      </c>
      <c r="G106" s="64">
        <v>23.7</v>
      </c>
      <c r="H106" s="64">
        <v>6.6</v>
      </c>
      <c r="I106" s="64">
        <v>6.6</v>
      </c>
      <c r="J106" s="64">
        <v>1.6</v>
      </c>
      <c r="K106" s="64">
        <v>4</v>
      </c>
      <c r="L106" s="64">
        <v>0.3</v>
      </c>
      <c r="M106" s="64">
        <v>2.1</v>
      </c>
      <c r="N106" s="64">
        <v>1.18</v>
      </c>
      <c r="O106" s="64">
        <v>0.4</v>
      </c>
      <c r="P106" s="64">
        <v>1.8</v>
      </c>
      <c r="Q106" s="64">
        <v>2.2000000000000002</v>
      </c>
      <c r="R106" s="64">
        <v>2.5</v>
      </c>
      <c r="S106" s="64">
        <v>4.0999999999999996</v>
      </c>
      <c r="T106" s="179">
        <v>1.8</v>
      </c>
      <c r="U106" s="144">
        <v>1.3</v>
      </c>
      <c r="V106" s="144">
        <v>1.7</v>
      </c>
      <c r="W106" s="144">
        <v>3.0230000000000001</v>
      </c>
      <c r="X106" s="144">
        <v>3.5209999999999999</v>
      </c>
      <c r="Y106" s="144">
        <v>6.2110000000000003</v>
      </c>
      <c r="Z106" s="144">
        <v>6.173</v>
      </c>
    </row>
    <row r="107" spans="1:26" s="3" customFormat="1" ht="9.75" x14ac:dyDescent="0.2">
      <c r="A107" s="141"/>
      <c r="B107" s="141"/>
      <c r="C107" s="141"/>
      <c r="D107" s="141"/>
      <c r="E107" s="141"/>
      <c r="F107" s="141"/>
      <c r="G107" s="18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60"/>
      <c r="Z107" s="141"/>
    </row>
    <row r="108" spans="1:26" s="3" customFormat="1" ht="9.75" x14ac:dyDescent="0.2">
      <c r="A108" s="141"/>
      <c r="B108" s="141"/>
      <c r="C108" s="141"/>
      <c r="D108" s="141"/>
      <c r="E108" s="141"/>
      <c r="F108" s="141"/>
      <c r="G108" s="18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60"/>
      <c r="Z108" s="141"/>
    </row>
    <row r="109" spans="1:26" x14ac:dyDescent="0.25">
      <c r="G109" s="163"/>
    </row>
    <row r="110" spans="1:26" x14ac:dyDescent="0.25">
      <c r="G110" s="163"/>
    </row>
    <row r="111" spans="1:26" x14ac:dyDescent="0.25">
      <c r="G111" s="163"/>
    </row>
    <row r="112" spans="1:26" x14ac:dyDescent="0.25">
      <c r="G112" s="163"/>
    </row>
  </sheetData>
  <mergeCells count="4">
    <mergeCell ref="A7:N7"/>
    <mergeCell ref="A2:Z2"/>
    <mergeCell ref="A3:Z3"/>
    <mergeCell ref="A4:Z4"/>
  </mergeCells>
  <pageMargins left="0.7" right="0.7" top="0.75" bottom="0.75" header="0.3" footer="0.3"/>
  <pageSetup paperSize="9" orientation="portrait" r:id="rId1"/>
  <ignoredErrors>
    <ignoredError sqref="B84 H52:K52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2">
    <tabColor rgb="FFC7E6A4"/>
  </sheetPr>
  <dimension ref="A1:AA108"/>
  <sheetViews>
    <sheetView zoomScale="80" zoomScaleNormal="80" workbookViewId="0">
      <pane ySplit="8" topLeftCell="A9" activePane="bottomLeft" state="frozen"/>
      <selection sqref="A1:T1"/>
      <selection pane="bottomLeft" activeCell="C1" sqref="C1"/>
    </sheetView>
  </sheetViews>
  <sheetFormatPr defaultRowHeight="15" x14ac:dyDescent="0.25"/>
  <cols>
    <col min="1" max="1" width="18.42578125" customWidth="1"/>
    <col min="12" max="12" width="8.7109375" customWidth="1"/>
    <col min="13" max="25" width="9.140625" style="60"/>
    <col min="26" max="26" width="9.140625" style="1"/>
  </cols>
  <sheetData>
    <row r="1" spans="1:27" ht="30.75" customHeight="1" x14ac:dyDescent="0.25"/>
    <row r="2" spans="1:27" x14ac:dyDescent="0.25">
      <c r="A2" s="200" t="s">
        <v>180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spans="1:27" x14ac:dyDescent="0.25">
      <c r="A3" s="201" t="s">
        <v>191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7" x14ac:dyDescent="0.25">
      <c r="A4" s="202" t="s">
        <v>119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7" x14ac:dyDescent="0.25">
      <c r="A5" s="11" t="s">
        <v>213</v>
      </c>
      <c r="B5" s="11"/>
      <c r="C5" s="11"/>
      <c r="D5" s="11"/>
      <c r="E5" s="11"/>
      <c r="F5" s="11"/>
      <c r="G5" s="34"/>
      <c r="H5" s="34"/>
      <c r="I5" s="34"/>
      <c r="J5" s="34"/>
      <c r="K5" s="34"/>
      <c r="L5" s="34"/>
      <c r="Z5" s="12"/>
      <c r="AA5" s="12"/>
    </row>
    <row r="6" spans="1:27" x14ac:dyDescent="0.25">
      <c r="A6" s="11" t="s">
        <v>267</v>
      </c>
      <c r="B6" s="11"/>
      <c r="C6" s="11"/>
      <c r="D6" s="11"/>
      <c r="E6" s="11"/>
      <c r="F6" s="11"/>
      <c r="G6" s="34"/>
      <c r="H6" s="34"/>
      <c r="I6" s="34"/>
      <c r="J6" s="34"/>
      <c r="K6" s="34"/>
      <c r="L6" s="34"/>
      <c r="Z6" s="12"/>
      <c r="AA6" s="12"/>
    </row>
    <row r="7" spans="1:27" s="63" customFormat="1" ht="14.25" customHeight="1" thickBot="1" x14ac:dyDescent="0.25">
      <c r="A7" s="24" t="s">
        <v>185</v>
      </c>
      <c r="B7" s="24"/>
      <c r="C7" s="24"/>
      <c r="D7" s="24"/>
      <c r="E7" s="24"/>
      <c r="F7" s="24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141"/>
      <c r="AA7" s="141"/>
    </row>
    <row r="8" spans="1:27" s="63" customFormat="1" ht="17.25" customHeight="1" thickBot="1" x14ac:dyDescent="0.2">
      <c r="A8" s="168"/>
      <c r="B8" s="168">
        <v>2000</v>
      </c>
      <c r="C8" s="168">
        <v>2001</v>
      </c>
      <c r="D8" s="168">
        <v>2002</v>
      </c>
      <c r="E8" s="168">
        <v>2003</v>
      </c>
      <c r="F8" s="168">
        <v>2004</v>
      </c>
      <c r="G8" s="168">
        <v>2005</v>
      </c>
      <c r="H8" s="168">
        <v>2006</v>
      </c>
      <c r="I8" s="168">
        <v>2007</v>
      </c>
      <c r="J8" s="168">
        <v>2008</v>
      </c>
      <c r="K8" s="168">
        <v>2009</v>
      </c>
      <c r="L8" s="168">
        <v>2010</v>
      </c>
      <c r="M8" s="168">
        <v>2011</v>
      </c>
      <c r="N8" s="168">
        <v>2012</v>
      </c>
      <c r="O8" s="168">
        <v>2013</v>
      </c>
      <c r="P8" s="168">
        <v>2014</v>
      </c>
      <c r="Q8" s="168">
        <v>2015</v>
      </c>
      <c r="R8" s="168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  <c r="AA8" s="141"/>
    </row>
    <row r="9" spans="1:27" s="63" customFormat="1" ht="9" x14ac:dyDescent="0.15">
      <c r="A9" s="29" t="s">
        <v>184</v>
      </c>
      <c r="B9" s="26">
        <v>206.66057740647994</v>
      </c>
      <c r="C9" s="26">
        <v>217.18016256041213</v>
      </c>
      <c r="D9" s="26">
        <v>232.83335569984823</v>
      </c>
      <c r="E9" s="26">
        <v>251.98512439296172</v>
      </c>
      <c r="F9" s="26">
        <v>284.86752678865759</v>
      </c>
      <c r="G9" s="121">
        <v>304</v>
      </c>
      <c r="H9" s="26">
        <v>353.38852345357577</v>
      </c>
      <c r="I9" s="26">
        <v>428.70523530410827</v>
      </c>
      <c r="J9" s="26">
        <v>448.76935835573869</v>
      </c>
      <c r="K9" s="26">
        <v>419.45199853802927</v>
      </c>
      <c r="L9" s="126">
        <v>409</v>
      </c>
      <c r="M9" s="126">
        <v>435</v>
      </c>
      <c r="N9" s="126">
        <v>459</v>
      </c>
      <c r="O9" s="126">
        <v>490</v>
      </c>
      <c r="P9" s="126">
        <v>575</v>
      </c>
      <c r="Q9" s="126">
        <v>581</v>
      </c>
      <c r="R9" s="126">
        <v>544</v>
      </c>
      <c r="S9" s="120">
        <v>536</v>
      </c>
      <c r="T9" s="22">
        <v>512</v>
      </c>
      <c r="U9" s="133">
        <v>555</v>
      </c>
      <c r="V9" s="133">
        <v>556</v>
      </c>
      <c r="W9" s="133">
        <v>629</v>
      </c>
      <c r="X9" s="133">
        <v>700</v>
      </c>
      <c r="Y9" s="133">
        <v>755</v>
      </c>
      <c r="Z9" s="105">
        <v>737</v>
      </c>
      <c r="AA9" s="141"/>
    </row>
    <row r="10" spans="1:27" s="63" customFormat="1" ht="18" x14ac:dyDescent="0.15">
      <c r="A10" s="8" t="s">
        <v>92</v>
      </c>
      <c r="B10" s="26">
        <v>266.48499793201296</v>
      </c>
      <c r="C10" s="26">
        <v>278.34992051791892</v>
      </c>
      <c r="D10" s="26">
        <v>313.87143623906798</v>
      </c>
      <c r="E10" s="26">
        <v>350.33514252748995</v>
      </c>
      <c r="F10" s="26">
        <v>402.50684582125666</v>
      </c>
      <c r="G10" s="121">
        <v>401</v>
      </c>
      <c r="H10" s="26">
        <v>454.69033977477324</v>
      </c>
      <c r="I10" s="26">
        <v>520.83004716556695</v>
      </c>
      <c r="J10" s="26">
        <v>500.41487657673565</v>
      </c>
      <c r="K10" s="26">
        <v>493.31269051557047</v>
      </c>
      <c r="L10" s="120">
        <v>455</v>
      </c>
      <c r="M10" s="120">
        <v>469</v>
      </c>
      <c r="N10" s="120">
        <v>469</v>
      </c>
      <c r="O10" s="120">
        <v>519</v>
      </c>
      <c r="P10" s="120">
        <v>625</v>
      </c>
      <c r="Q10" s="120">
        <v>647</v>
      </c>
      <c r="R10" s="120">
        <v>603</v>
      </c>
      <c r="S10" s="120">
        <v>608</v>
      </c>
      <c r="T10" s="22">
        <v>583</v>
      </c>
      <c r="U10" s="22">
        <v>638</v>
      </c>
      <c r="V10" s="22">
        <v>632</v>
      </c>
      <c r="W10" s="22">
        <v>724</v>
      </c>
      <c r="X10" s="22">
        <v>816</v>
      </c>
      <c r="Y10" s="22">
        <v>820</v>
      </c>
      <c r="Z10" s="22">
        <v>752</v>
      </c>
      <c r="AA10" s="141"/>
    </row>
    <row r="11" spans="1:27" s="63" customFormat="1" ht="9.75" x14ac:dyDescent="0.2">
      <c r="A11" s="9" t="s">
        <v>1</v>
      </c>
      <c r="B11" s="20">
        <v>467.79232865784752</v>
      </c>
      <c r="C11" s="20">
        <v>394.93234279649772</v>
      </c>
      <c r="D11" s="20">
        <v>439.13907284768209</v>
      </c>
      <c r="E11" s="20">
        <v>443.65742402399667</v>
      </c>
      <c r="F11" s="20">
        <v>533.72608098701642</v>
      </c>
      <c r="G11" s="117">
        <v>550</v>
      </c>
      <c r="H11" s="20">
        <v>620.51616263498602</v>
      </c>
      <c r="I11" s="20">
        <v>701.32559765925998</v>
      </c>
      <c r="J11" s="20">
        <v>730.18290681337726</v>
      </c>
      <c r="K11" s="20">
        <v>717.64968257425176</v>
      </c>
      <c r="L11" s="118">
        <v>718</v>
      </c>
      <c r="M11" s="118">
        <v>748</v>
      </c>
      <c r="N11" s="118">
        <v>789</v>
      </c>
      <c r="O11" s="118">
        <v>839</v>
      </c>
      <c r="P11" s="118">
        <v>949</v>
      </c>
      <c r="Q11" s="118">
        <v>1002</v>
      </c>
      <c r="R11" s="118">
        <v>869</v>
      </c>
      <c r="S11" s="118">
        <v>837</v>
      </c>
      <c r="T11" s="21">
        <v>783</v>
      </c>
      <c r="U11" s="134">
        <v>812</v>
      </c>
      <c r="V11" s="134">
        <v>741</v>
      </c>
      <c r="W11" s="134">
        <v>756</v>
      </c>
      <c r="X11" s="134">
        <v>551</v>
      </c>
      <c r="Y11" s="134">
        <v>636</v>
      </c>
      <c r="Z11" s="139">
        <v>572</v>
      </c>
      <c r="AA11" s="141"/>
    </row>
    <row r="12" spans="1:27" s="63" customFormat="1" ht="9.75" x14ac:dyDescent="0.2">
      <c r="A12" s="9" t="s">
        <v>2</v>
      </c>
      <c r="B12" s="20">
        <v>159.15512856739196</v>
      </c>
      <c r="C12" s="20">
        <v>169.25055369007643</v>
      </c>
      <c r="D12" s="20">
        <v>174.73973395026024</v>
      </c>
      <c r="E12" s="20">
        <v>162.17884129140569</v>
      </c>
      <c r="F12" s="20">
        <v>169.35489835008394</v>
      </c>
      <c r="G12" s="117">
        <v>148</v>
      </c>
      <c r="H12" s="20">
        <v>186.56264202393581</v>
      </c>
      <c r="I12" s="20">
        <v>228.20298368711804</v>
      </c>
      <c r="J12" s="20">
        <v>247.69074766880425</v>
      </c>
      <c r="K12" s="20">
        <v>273.48215081428549</v>
      </c>
      <c r="L12" s="118">
        <v>305</v>
      </c>
      <c r="M12" s="118">
        <v>332</v>
      </c>
      <c r="N12" s="118">
        <v>360</v>
      </c>
      <c r="O12" s="118">
        <v>423</v>
      </c>
      <c r="P12" s="118">
        <v>446</v>
      </c>
      <c r="Q12" s="118">
        <v>525</v>
      </c>
      <c r="R12" s="118">
        <v>545</v>
      </c>
      <c r="S12" s="118">
        <v>460</v>
      </c>
      <c r="T12" s="21">
        <v>335</v>
      </c>
      <c r="U12" s="134">
        <v>341</v>
      </c>
      <c r="V12" s="134">
        <v>360</v>
      </c>
      <c r="W12" s="134">
        <v>385</v>
      </c>
      <c r="X12" s="134">
        <v>419</v>
      </c>
      <c r="Y12" s="134">
        <v>496</v>
      </c>
      <c r="Z12" s="139">
        <v>536</v>
      </c>
      <c r="AA12" s="141"/>
    </row>
    <row r="13" spans="1:27" s="63" customFormat="1" ht="9.75" x14ac:dyDescent="0.2">
      <c r="A13" s="9" t="s">
        <v>3</v>
      </c>
      <c r="B13" s="20">
        <v>179.09114117947411</v>
      </c>
      <c r="C13" s="20">
        <v>158.85315769081751</v>
      </c>
      <c r="D13" s="20">
        <v>165.59884937238496</v>
      </c>
      <c r="E13" s="20">
        <v>184.44508698757733</v>
      </c>
      <c r="F13" s="20">
        <v>215.6845140115125</v>
      </c>
      <c r="G13" s="117">
        <v>219</v>
      </c>
      <c r="H13" s="20">
        <v>230.42796948601668</v>
      </c>
      <c r="I13" s="20">
        <v>255.55596335762476</v>
      </c>
      <c r="J13" s="20">
        <v>286.8006072459209</v>
      </c>
      <c r="K13" s="20">
        <v>310.20975269198095</v>
      </c>
      <c r="L13" s="118">
        <v>333</v>
      </c>
      <c r="M13" s="118">
        <v>304</v>
      </c>
      <c r="N13" s="118">
        <v>355</v>
      </c>
      <c r="O13" s="118">
        <v>365</v>
      </c>
      <c r="P13" s="118">
        <v>428</v>
      </c>
      <c r="Q13" s="118">
        <v>459</v>
      </c>
      <c r="R13" s="118">
        <v>467</v>
      </c>
      <c r="S13" s="118">
        <v>498</v>
      </c>
      <c r="T13" s="21">
        <v>471</v>
      </c>
      <c r="U13" s="134">
        <v>541</v>
      </c>
      <c r="V13" s="134">
        <v>531</v>
      </c>
      <c r="W13" s="134">
        <v>614</v>
      </c>
      <c r="X13" s="134">
        <v>887</v>
      </c>
      <c r="Y13" s="134">
        <v>869</v>
      </c>
      <c r="Z13" s="139">
        <v>788</v>
      </c>
      <c r="AA13" s="141"/>
    </row>
    <row r="14" spans="1:27" s="63" customFormat="1" ht="9.75" x14ac:dyDescent="0.2">
      <c r="A14" s="9" t="s">
        <v>4</v>
      </c>
      <c r="B14" s="20">
        <v>233.85969240891521</v>
      </c>
      <c r="C14" s="20">
        <v>242.60281362825251</v>
      </c>
      <c r="D14" s="20">
        <v>273.61891189538096</v>
      </c>
      <c r="E14" s="20">
        <v>316.41205098865061</v>
      </c>
      <c r="F14" s="20">
        <v>296.89028034049619</v>
      </c>
      <c r="G14" s="117">
        <v>332</v>
      </c>
      <c r="H14" s="20">
        <v>362.39722604712557</v>
      </c>
      <c r="I14" s="20">
        <v>414.79556717036115</v>
      </c>
      <c r="J14" s="20">
        <v>478.49750502304943</v>
      </c>
      <c r="K14" s="20">
        <v>379.85473348549777</v>
      </c>
      <c r="L14" s="118">
        <v>450</v>
      </c>
      <c r="M14" s="118">
        <v>427</v>
      </c>
      <c r="N14" s="118">
        <v>476</v>
      </c>
      <c r="O14" s="118">
        <v>578</v>
      </c>
      <c r="P14" s="118">
        <v>674</v>
      </c>
      <c r="Q14" s="118">
        <v>696</v>
      </c>
      <c r="R14" s="118">
        <v>717</v>
      </c>
      <c r="S14" s="118">
        <v>720</v>
      </c>
      <c r="T14" s="21">
        <v>722</v>
      </c>
      <c r="U14" s="134">
        <v>804</v>
      </c>
      <c r="V14" s="134">
        <v>741</v>
      </c>
      <c r="W14" s="134">
        <v>807</v>
      </c>
      <c r="X14" s="134">
        <v>838</v>
      </c>
      <c r="Y14" s="134">
        <v>884</v>
      </c>
      <c r="Z14" s="139">
        <v>853</v>
      </c>
      <c r="AA14" s="141"/>
    </row>
    <row r="15" spans="1:27" s="63" customFormat="1" ht="9.75" x14ac:dyDescent="0.2">
      <c r="A15" s="9" t="s">
        <v>5</v>
      </c>
      <c r="B15" s="20">
        <v>88.894506235254468</v>
      </c>
      <c r="C15" s="20">
        <v>78.263841421736146</v>
      </c>
      <c r="D15" s="20">
        <v>85.587929240374606</v>
      </c>
      <c r="E15" s="20">
        <v>105.20459525234601</v>
      </c>
      <c r="F15" s="20">
        <v>80.168487289157312</v>
      </c>
      <c r="G15" s="117">
        <v>95</v>
      </c>
      <c r="H15" s="20">
        <v>163.70868614197758</v>
      </c>
      <c r="I15" s="20">
        <v>130.8183053501923</v>
      </c>
      <c r="J15" s="20">
        <v>158.48419333586958</v>
      </c>
      <c r="K15" s="20">
        <v>174.12851711594624</v>
      </c>
      <c r="L15" s="118">
        <v>179</v>
      </c>
      <c r="M15" s="118">
        <v>205</v>
      </c>
      <c r="N15" s="118">
        <v>213</v>
      </c>
      <c r="O15" s="118">
        <v>224</v>
      </c>
      <c r="P15" s="118">
        <v>247</v>
      </c>
      <c r="Q15" s="118">
        <v>257</v>
      </c>
      <c r="R15" s="118">
        <v>177</v>
      </c>
      <c r="S15" s="118">
        <v>344</v>
      </c>
      <c r="T15" s="21">
        <v>379</v>
      </c>
      <c r="U15" s="134">
        <v>345</v>
      </c>
      <c r="V15" s="134">
        <v>352</v>
      </c>
      <c r="W15" s="134">
        <v>389</v>
      </c>
      <c r="X15" s="134">
        <v>427</v>
      </c>
      <c r="Y15" s="134">
        <v>562</v>
      </c>
      <c r="Z15" s="139">
        <v>510</v>
      </c>
      <c r="AA15" s="141"/>
    </row>
    <row r="16" spans="1:27" s="63" customFormat="1" ht="9.75" x14ac:dyDescent="0.2">
      <c r="A16" s="9" t="s">
        <v>6</v>
      </c>
      <c r="B16" s="20">
        <v>167.46456397258987</v>
      </c>
      <c r="C16" s="20">
        <v>183.90368755332256</v>
      </c>
      <c r="D16" s="20">
        <v>189.82856048271239</v>
      </c>
      <c r="E16" s="20">
        <v>209.34467484917425</v>
      </c>
      <c r="F16" s="20">
        <v>208.62106140335544</v>
      </c>
      <c r="G16" s="117">
        <v>256</v>
      </c>
      <c r="H16" s="20">
        <v>259.26335539045607</v>
      </c>
      <c r="I16" s="20">
        <v>449.68565186754</v>
      </c>
      <c r="J16" s="20">
        <v>621.1503921657345</v>
      </c>
      <c r="K16" s="20">
        <v>449.81911696774438</v>
      </c>
      <c r="L16" s="118">
        <v>495</v>
      </c>
      <c r="M16" s="118">
        <v>592</v>
      </c>
      <c r="N16" s="118">
        <v>604</v>
      </c>
      <c r="O16" s="118">
        <v>645</v>
      </c>
      <c r="P16" s="118">
        <v>787</v>
      </c>
      <c r="Q16" s="118">
        <v>770</v>
      </c>
      <c r="R16" s="118">
        <v>707</v>
      </c>
      <c r="S16" s="118">
        <v>841</v>
      </c>
      <c r="T16" s="21">
        <v>748</v>
      </c>
      <c r="U16" s="134">
        <v>755</v>
      </c>
      <c r="V16" s="134">
        <v>777</v>
      </c>
      <c r="W16" s="134">
        <v>810</v>
      </c>
      <c r="X16" s="134">
        <v>855</v>
      </c>
      <c r="Y16" s="134">
        <v>1046</v>
      </c>
      <c r="Z16" s="139">
        <v>908</v>
      </c>
      <c r="AA16" s="141"/>
    </row>
    <row r="17" spans="1:27" s="63" customFormat="1" ht="9.75" x14ac:dyDescent="0.2">
      <c r="A17" s="9" t="s">
        <v>7</v>
      </c>
      <c r="B17" s="20">
        <v>207.28328275498086</v>
      </c>
      <c r="C17" s="20">
        <v>246.99599465954606</v>
      </c>
      <c r="D17" s="20">
        <v>151.78571428571428</v>
      </c>
      <c r="E17" s="20">
        <v>144.07284322953686</v>
      </c>
      <c r="F17" s="20">
        <v>113.85807458609733</v>
      </c>
      <c r="G17" s="117">
        <v>165</v>
      </c>
      <c r="H17" s="20">
        <v>157.31417353207019</v>
      </c>
      <c r="I17" s="20">
        <v>204.48110734384287</v>
      </c>
      <c r="J17" s="20">
        <v>218.92287009351972</v>
      </c>
      <c r="K17" s="20">
        <v>267.11442388275395</v>
      </c>
      <c r="L17" s="118">
        <v>226</v>
      </c>
      <c r="M17" s="118">
        <v>236</v>
      </c>
      <c r="N17" s="118">
        <v>313</v>
      </c>
      <c r="O17" s="118">
        <v>352</v>
      </c>
      <c r="P17" s="118">
        <v>512</v>
      </c>
      <c r="Q17" s="118">
        <v>508</v>
      </c>
      <c r="R17" s="118">
        <v>492</v>
      </c>
      <c r="S17" s="118">
        <v>500</v>
      </c>
      <c r="T17" s="21">
        <v>322</v>
      </c>
      <c r="U17" s="134">
        <v>352</v>
      </c>
      <c r="V17" s="134">
        <v>435</v>
      </c>
      <c r="W17" s="134">
        <v>573</v>
      </c>
      <c r="X17" s="134">
        <v>587</v>
      </c>
      <c r="Y17" s="134">
        <v>633</v>
      </c>
      <c r="Z17" s="139">
        <v>566</v>
      </c>
      <c r="AA17" s="141"/>
    </row>
    <row r="18" spans="1:27" s="63" customFormat="1" ht="9.75" x14ac:dyDescent="0.2">
      <c r="A18" s="9" t="s">
        <v>8</v>
      </c>
      <c r="B18" s="20">
        <v>137.90126363707716</v>
      </c>
      <c r="C18" s="20">
        <v>153.24055666003974</v>
      </c>
      <c r="D18" s="20">
        <v>154.54105500887241</v>
      </c>
      <c r="E18" s="20">
        <v>225.73400368996141</v>
      </c>
      <c r="F18" s="20">
        <v>237.09272517167639</v>
      </c>
      <c r="G18" s="117">
        <v>251</v>
      </c>
      <c r="H18" s="20">
        <v>279.32507128474998</v>
      </c>
      <c r="I18" s="20">
        <v>324.8841551974549</v>
      </c>
      <c r="J18" s="20">
        <v>389.59805436247876</v>
      </c>
      <c r="K18" s="20">
        <v>400.38308963015703</v>
      </c>
      <c r="L18" s="118">
        <v>337</v>
      </c>
      <c r="M18" s="118">
        <v>351</v>
      </c>
      <c r="N18" s="118">
        <v>381</v>
      </c>
      <c r="O18" s="118">
        <v>444</v>
      </c>
      <c r="P18" s="118">
        <v>502</v>
      </c>
      <c r="Q18" s="118">
        <v>508</v>
      </c>
      <c r="R18" s="118">
        <v>524</v>
      </c>
      <c r="S18" s="118">
        <v>529</v>
      </c>
      <c r="T18" s="21">
        <v>537</v>
      </c>
      <c r="U18" s="134">
        <v>503</v>
      </c>
      <c r="V18" s="134">
        <v>477</v>
      </c>
      <c r="W18" s="134">
        <v>521</v>
      </c>
      <c r="X18" s="134">
        <v>516</v>
      </c>
      <c r="Y18" s="134">
        <v>582</v>
      </c>
      <c r="Z18" s="139">
        <v>684</v>
      </c>
      <c r="AA18" s="141"/>
    </row>
    <row r="19" spans="1:27" s="63" customFormat="1" ht="9.75" x14ac:dyDescent="0.2">
      <c r="A19" s="9" t="s">
        <v>9</v>
      </c>
      <c r="B19" s="20">
        <v>260.94727435210007</v>
      </c>
      <c r="C19" s="20">
        <v>315.20052274769256</v>
      </c>
      <c r="D19" s="20">
        <v>250.06169285185487</v>
      </c>
      <c r="E19" s="20">
        <v>287.63222805304025</v>
      </c>
      <c r="F19" s="20">
        <v>350.43754773588387</v>
      </c>
      <c r="G19" s="117">
        <v>425</v>
      </c>
      <c r="H19" s="20">
        <v>520.65639446075954</v>
      </c>
      <c r="I19" s="20">
        <v>593.15623903607479</v>
      </c>
      <c r="J19" s="20">
        <v>609.53574299358957</v>
      </c>
      <c r="K19" s="20">
        <v>620.16962889863305</v>
      </c>
      <c r="L19" s="118">
        <v>627</v>
      </c>
      <c r="M19" s="118">
        <v>651</v>
      </c>
      <c r="N19" s="118">
        <v>691</v>
      </c>
      <c r="O19" s="118">
        <v>736</v>
      </c>
      <c r="P19" s="118">
        <v>865</v>
      </c>
      <c r="Q19" s="118">
        <v>909</v>
      </c>
      <c r="R19" s="118">
        <v>923</v>
      </c>
      <c r="S19" s="118">
        <v>929</v>
      </c>
      <c r="T19" s="21">
        <v>776</v>
      </c>
      <c r="U19" s="134">
        <v>1080</v>
      </c>
      <c r="V19" s="134">
        <v>1066</v>
      </c>
      <c r="W19" s="134">
        <v>1079</v>
      </c>
      <c r="X19" s="134">
        <v>667</v>
      </c>
      <c r="Y19" s="134">
        <v>688</v>
      </c>
      <c r="Z19" s="139">
        <v>711</v>
      </c>
      <c r="AA19" s="141"/>
    </row>
    <row r="20" spans="1:27" s="63" customFormat="1" ht="9.75" x14ac:dyDescent="0.2">
      <c r="A20" s="9" t="s">
        <v>10</v>
      </c>
      <c r="B20" s="20">
        <v>394.34811503141617</v>
      </c>
      <c r="C20" s="20">
        <v>427.7222331462799</v>
      </c>
      <c r="D20" s="20">
        <v>516.37683350975351</v>
      </c>
      <c r="E20" s="20">
        <v>619.3161995405851</v>
      </c>
      <c r="F20" s="20">
        <v>853.2326735265176</v>
      </c>
      <c r="G20" s="117">
        <v>783</v>
      </c>
      <c r="H20" s="20">
        <v>951.38362196909713</v>
      </c>
      <c r="I20" s="20">
        <v>1135.9470360983219</v>
      </c>
      <c r="J20" s="20">
        <v>1137.8014209380176</v>
      </c>
      <c r="K20" s="20">
        <v>1208.9637827235185</v>
      </c>
      <c r="L20" s="118">
        <v>1124</v>
      </c>
      <c r="M20" s="118">
        <v>1149</v>
      </c>
      <c r="N20" s="118">
        <v>905</v>
      </c>
      <c r="O20" s="118">
        <v>994</v>
      </c>
      <c r="P20" s="118">
        <v>1310</v>
      </c>
      <c r="Q20" s="118">
        <v>1244</v>
      </c>
      <c r="R20" s="118">
        <v>1131</v>
      </c>
      <c r="S20" s="118">
        <v>1131</v>
      </c>
      <c r="T20" s="21">
        <v>1086</v>
      </c>
      <c r="U20" s="134">
        <v>1037</v>
      </c>
      <c r="V20" s="134">
        <v>1076</v>
      </c>
      <c r="W20" s="134">
        <v>1085</v>
      </c>
      <c r="X20" s="134">
        <v>1645</v>
      </c>
      <c r="Y20" s="134">
        <v>1448</v>
      </c>
      <c r="Z20" s="139">
        <v>1309</v>
      </c>
      <c r="AA20" s="141"/>
    </row>
    <row r="21" spans="1:27" s="63" customFormat="1" ht="9.75" x14ac:dyDescent="0.2">
      <c r="A21" s="9" t="s">
        <v>11</v>
      </c>
      <c r="B21" s="20">
        <v>278.36456558773426</v>
      </c>
      <c r="C21" s="20">
        <v>282.3070748767343</v>
      </c>
      <c r="D21" s="20">
        <v>270.36736585931163</v>
      </c>
      <c r="E21" s="20">
        <v>280.76117474040734</v>
      </c>
      <c r="F21" s="20">
        <v>287.24016416441168</v>
      </c>
      <c r="G21" s="117">
        <v>299</v>
      </c>
      <c r="H21" s="20">
        <v>309.27721449709389</v>
      </c>
      <c r="I21" s="20">
        <v>383.52191889624862</v>
      </c>
      <c r="J21" s="20">
        <v>406.46807916402236</v>
      </c>
      <c r="K21" s="20">
        <v>378.89447236180905</v>
      </c>
      <c r="L21" s="118">
        <v>316</v>
      </c>
      <c r="M21" s="118">
        <v>426</v>
      </c>
      <c r="N21" s="118">
        <v>462</v>
      </c>
      <c r="O21" s="118">
        <v>491</v>
      </c>
      <c r="P21" s="118">
        <v>612</v>
      </c>
      <c r="Q21" s="118">
        <v>630</v>
      </c>
      <c r="R21" s="118">
        <v>477</v>
      </c>
      <c r="S21" s="118">
        <v>357</v>
      </c>
      <c r="T21" s="21">
        <v>392</v>
      </c>
      <c r="U21" s="134">
        <v>412</v>
      </c>
      <c r="V21" s="134">
        <v>607</v>
      </c>
      <c r="W21" s="134">
        <v>431</v>
      </c>
      <c r="X21" s="134">
        <v>531</v>
      </c>
      <c r="Y21" s="134">
        <v>538</v>
      </c>
      <c r="Z21" s="139">
        <v>558</v>
      </c>
      <c r="AA21" s="141"/>
    </row>
    <row r="22" spans="1:27" s="63" customFormat="1" ht="9.75" x14ac:dyDescent="0.2">
      <c r="A22" s="9" t="s">
        <v>12</v>
      </c>
      <c r="B22" s="20">
        <v>201.54732770190259</v>
      </c>
      <c r="C22" s="20">
        <v>147.13177054164333</v>
      </c>
      <c r="D22" s="20">
        <v>179.98863913008199</v>
      </c>
      <c r="E22" s="20">
        <v>216.59267512495575</v>
      </c>
      <c r="F22" s="20">
        <v>224.58947682935434</v>
      </c>
      <c r="G22" s="117">
        <v>252</v>
      </c>
      <c r="H22" s="20">
        <v>317.76353870116901</v>
      </c>
      <c r="I22" s="20">
        <v>387.63210775595309</v>
      </c>
      <c r="J22" s="20">
        <v>429.4176263597015</v>
      </c>
      <c r="K22" s="20">
        <v>437.65103811203971</v>
      </c>
      <c r="L22" s="118">
        <v>403</v>
      </c>
      <c r="M22" s="118">
        <v>415</v>
      </c>
      <c r="N22" s="118">
        <v>446</v>
      </c>
      <c r="O22" s="118">
        <v>482</v>
      </c>
      <c r="P22" s="118">
        <v>528</v>
      </c>
      <c r="Q22" s="118">
        <v>586</v>
      </c>
      <c r="R22" s="118">
        <v>624</v>
      </c>
      <c r="S22" s="118">
        <v>629</v>
      </c>
      <c r="T22" s="21">
        <v>690</v>
      </c>
      <c r="U22" s="134">
        <v>712</v>
      </c>
      <c r="V22" s="134">
        <v>580</v>
      </c>
      <c r="W22" s="134">
        <v>685</v>
      </c>
      <c r="X22" s="134">
        <v>736</v>
      </c>
      <c r="Y22" s="134">
        <v>726</v>
      </c>
      <c r="Z22" s="139">
        <v>559</v>
      </c>
      <c r="AA22" s="141"/>
    </row>
    <row r="23" spans="1:27" s="63" customFormat="1" ht="9.75" x14ac:dyDescent="0.2">
      <c r="A23" s="9" t="s">
        <v>13</v>
      </c>
      <c r="B23" s="20">
        <v>155.48221488815548</v>
      </c>
      <c r="C23" s="20">
        <v>167.98732171156891</v>
      </c>
      <c r="D23" s="20">
        <v>185.47316518111134</v>
      </c>
      <c r="E23" s="20">
        <v>249.39928345667406</v>
      </c>
      <c r="F23" s="20">
        <v>254.51016930333157</v>
      </c>
      <c r="G23" s="117">
        <v>262</v>
      </c>
      <c r="H23" s="20">
        <v>290.8959929370609</v>
      </c>
      <c r="I23" s="20">
        <v>296.31193763141874</v>
      </c>
      <c r="J23" s="20">
        <v>343.23052671804339</v>
      </c>
      <c r="K23" s="20">
        <v>346.78717780241055</v>
      </c>
      <c r="L23" s="118">
        <v>352</v>
      </c>
      <c r="M23" s="118">
        <v>378</v>
      </c>
      <c r="N23" s="118">
        <v>268</v>
      </c>
      <c r="O23" s="118">
        <v>425</v>
      </c>
      <c r="P23" s="118">
        <v>468</v>
      </c>
      <c r="Q23" s="118">
        <v>539</v>
      </c>
      <c r="R23" s="118">
        <v>667</v>
      </c>
      <c r="S23" s="118">
        <v>517</v>
      </c>
      <c r="T23" s="21">
        <v>387</v>
      </c>
      <c r="U23" s="134">
        <v>463</v>
      </c>
      <c r="V23" s="134">
        <v>489</v>
      </c>
      <c r="W23" s="134">
        <v>541</v>
      </c>
      <c r="X23" s="134">
        <v>602</v>
      </c>
      <c r="Y23" s="134">
        <v>612</v>
      </c>
      <c r="Z23" s="139">
        <v>575</v>
      </c>
      <c r="AA23" s="141"/>
    </row>
    <row r="24" spans="1:27" s="63" customFormat="1" ht="9.75" x14ac:dyDescent="0.2">
      <c r="A24" s="9" t="s">
        <v>14</v>
      </c>
      <c r="B24" s="20">
        <v>197.25108402192586</v>
      </c>
      <c r="C24" s="20">
        <v>183.38180307436642</v>
      </c>
      <c r="D24" s="20">
        <v>209.66379455989187</v>
      </c>
      <c r="E24" s="20">
        <v>221.48138255065732</v>
      </c>
      <c r="F24" s="20">
        <v>269.03828541926651</v>
      </c>
      <c r="G24" s="117">
        <v>306</v>
      </c>
      <c r="H24" s="20">
        <v>371.56310746463134</v>
      </c>
      <c r="I24" s="20">
        <v>447.25717332040085</v>
      </c>
      <c r="J24" s="20">
        <v>503.90064417277205</v>
      </c>
      <c r="K24" s="20">
        <v>506.64564703324186</v>
      </c>
      <c r="L24" s="118">
        <v>520</v>
      </c>
      <c r="M24" s="118">
        <v>556</v>
      </c>
      <c r="N24" s="118">
        <v>589</v>
      </c>
      <c r="O24" s="118">
        <v>657</v>
      </c>
      <c r="P24" s="118">
        <v>723</v>
      </c>
      <c r="Q24" s="118">
        <v>782</v>
      </c>
      <c r="R24" s="118">
        <v>797</v>
      </c>
      <c r="S24" s="118">
        <v>810</v>
      </c>
      <c r="T24" s="21">
        <v>839</v>
      </c>
      <c r="U24" s="134">
        <v>910</v>
      </c>
      <c r="V24" s="134">
        <v>703</v>
      </c>
      <c r="W24" s="134">
        <v>776</v>
      </c>
      <c r="X24" s="134">
        <v>414</v>
      </c>
      <c r="Y24" s="134">
        <v>500</v>
      </c>
      <c r="Z24" s="139">
        <v>439</v>
      </c>
      <c r="AA24" s="141"/>
    </row>
    <row r="25" spans="1:27" s="63" customFormat="1" ht="9.75" x14ac:dyDescent="0.2">
      <c r="A25" s="9" t="s">
        <v>15</v>
      </c>
      <c r="B25" s="20">
        <v>142.12965985506298</v>
      </c>
      <c r="C25" s="20">
        <v>172.16871471272003</v>
      </c>
      <c r="D25" s="20">
        <v>175.17754480892796</v>
      </c>
      <c r="E25" s="20">
        <v>200.79687182500675</v>
      </c>
      <c r="F25" s="20">
        <v>223.16066040002275</v>
      </c>
      <c r="G25" s="117">
        <v>205</v>
      </c>
      <c r="H25" s="20">
        <v>251.80180788438861</v>
      </c>
      <c r="I25" s="20">
        <v>300.59609490709664</v>
      </c>
      <c r="J25" s="20">
        <v>251.45111111272001</v>
      </c>
      <c r="K25" s="20">
        <v>328.66987941960286</v>
      </c>
      <c r="L25" s="118">
        <v>333</v>
      </c>
      <c r="M25" s="118">
        <v>313</v>
      </c>
      <c r="N25" s="118">
        <v>307</v>
      </c>
      <c r="O25" s="118">
        <v>380</v>
      </c>
      <c r="P25" s="118">
        <v>408</v>
      </c>
      <c r="Q25" s="118">
        <v>425</v>
      </c>
      <c r="R25" s="118">
        <v>382</v>
      </c>
      <c r="S25" s="118">
        <v>454</v>
      </c>
      <c r="T25" s="21">
        <v>334</v>
      </c>
      <c r="U25" s="134">
        <v>507</v>
      </c>
      <c r="V25" s="134">
        <v>528</v>
      </c>
      <c r="W25" s="134">
        <v>484</v>
      </c>
      <c r="X25" s="134">
        <v>637</v>
      </c>
      <c r="Y25" s="134">
        <v>692</v>
      </c>
      <c r="Z25" s="139">
        <v>723</v>
      </c>
      <c r="AA25" s="141"/>
    </row>
    <row r="26" spans="1:27" s="63" customFormat="1" ht="9.75" x14ac:dyDescent="0.2">
      <c r="A26" s="9" t="s">
        <v>16</v>
      </c>
      <c r="B26" s="20">
        <v>145.01876985272884</v>
      </c>
      <c r="C26" s="20">
        <v>74.994141082727907</v>
      </c>
      <c r="D26" s="20">
        <v>114.33497829835305</v>
      </c>
      <c r="E26" s="20">
        <v>134.49785659105783</v>
      </c>
      <c r="F26" s="20">
        <v>131.60621761658032</v>
      </c>
      <c r="G26" s="117">
        <v>122</v>
      </c>
      <c r="H26" s="20">
        <v>156.00255276904531</v>
      </c>
      <c r="I26" s="20">
        <v>202.12691211306057</v>
      </c>
      <c r="J26" s="20">
        <v>263.62827338966167</v>
      </c>
      <c r="K26" s="20">
        <v>251.38490926456547</v>
      </c>
      <c r="L26" s="118">
        <v>253</v>
      </c>
      <c r="M26" s="118">
        <v>169</v>
      </c>
      <c r="N26" s="118">
        <v>201</v>
      </c>
      <c r="O26" s="118">
        <v>326</v>
      </c>
      <c r="P26" s="118">
        <v>377</v>
      </c>
      <c r="Q26" s="118">
        <v>502</v>
      </c>
      <c r="R26" s="118">
        <v>406</v>
      </c>
      <c r="S26" s="118">
        <v>454</v>
      </c>
      <c r="T26" s="21">
        <v>480</v>
      </c>
      <c r="U26" s="134">
        <v>427</v>
      </c>
      <c r="V26" s="134">
        <v>449</v>
      </c>
      <c r="W26" s="134">
        <v>557</v>
      </c>
      <c r="X26" s="134">
        <v>614</v>
      </c>
      <c r="Y26" s="134">
        <v>748</v>
      </c>
      <c r="Z26" s="139">
        <v>626</v>
      </c>
      <c r="AA26" s="141"/>
    </row>
    <row r="27" spans="1:27" s="63" customFormat="1" ht="9.75" x14ac:dyDescent="0.2">
      <c r="A27" s="9" t="s">
        <v>17</v>
      </c>
      <c r="B27" s="20">
        <v>93.506679048503457</v>
      </c>
      <c r="C27" s="20">
        <v>117.30755356756367</v>
      </c>
      <c r="D27" s="20">
        <v>127.38807058480384</v>
      </c>
      <c r="E27" s="20">
        <v>158.44049703698568</v>
      </c>
      <c r="F27" s="20">
        <v>162.50419335533431</v>
      </c>
      <c r="G27" s="117">
        <v>169</v>
      </c>
      <c r="H27" s="20">
        <v>188.99424290927126</v>
      </c>
      <c r="I27" s="20">
        <v>324.24300867888138</v>
      </c>
      <c r="J27" s="20">
        <v>307.83454029188829</v>
      </c>
      <c r="K27" s="20">
        <v>293.35089489948211</v>
      </c>
      <c r="L27" s="118">
        <v>229</v>
      </c>
      <c r="M27" s="118">
        <v>324</v>
      </c>
      <c r="N27" s="118">
        <v>364</v>
      </c>
      <c r="O27" s="118">
        <v>384</v>
      </c>
      <c r="P27" s="118">
        <v>549</v>
      </c>
      <c r="Q27" s="118">
        <v>567</v>
      </c>
      <c r="R27" s="118">
        <v>632</v>
      </c>
      <c r="S27" s="118">
        <v>600</v>
      </c>
      <c r="T27" s="21">
        <v>615</v>
      </c>
      <c r="U27" s="134">
        <v>627</v>
      </c>
      <c r="V27" s="134">
        <v>607</v>
      </c>
      <c r="W27" s="134">
        <v>626</v>
      </c>
      <c r="X27" s="134">
        <v>664</v>
      </c>
      <c r="Y27" s="134">
        <v>801</v>
      </c>
      <c r="Z27" s="139">
        <v>806</v>
      </c>
      <c r="AA27" s="141"/>
    </row>
    <row r="28" spans="1:27" s="63" customFormat="1" ht="9.75" x14ac:dyDescent="0.2">
      <c r="A28" s="9" t="s">
        <v>18</v>
      </c>
      <c r="B28" s="20">
        <v>333.44307434454691</v>
      </c>
      <c r="C28" s="20">
        <v>362.10398249624711</v>
      </c>
      <c r="D28" s="20">
        <v>413.82014639247126</v>
      </c>
      <c r="E28" s="20">
        <v>424.70853504519323</v>
      </c>
      <c r="F28" s="20">
        <v>430.68162096800364</v>
      </c>
      <c r="G28" s="117">
        <v>429</v>
      </c>
      <c r="H28" s="20">
        <v>434.21837376829359</v>
      </c>
      <c r="I28" s="20">
        <v>433.12144681918414</v>
      </c>
      <c r="J28" s="20">
        <v>290.49581542713918</v>
      </c>
      <c r="K28" s="20">
        <v>238.57437449125902</v>
      </c>
      <c r="L28" s="118">
        <v>154</v>
      </c>
      <c r="M28" s="118">
        <v>156</v>
      </c>
      <c r="N28" s="118">
        <v>259</v>
      </c>
      <c r="O28" s="118">
        <v>263</v>
      </c>
      <c r="P28" s="118">
        <v>276</v>
      </c>
      <c r="Q28" s="118">
        <v>319</v>
      </c>
      <c r="R28" s="118">
        <v>272</v>
      </c>
      <c r="S28" s="118">
        <v>272</v>
      </c>
      <c r="T28" s="21">
        <v>278</v>
      </c>
      <c r="U28" s="134">
        <v>402</v>
      </c>
      <c r="V28" s="134">
        <v>384</v>
      </c>
      <c r="W28" s="134">
        <v>601</v>
      </c>
      <c r="X28" s="134">
        <v>520</v>
      </c>
      <c r="Y28" s="134">
        <v>559</v>
      </c>
      <c r="Z28" s="139">
        <v>496</v>
      </c>
      <c r="AA28" s="141"/>
    </row>
    <row r="29" spans="1:27" s="63" customFormat="1" ht="18" x14ac:dyDescent="0.15">
      <c r="A29" s="8" t="s">
        <v>129</v>
      </c>
      <c r="B29" s="26">
        <v>171.82986003982833</v>
      </c>
      <c r="C29" s="26">
        <v>172.33426948407953</v>
      </c>
      <c r="D29" s="26">
        <v>186.31341536528964</v>
      </c>
      <c r="E29" s="26">
        <v>234.08427580518793</v>
      </c>
      <c r="F29" s="26">
        <v>268.70146813425367</v>
      </c>
      <c r="G29" s="121">
        <v>289</v>
      </c>
      <c r="H29" s="26">
        <v>340.71944707720604</v>
      </c>
      <c r="I29" s="26">
        <v>414.64011524049715</v>
      </c>
      <c r="J29" s="26">
        <v>481.80824958150384</v>
      </c>
      <c r="K29" s="26">
        <v>420.3392461053952</v>
      </c>
      <c r="L29" s="120">
        <v>408</v>
      </c>
      <c r="M29" s="120">
        <v>426</v>
      </c>
      <c r="N29" s="120">
        <v>426</v>
      </c>
      <c r="O29" s="120">
        <v>464</v>
      </c>
      <c r="P29" s="120">
        <v>606</v>
      </c>
      <c r="Q29" s="120">
        <v>653</v>
      </c>
      <c r="R29" s="120">
        <v>639</v>
      </c>
      <c r="S29" s="120">
        <v>645</v>
      </c>
      <c r="T29" s="22">
        <v>679</v>
      </c>
      <c r="U29" s="133">
        <v>676</v>
      </c>
      <c r="V29" s="133">
        <v>657</v>
      </c>
      <c r="W29" s="133">
        <v>745</v>
      </c>
      <c r="X29" s="133">
        <v>810</v>
      </c>
      <c r="Y29" s="133">
        <v>826</v>
      </c>
      <c r="Z29" s="105">
        <v>754</v>
      </c>
      <c r="AA29" s="141"/>
    </row>
    <row r="30" spans="1:27" s="63" customFormat="1" ht="9.75" x14ac:dyDescent="0.2">
      <c r="A30" s="9" t="s">
        <v>19</v>
      </c>
      <c r="B30" s="20">
        <v>85.370850976642529</v>
      </c>
      <c r="C30" s="20">
        <v>108.10810810810811</v>
      </c>
      <c r="D30" s="20">
        <v>96.185968819599111</v>
      </c>
      <c r="E30" s="20">
        <v>117.90756385484393</v>
      </c>
      <c r="F30" s="20">
        <v>136.30670588776027</v>
      </c>
      <c r="G30" s="117">
        <v>128</v>
      </c>
      <c r="H30" s="20">
        <v>163.45108472761382</v>
      </c>
      <c r="I30" s="20">
        <v>198.42408391194442</v>
      </c>
      <c r="J30" s="20">
        <v>223.8857116748022</v>
      </c>
      <c r="K30" s="20">
        <v>252.90137921080031</v>
      </c>
      <c r="L30" s="118">
        <v>221</v>
      </c>
      <c r="M30" s="118">
        <v>278</v>
      </c>
      <c r="N30" s="118">
        <v>310</v>
      </c>
      <c r="O30" s="118">
        <v>352</v>
      </c>
      <c r="P30" s="118">
        <v>394</v>
      </c>
      <c r="Q30" s="118">
        <v>450</v>
      </c>
      <c r="R30" s="118">
        <v>496</v>
      </c>
      <c r="S30" s="118">
        <v>384</v>
      </c>
      <c r="T30" s="21">
        <v>479</v>
      </c>
      <c r="U30" s="134">
        <v>499</v>
      </c>
      <c r="V30" s="134">
        <v>539</v>
      </c>
      <c r="W30" s="134">
        <v>604</v>
      </c>
      <c r="X30" s="134">
        <v>585</v>
      </c>
      <c r="Y30" s="134">
        <v>594</v>
      </c>
      <c r="Z30" s="139">
        <v>640</v>
      </c>
      <c r="AA30" s="141"/>
    </row>
    <row r="31" spans="1:27" s="63" customFormat="1" ht="9.75" x14ac:dyDescent="0.2">
      <c r="A31" s="9" t="s">
        <v>20</v>
      </c>
      <c r="B31" s="20">
        <v>250.09520182787503</v>
      </c>
      <c r="C31" s="20">
        <v>111.84020071407895</v>
      </c>
      <c r="D31" s="20">
        <v>145.4829878764177</v>
      </c>
      <c r="E31" s="20">
        <v>158.24229027687937</v>
      </c>
      <c r="F31" s="20">
        <v>141.72264122585545</v>
      </c>
      <c r="G31" s="117">
        <v>164</v>
      </c>
      <c r="H31" s="20">
        <v>185.4523191499176</v>
      </c>
      <c r="I31" s="20">
        <v>209.18409690139407</v>
      </c>
      <c r="J31" s="20">
        <v>198.47209867821678</v>
      </c>
      <c r="K31" s="20">
        <v>130.94927868863181</v>
      </c>
      <c r="L31" s="118">
        <v>89</v>
      </c>
      <c r="M31" s="118">
        <v>130</v>
      </c>
      <c r="N31" s="118">
        <v>100</v>
      </c>
      <c r="O31" s="118">
        <v>167</v>
      </c>
      <c r="P31" s="118">
        <v>184</v>
      </c>
      <c r="Q31" s="118">
        <v>252</v>
      </c>
      <c r="R31" s="118">
        <v>293</v>
      </c>
      <c r="S31" s="118">
        <v>277</v>
      </c>
      <c r="T31" s="21">
        <v>369</v>
      </c>
      <c r="U31" s="134">
        <v>307</v>
      </c>
      <c r="V31" s="134">
        <v>270</v>
      </c>
      <c r="W31" s="134">
        <v>242</v>
      </c>
      <c r="X31" s="134">
        <v>278</v>
      </c>
      <c r="Y31" s="134">
        <v>300</v>
      </c>
      <c r="Z31" s="139">
        <v>316</v>
      </c>
      <c r="AA31" s="141"/>
    </row>
    <row r="32" spans="1:27" s="63" customFormat="1" ht="9.75" x14ac:dyDescent="0.2">
      <c r="A32" s="9" t="s">
        <v>21</v>
      </c>
      <c r="B32" s="20">
        <v>56.389070087700219</v>
      </c>
      <c r="C32" s="20">
        <v>73.39314605088984</v>
      </c>
      <c r="D32" s="20">
        <v>79.537830786433105</v>
      </c>
      <c r="E32" s="20">
        <v>71.067032600207526</v>
      </c>
      <c r="F32" s="20">
        <v>80.313052630290713</v>
      </c>
      <c r="G32" s="117">
        <v>91</v>
      </c>
      <c r="H32" s="20">
        <v>151.61836120327845</v>
      </c>
      <c r="I32" s="20">
        <v>205.71908567534263</v>
      </c>
      <c r="J32" s="20">
        <v>277.06673569367348</v>
      </c>
      <c r="K32" s="20">
        <v>196.07858926487842</v>
      </c>
      <c r="L32" s="118">
        <v>234</v>
      </c>
      <c r="M32" s="118">
        <v>233</v>
      </c>
      <c r="N32" s="118">
        <v>254</v>
      </c>
      <c r="O32" s="118">
        <v>279</v>
      </c>
      <c r="P32" s="118">
        <v>308</v>
      </c>
      <c r="Q32" s="118">
        <v>346</v>
      </c>
      <c r="R32" s="118">
        <v>327</v>
      </c>
      <c r="S32" s="118">
        <v>384</v>
      </c>
      <c r="T32" s="21">
        <v>298</v>
      </c>
      <c r="U32" s="134">
        <v>312</v>
      </c>
      <c r="V32" s="134">
        <v>357</v>
      </c>
      <c r="W32" s="134">
        <v>429</v>
      </c>
      <c r="X32" s="134">
        <v>457</v>
      </c>
      <c r="Y32" s="134">
        <v>461</v>
      </c>
      <c r="Z32" s="139">
        <v>482</v>
      </c>
      <c r="AA32" s="141"/>
    </row>
    <row r="33" spans="1:27" s="63" customFormat="1" ht="9.75" x14ac:dyDescent="0.2">
      <c r="A33" s="4" t="s">
        <v>63</v>
      </c>
      <c r="B33" s="118"/>
      <c r="C33" s="118"/>
      <c r="D33" s="118"/>
      <c r="E33" s="118"/>
      <c r="F33" s="118"/>
      <c r="G33" s="117"/>
      <c r="H33" s="117"/>
      <c r="I33" s="117"/>
      <c r="J33" s="117"/>
      <c r="K33" s="117"/>
      <c r="L33" s="118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134"/>
      <c r="Y33" s="60"/>
      <c r="Z33" s="165"/>
      <c r="AA33" s="141"/>
    </row>
    <row r="34" spans="1:27" s="63" customFormat="1" ht="15" customHeight="1" x14ac:dyDescent="0.2">
      <c r="A34" s="14" t="s">
        <v>23</v>
      </c>
      <c r="B34" s="20">
        <v>296.8369829683698</v>
      </c>
      <c r="C34" s="20">
        <v>290.95354523227383</v>
      </c>
      <c r="D34" s="20">
        <v>116.22276029055691</v>
      </c>
      <c r="E34" s="20">
        <v>227.3271117492223</v>
      </c>
      <c r="F34" s="20">
        <v>198.11906239556978</v>
      </c>
      <c r="G34" s="117">
        <v>778</v>
      </c>
      <c r="H34" s="20">
        <v>835.64129500525257</v>
      </c>
      <c r="I34" s="20">
        <v>876.37605368101833</v>
      </c>
      <c r="J34" s="20">
        <v>1525.8243988633919</v>
      </c>
      <c r="K34" s="20">
        <v>1014.623922259801</v>
      </c>
      <c r="L34" s="118">
        <v>1005</v>
      </c>
      <c r="M34" s="118">
        <v>722</v>
      </c>
      <c r="N34" s="118">
        <v>794</v>
      </c>
      <c r="O34" s="118">
        <v>821</v>
      </c>
      <c r="P34" s="118">
        <v>826</v>
      </c>
      <c r="Q34" s="118">
        <v>837</v>
      </c>
      <c r="R34" s="118">
        <v>554</v>
      </c>
      <c r="S34" s="118">
        <v>662</v>
      </c>
      <c r="T34" s="118">
        <v>442</v>
      </c>
      <c r="U34" s="134">
        <v>243</v>
      </c>
      <c r="V34" s="134">
        <v>531</v>
      </c>
      <c r="W34" s="134">
        <v>429</v>
      </c>
      <c r="X34" s="134">
        <v>863</v>
      </c>
      <c r="Y34" s="134">
        <v>519</v>
      </c>
      <c r="Z34" s="139">
        <v>600</v>
      </c>
      <c r="AA34" s="141"/>
    </row>
    <row r="35" spans="1:27" s="63" customFormat="1" ht="19.5" x14ac:dyDescent="0.2">
      <c r="A35" s="14" t="s">
        <v>93</v>
      </c>
      <c r="B35" s="20">
        <v>49.006424622740163</v>
      </c>
      <c r="C35" s="20">
        <v>66.646447797406935</v>
      </c>
      <c r="D35" s="20">
        <v>78.372558067989544</v>
      </c>
      <c r="E35" s="20">
        <v>65.974583408718004</v>
      </c>
      <c r="F35" s="20">
        <v>76.413089001098385</v>
      </c>
      <c r="G35" s="117">
        <v>68</v>
      </c>
      <c r="H35" s="20">
        <v>128.37074640042584</v>
      </c>
      <c r="I35" s="20">
        <v>182.69922740111377</v>
      </c>
      <c r="J35" s="20">
        <v>233.83933774451256</v>
      </c>
      <c r="K35" s="20">
        <v>167.4357822518071</v>
      </c>
      <c r="L35" s="118">
        <v>207</v>
      </c>
      <c r="M35" s="118">
        <v>216</v>
      </c>
      <c r="N35" s="118">
        <v>234</v>
      </c>
      <c r="O35" s="118">
        <v>258</v>
      </c>
      <c r="P35" s="118">
        <v>289</v>
      </c>
      <c r="Q35" s="118">
        <v>327</v>
      </c>
      <c r="R35" s="118">
        <v>318</v>
      </c>
      <c r="S35" s="118">
        <v>373</v>
      </c>
      <c r="T35" s="21">
        <v>292</v>
      </c>
      <c r="U35" s="134">
        <v>315</v>
      </c>
      <c r="V35" s="134">
        <v>350</v>
      </c>
      <c r="W35" s="134">
        <v>429</v>
      </c>
      <c r="X35" s="134">
        <v>440</v>
      </c>
      <c r="Y35" s="134">
        <v>459</v>
      </c>
      <c r="Z35" s="139">
        <v>476</v>
      </c>
      <c r="AA35" s="141"/>
    </row>
    <row r="36" spans="1:27" s="63" customFormat="1" ht="9.75" x14ac:dyDescent="0.2">
      <c r="A36" s="9" t="s">
        <v>24</v>
      </c>
      <c r="B36" s="20">
        <v>157.91505791505793</v>
      </c>
      <c r="C36" s="20">
        <v>186.37602179836512</v>
      </c>
      <c r="D36" s="20">
        <v>187.3968727901312</v>
      </c>
      <c r="E36" s="20">
        <v>195.81634804889225</v>
      </c>
      <c r="F36" s="20">
        <v>239.91762375224448</v>
      </c>
      <c r="G36" s="117">
        <v>236</v>
      </c>
      <c r="H36" s="20">
        <v>271.22143112584934</v>
      </c>
      <c r="I36" s="20">
        <v>399.66404340284453</v>
      </c>
      <c r="J36" s="20">
        <v>448.16776298219736</v>
      </c>
      <c r="K36" s="20">
        <v>404.45853825266317</v>
      </c>
      <c r="L36" s="118">
        <v>340</v>
      </c>
      <c r="M36" s="118">
        <v>362</v>
      </c>
      <c r="N36" s="118">
        <v>325</v>
      </c>
      <c r="O36" s="118">
        <v>482</v>
      </c>
      <c r="P36" s="118">
        <v>650</v>
      </c>
      <c r="Q36" s="118">
        <v>726</v>
      </c>
      <c r="R36" s="118">
        <v>653</v>
      </c>
      <c r="S36" s="118">
        <v>460</v>
      </c>
      <c r="T36" s="21">
        <v>457</v>
      </c>
      <c r="U36" s="134">
        <v>503</v>
      </c>
      <c r="V36" s="134">
        <v>433</v>
      </c>
      <c r="W36" s="134">
        <v>558</v>
      </c>
      <c r="X36" s="134">
        <v>572</v>
      </c>
      <c r="Y36" s="134">
        <v>663</v>
      </c>
      <c r="Z36" s="139">
        <v>610</v>
      </c>
      <c r="AA36" s="141"/>
    </row>
    <row r="37" spans="1:27" s="63" customFormat="1" ht="9.75" x14ac:dyDescent="0.2">
      <c r="A37" s="9" t="s">
        <v>25</v>
      </c>
      <c r="B37" s="20">
        <v>179.31322408934349</v>
      </c>
      <c r="C37" s="20">
        <v>183.69053842132774</v>
      </c>
      <c r="D37" s="20">
        <v>207.37327188940094</v>
      </c>
      <c r="E37" s="20">
        <v>244.27175890387915</v>
      </c>
      <c r="F37" s="20">
        <v>259.2611797124423</v>
      </c>
      <c r="G37" s="117">
        <v>283</v>
      </c>
      <c r="H37" s="20">
        <v>536.42517200241173</v>
      </c>
      <c r="I37" s="20">
        <v>805.82875309954704</v>
      </c>
      <c r="J37" s="20">
        <v>855.38300452479018</v>
      </c>
      <c r="K37" s="20">
        <v>648.23495157435343</v>
      </c>
      <c r="L37" s="118">
        <v>558</v>
      </c>
      <c r="M37" s="118">
        <v>577</v>
      </c>
      <c r="N37" s="118">
        <v>612</v>
      </c>
      <c r="O37" s="118">
        <v>666</v>
      </c>
      <c r="P37" s="118">
        <v>1154</v>
      </c>
      <c r="Q37" s="118">
        <v>1239</v>
      </c>
      <c r="R37" s="118">
        <v>1230</v>
      </c>
      <c r="S37" s="118">
        <v>909</v>
      </c>
      <c r="T37" s="21">
        <v>916</v>
      </c>
      <c r="U37" s="134">
        <v>963</v>
      </c>
      <c r="V37" s="134">
        <v>1143</v>
      </c>
      <c r="W37" s="134">
        <v>1238</v>
      </c>
      <c r="X37" s="134">
        <v>1278</v>
      </c>
      <c r="Y37" s="134">
        <v>1178</v>
      </c>
      <c r="Z37" s="139">
        <v>1181</v>
      </c>
      <c r="AA37" s="141"/>
    </row>
    <row r="38" spans="1:27" s="63" customFormat="1" ht="9.75" x14ac:dyDescent="0.2">
      <c r="A38" s="9" t="s">
        <v>26</v>
      </c>
      <c r="B38" s="20">
        <v>232.55123255123254</v>
      </c>
      <c r="C38" s="20">
        <v>247.36057262153292</v>
      </c>
      <c r="D38" s="20">
        <v>259.41673154081082</v>
      </c>
      <c r="E38" s="20">
        <v>265.95314746150058</v>
      </c>
      <c r="F38" s="20">
        <v>304.52507085513838</v>
      </c>
      <c r="G38" s="117">
        <v>317</v>
      </c>
      <c r="H38" s="20">
        <v>397.69132897851256</v>
      </c>
      <c r="I38" s="20">
        <v>498.86396145271073</v>
      </c>
      <c r="J38" s="20">
        <v>535.46007696943752</v>
      </c>
      <c r="K38" s="20">
        <v>605.61653961273919</v>
      </c>
      <c r="L38" s="118">
        <v>610</v>
      </c>
      <c r="M38" s="118">
        <v>622</v>
      </c>
      <c r="N38" s="118">
        <v>655</v>
      </c>
      <c r="O38" s="118">
        <v>765</v>
      </c>
      <c r="P38" s="118">
        <v>994</v>
      </c>
      <c r="Q38" s="118">
        <v>1280</v>
      </c>
      <c r="R38" s="118">
        <v>1186</v>
      </c>
      <c r="S38" s="118">
        <v>1414</v>
      </c>
      <c r="T38" s="21">
        <v>1395</v>
      </c>
      <c r="U38" s="134">
        <v>1516</v>
      </c>
      <c r="V38" s="134">
        <v>1357</v>
      </c>
      <c r="W38" s="134">
        <v>1700</v>
      </c>
      <c r="X38" s="134">
        <v>1970</v>
      </c>
      <c r="Y38" s="134">
        <v>2063</v>
      </c>
      <c r="Z38" s="139">
        <v>1985</v>
      </c>
      <c r="AA38" s="141"/>
    </row>
    <row r="39" spans="1:27" s="63" customFormat="1" ht="9.75" x14ac:dyDescent="0.2">
      <c r="A39" s="9" t="s">
        <v>27</v>
      </c>
      <c r="B39" s="20">
        <v>29.935622317596565</v>
      </c>
      <c r="C39" s="20">
        <v>8.5311167013015421</v>
      </c>
      <c r="D39" s="20">
        <v>5.0122521719759412</v>
      </c>
      <c r="E39" s="20">
        <v>15.088312003603045</v>
      </c>
      <c r="F39" s="20">
        <v>7.5140860212567713</v>
      </c>
      <c r="G39" s="117">
        <v>10</v>
      </c>
      <c r="H39" s="20">
        <v>16.472226263461835</v>
      </c>
      <c r="I39" s="20">
        <v>15.496138777074012</v>
      </c>
      <c r="J39" s="20">
        <v>11.599968902211028</v>
      </c>
      <c r="K39" s="20">
        <v>27.533485577312408</v>
      </c>
      <c r="L39" s="118">
        <v>35</v>
      </c>
      <c r="M39" s="118">
        <v>29</v>
      </c>
      <c r="N39" s="118">
        <v>31</v>
      </c>
      <c r="O39" s="118">
        <v>33</v>
      </c>
      <c r="P39" s="118">
        <v>34</v>
      </c>
      <c r="Q39" s="118">
        <v>45</v>
      </c>
      <c r="R39" s="118">
        <v>81</v>
      </c>
      <c r="S39" s="118">
        <v>98</v>
      </c>
      <c r="T39" s="21">
        <v>65</v>
      </c>
      <c r="U39" s="134">
        <v>64</v>
      </c>
      <c r="V39" s="134">
        <v>52</v>
      </c>
      <c r="W39" s="134">
        <v>76</v>
      </c>
      <c r="X39" s="134">
        <v>273</v>
      </c>
      <c r="Y39" s="134">
        <v>92</v>
      </c>
      <c r="Z39" s="139">
        <v>110</v>
      </c>
      <c r="AA39" s="141"/>
    </row>
    <row r="40" spans="1:27" s="63" customFormat="1" ht="9.75" x14ac:dyDescent="0.2">
      <c r="A40" s="9" t="s">
        <v>28</v>
      </c>
      <c r="B40" s="20">
        <v>124.58006718924973</v>
      </c>
      <c r="C40" s="20">
        <v>133.07823129251699</v>
      </c>
      <c r="D40" s="20">
        <v>139.98564249820529</v>
      </c>
      <c r="E40" s="20">
        <v>159.11523782928418</v>
      </c>
      <c r="F40" s="20">
        <v>218.34511493321466</v>
      </c>
      <c r="G40" s="117">
        <v>214</v>
      </c>
      <c r="H40" s="20">
        <v>246.52357920193469</v>
      </c>
      <c r="I40" s="20">
        <v>312.26570528530704</v>
      </c>
      <c r="J40" s="20">
        <v>398.4376926681299</v>
      </c>
      <c r="K40" s="20">
        <v>383.17098110135976</v>
      </c>
      <c r="L40" s="118">
        <v>366</v>
      </c>
      <c r="M40" s="118">
        <v>429</v>
      </c>
      <c r="N40" s="118">
        <v>500</v>
      </c>
      <c r="O40" s="118">
        <v>519</v>
      </c>
      <c r="P40" s="118">
        <v>572</v>
      </c>
      <c r="Q40" s="118">
        <v>584</v>
      </c>
      <c r="R40" s="118">
        <v>592</v>
      </c>
      <c r="S40" s="118">
        <v>382</v>
      </c>
      <c r="T40" s="21">
        <v>440</v>
      </c>
      <c r="U40" s="134">
        <v>482</v>
      </c>
      <c r="V40" s="134">
        <v>478</v>
      </c>
      <c r="W40" s="134">
        <v>526</v>
      </c>
      <c r="X40" s="134">
        <v>594</v>
      </c>
      <c r="Y40" s="134">
        <v>657</v>
      </c>
      <c r="Z40" s="139">
        <v>594</v>
      </c>
      <c r="AA40" s="141"/>
    </row>
    <row r="41" spans="1:27" s="63" customFormat="1" ht="9.75" x14ac:dyDescent="0.2">
      <c r="A41" s="9" t="s">
        <v>29</v>
      </c>
      <c r="B41" s="20">
        <v>103.87301587301587</v>
      </c>
      <c r="C41" s="20">
        <v>119.11821580507927</v>
      </c>
      <c r="D41" s="20">
        <v>131.4308155517738</v>
      </c>
      <c r="E41" s="20">
        <v>150.97669695946752</v>
      </c>
      <c r="F41" s="20">
        <v>178.76551877780554</v>
      </c>
      <c r="G41" s="117">
        <v>137</v>
      </c>
      <c r="H41" s="20">
        <v>175.64681414467699</v>
      </c>
      <c r="I41" s="20">
        <v>186.52873295421455</v>
      </c>
      <c r="J41" s="20">
        <v>217.85332456548048</v>
      </c>
      <c r="K41" s="20">
        <v>279.54538167126748</v>
      </c>
      <c r="L41" s="118">
        <v>221</v>
      </c>
      <c r="M41" s="118">
        <v>266</v>
      </c>
      <c r="N41" s="118">
        <v>324</v>
      </c>
      <c r="O41" s="118">
        <v>282</v>
      </c>
      <c r="P41" s="118">
        <v>460</v>
      </c>
      <c r="Q41" s="118">
        <v>546</v>
      </c>
      <c r="R41" s="118">
        <v>428</v>
      </c>
      <c r="S41" s="118">
        <v>321</v>
      </c>
      <c r="T41" s="21">
        <v>379</v>
      </c>
      <c r="U41" s="134">
        <v>491</v>
      </c>
      <c r="V41" s="134">
        <v>448</v>
      </c>
      <c r="W41" s="134">
        <v>523</v>
      </c>
      <c r="X41" s="134">
        <v>573</v>
      </c>
      <c r="Y41" s="134">
        <v>648</v>
      </c>
      <c r="Z41" s="139">
        <v>626</v>
      </c>
      <c r="AA41" s="141"/>
    </row>
    <row r="42" spans="1:27" s="63" customFormat="1" ht="9.75" x14ac:dyDescent="0.2">
      <c r="A42" s="9" t="s">
        <v>30</v>
      </c>
      <c r="B42" s="20">
        <v>228.59741138651557</v>
      </c>
      <c r="C42" s="20">
        <v>237.83392887527648</v>
      </c>
      <c r="D42" s="20">
        <v>259.75943840424628</v>
      </c>
      <c r="E42" s="20">
        <v>377.29199683382927</v>
      </c>
      <c r="F42" s="20">
        <v>434.7208458914601</v>
      </c>
      <c r="G42" s="117">
        <v>484</v>
      </c>
      <c r="H42" s="20">
        <v>502.2407076907075</v>
      </c>
      <c r="I42" s="20">
        <v>554.41237103431376</v>
      </c>
      <c r="J42" s="20">
        <v>671.63147516546633</v>
      </c>
      <c r="K42" s="20">
        <v>540.56119355379951</v>
      </c>
      <c r="L42" s="118">
        <v>546</v>
      </c>
      <c r="M42" s="118">
        <v>548</v>
      </c>
      <c r="N42" s="118">
        <v>513</v>
      </c>
      <c r="O42" s="118">
        <v>503</v>
      </c>
      <c r="P42" s="118">
        <v>623</v>
      </c>
      <c r="Q42" s="118">
        <v>571</v>
      </c>
      <c r="R42" s="118">
        <v>581</v>
      </c>
      <c r="S42" s="118">
        <v>649</v>
      </c>
      <c r="T42" s="21">
        <v>716</v>
      </c>
      <c r="U42" s="134">
        <v>624</v>
      </c>
      <c r="V42" s="134">
        <v>603</v>
      </c>
      <c r="W42" s="134">
        <v>619</v>
      </c>
      <c r="X42" s="134">
        <v>620</v>
      </c>
      <c r="Y42" s="134">
        <v>622</v>
      </c>
      <c r="Z42" s="139">
        <v>474</v>
      </c>
      <c r="AA42" s="141"/>
    </row>
    <row r="43" spans="1:27" s="63" customFormat="1" ht="18" x14ac:dyDescent="0.15">
      <c r="A43" s="8" t="s">
        <v>220</v>
      </c>
      <c r="B43" s="22">
        <v>237.0514532488564</v>
      </c>
      <c r="C43" s="22">
        <v>245.86391164944783</v>
      </c>
      <c r="D43" s="22">
        <v>270.50417343165515</v>
      </c>
      <c r="E43" s="22">
        <v>264.67934854278838</v>
      </c>
      <c r="F43" s="22">
        <v>299.48141394281726</v>
      </c>
      <c r="G43" s="121">
        <v>318</v>
      </c>
      <c r="H43" s="26">
        <v>398.05411514094567</v>
      </c>
      <c r="I43" s="26">
        <v>509.53955237749318</v>
      </c>
      <c r="J43" s="26">
        <v>526.80327688160662</v>
      </c>
      <c r="K43" s="26">
        <v>477.60387039362894</v>
      </c>
      <c r="L43" s="120">
        <v>491</v>
      </c>
      <c r="M43" s="120">
        <v>499</v>
      </c>
      <c r="N43" s="120">
        <v>570</v>
      </c>
      <c r="O43" s="120">
        <v>551</v>
      </c>
      <c r="P43" s="120">
        <v>619</v>
      </c>
      <c r="Q43" s="120">
        <v>567</v>
      </c>
      <c r="R43" s="120">
        <v>542</v>
      </c>
      <c r="S43" s="120">
        <v>579</v>
      </c>
      <c r="T43" s="22">
        <v>544</v>
      </c>
      <c r="U43" s="133">
        <v>593</v>
      </c>
      <c r="V43" s="133">
        <v>639</v>
      </c>
      <c r="W43" s="133">
        <v>717</v>
      </c>
      <c r="X43" s="133">
        <v>825</v>
      </c>
      <c r="Y43" s="133">
        <v>877</v>
      </c>
      <c r="Z43" s="105">
        <v>816</v>
      </c>
      <c r="AA43" s="141"/>
    </row>
    <row r="44" spans="1:27" s="63" customFormat="1" ht="9.75" x14ac:dyDescent="0.2">
      <c r="A44" s="9" t="s">
        <v>31</v>
      </c>
      <c r="B44" s="21">
        <v>151.27175368139223</v>
      </c>
      <c r="C44" s="21">
        <v>164.20581655480987</v>
      </c>
      <c r="D44" s="21">
        <v>264.38325498097151</v>
      </c>
      <c r="E44" s="21">
        <v>130.54068966754741</v>
      </c>
      <c r="F44" s="21">
        <v>89.174326801388972</v>
      </c>
      <c r="G44" s="117">
        <v>162</v>
      </c>
      <c r="H44" s="20">
        <v>95.725765010300179</v>
      </c>
      <c r="I44" s="20">
        <v>156.75912488705129</v>
      </c>
      <c r="J44" s="20">
        <v>184.20572679190226</v>
      </c>
      <c r="K44" s="20">
        <v>285.96128034215258</v>
      </c>
      <c r="L44" s="118">
        <v>307</v>
      </c>
      <c r="M44" s="118">
        <v>276</v>
      </c>
      <c r="N44" s="118">
        <v>218</v>
      </c>
      <c r="O44" s="118">
        <v>236</v>
      </c>
      <c r="P44" s="118">
        <v>593</v>
      </c>
      <c r="Q44" s="118">
        <v>641</v>
      </c>
      <c r="R44" s="118">
        <v>503</v>
      </c>
      <c r="S44" s="118">
        <v>518</v>
      </c>
      <c r="T44" s="21">
        <v>394</v>
      </c>
      <c r="U44" s="134">
        <v>533</v>
      </c>
      <c r="V44" s="134">
        <v>528</v>
      </c>
      <c r="W44" s="134">
        <v>621</v>
      </c>
      <c r="X44" s="134">
        <v>939</v>
      </c>
      <c r="Y44" s="134">
        <v>1130</v>
      </c>
      <c r="Z44" s="139">
        <v>1130</v>
      </c>
      <c r="AA44" s="141"/>
    </row>
    <row r="45" spans="1:27" s="63" customFormat="1" ht="9.75" x14ac:dyDescent="0.2">
      <c r="A45" s="9" t="s">
        <v>32</v>
      </c>
      <c r="B45" s="21">
        <v>119.55815464587393</v>
      </c>
      <c r="C45" s="21">
        <v>254.62962962962965</v>
      </c>
      <c r="D45" s="21">
        <v>217.17000339328132</v>
      </c>
      <c r="E45" s="21">
        <v>171.91250954593866</v>
      </c>
      <c r="F45" s="21">
        <v>176.98873148964375</v>
      </c>
      <c r="G45" s="117">
        <v>166</v>
      </c>
      <c r="H45" s="20">
        <v>214.14225456331008</v>
      </c>
      <c r="I45" s="20">
        <v>265.79277741479751</v>
      </c>
      <c r="J45" s="20">
        <v>203.80388086580561</v>
      </c>
      <c r="K45" s="20">
        <v>249.33183895163376</v>
      </c>
      <c r="L45" s="118">
        <v>302</v>
      </c>
      <c r="M45" s="118">
        <v>361</v>
      </c>
      <c r="N45" s="118">
        <v>299</v>
      </c>
      <c r="O45" s="118">
        <v>393</v>
      </c>
      <c r="P45" s="118">
        <v>446</v>
      </c>
      <c r="Q45" s="118">
        <v>452</v>
      </c>
      <c r="R45" s="118">
        <v>255</v>
      </c>
      <c r="S45" s="118">
        <v>349</v>
      </c>
      <c r="T45" s="21">
        <v>331</v>
      </c>
      <c r="U45" s="134">
        <v>374</v>
      </c>
      <c r="V45" s="134">
        <v>325</v>
      </c>
      <c r="W45" s="134">
        <v>456</v>
      </c>
      <c r="X45" s="134">
        <v>463</v>
      </c>
      <c r="Y45" s="134">
        <v>535</v>
      </c>
      <c r="Z45" s="139">
        <v>490</v>
      </c>
      <c r="AA45" s="141"/>
    </row>
    <row r="46" spans="1:27" s="63" customFormat="1" ht="9.75" x14ac:dyDescent="0.2">
      <c r="A46" s="9" t="s">
        <v>33</v>
      </c>
      <c r="B46" s="21"/>
      <c r="C46" s="21"/>
      <c r="D46" s="21"/>
      <c r="E46" s="21"/>
      <c r="F46" s="21"/>
      <c r="G46" s="117"/>
      <c r="H46" s="20"/>
      <c r="I46" s="20"/>
      <c r="J46" s="20"/>
      <c r="K46" s="20"/>
      <c r="L46" s="118"/>
      <c r="M46" s="118"/>
      <c r="N46" s="118"/>
      <c r="O46" s="118"/>
      <c r="P46" s="118">
        <v>337</v>
      </c>
      <c r="Q46" s="118">
        <v>133</v>
      </c>
      <c r="R46" s="118">
        <v>149</v>
      </c>
      <c r="S46" s="118">
        <v>433</v>
      </c>
      <c r="T46" s="21">
        <v>401</v>
      </c>
      <c r="U46" s="134">
        <v>413</v>
      </c>
      <c r="V46" s="134">
        <v>418</v>
      </c>
      <c r="W46" s="134">
        <v>384</v>
      </c>
      <c r="X46" s="134">
        <v>482</v>
      </c>
      <c r="Y46" s="134">
        <v>637</v>
      </c>
      <c r="Z46" s="139">
        <v>651</v>
      </c>
      <c r="AA46" s="141"/>
    </row>
    <row r="47" spans="1:27" s="63" customFormat="1" ht="9.75" x14ac:dyDescent="0.2">
      <c r="A47" s="9" t="s">
        <v>34</v>
      </c>
      <c r="B47" s="21">
        <v>271.10323196508926</v>
      </c>
      <c r="C47" s="21">
        <v>280.62039671096215</v>
      </c>
      <c r="D47" s="21">
        <v>320.93177517217163</v>
      </c>
      <c r="E47" s="21">
        <v>308.77122496839689</v>
      </c>
      <c r="F47" s="21">
        <v>353.65134854982625</v>
      </c>
      <c r="G47" s="117">
        <v>379</v>
      </c>
      <c r="H47" s="20">
        <v>526.72976336692648</v>
      </c>
      <c r="I47" s="20">
        <v>718.29456961471055</v>
      </c>
      <c r="J47" s="20">
        <v>759.77865773723499</v>
      </c>
      <c r="K47" s="20">
        <v>655.55028216888627</v>
      </c>
      <c r="L47" s="118">
        <v>690</v>
      </c>
      <c r="M47" s="118">
        <v>701</v>
      </c>
      <c r="N47" s="118">
        <v>821</v>
      </c>
      <c r="O47" s="118">
        <v>731</v>
      </c>
      <c r="P47" s="118">
        <v>869</v>
      </c>
      <c r="Q47" s="118">
        <v>838</v>
      </c>
      <c r="R47" s="118">
        <v>802</v>
      </c>
      <c r="S47" s="118">
        <v>833</v>
      </c>
      <c r="T47" s="21">
        <v>771</v>
      </c>
      <c r="U47" s="134">
        <v>785</v>
      </c>
      <c r="V47" s="134">
        <v>883</v>
      </c>
      <c r="W47" s="134">
        <v>1079</v>
      </c>
      <c r="X47" s="134">
        <v>1303</v>
      </c>
      <c r="Y47" s="134">
        <v>1311</v>
      </c>
      <c r="Z47" s="139">
        <v>1145</v>
      </c>
      <c r="AA47" s="141"/>
    </row>
    <row r="48" spans="1:27" s="63" customFormat="1" ht="9.75" x14ac:dyDescent="0.2">
      <c r="A48" s="9" t="s">
        <v>35</v>
      </c>
      <c r="B48" s="21">
        <v>479.71903442817569</v>
      </c>
      <c r="C48" s="21">
        <v>492.75362318840575</v>
      </c>
      <c r="D48" s="21">
        <v>518.2568898617053</v>
      </c>
      <c r="E48" s="21">
        <v>578.95799496134487</v>
      </c>
      <c r="F48" s="21">
        <v>626.67077424548086</v>
      </c>
      <c r="G48" s="117">
        <v>645</v>
      </c>
      <c r="H48" s="20">
        <v>667.52635970568144</v>
      </c>
      <c r="I48" s="20">
        <v>722.6997263844687</v>
      </c>
      <c r="J48" s="20">
        <v>379.39857785062372</v>
      </c>
      <c r="K48" s="20">
        <v>471.43904690937268</v>
      </c>
      <c r="L48" s="118">
        <v>495</v>
      </c>
      <c r="M48" s="118">
        <v>499</v>
      </c>
      <c r="N48" s="118">
        <v>506</v>
      </c>
      <c r="O48" s="118">
        <v>591</v>
      </c>
      <c r="P48" s="118">
        <v>619</v>
      </c>
      <c r="Q48" s="118">
        <v>572</v>
      </c>
      <c r="R48" s="118">
        <v>601</v>
      </c>
      <c r="S48" s="118">
        <v>484</v>
      </c>
      <c r="T48" s="21">
        <v>330</v>
      </c>
      <c r="U48" s="134">
        <v>323</v>
      </c>
      <c r="V48" s="134">
        <v>375</v>
      </c>
      <c r="W48" s="134">
        <v>564</v>
      </c>
      <c r="X48" s="134">
        <v>619</v>
      </c>
      <c r="Y48" s="134">
        <v>666</v>
      </c>
      <c r="Z48" s="139">
        <v>635</v>
      </c>
      <c r="AA48" s="141"/>
    </row>
    <row r="49" spans="1:27" s="63" customFormat="1" ht="9.75" x14ac:dyDescent="0.2">
      <c r="A49" s="9" t="s">
        <v>36</v>
      </c>
      <c r="B49" s="21">
        <v>146.59590043923865</v>
      </c>
      <c r="C49" s="21">
        <v>149.88040478380864</v>
      </c>
      <c r="D49" s="21">
        <v>166.58647618342647</v>
      </c>
      <c r="E49" s="21">
        <v>153.46705862009338</v>
      </c>
      <c r="F49" s="21">
        <v>190.8567422161602</v>
      </c>
      <c r="G49" s="117">
        <v>194</v>
      </c>
      <c r="H49" s="20">
        <v>242.10906595992068</v>
      </c>
      <c r="I49" s="20">
        <v>290.22928989577173</v>
      </c>
      <c r="J49" s="20">
        <v>312.98235706013332</v>
      </c>
      <c r="K49" s="20">
        <v>276.40232803310562</v>
      </c>
      <c r="L49" s="118">
        <v>255</v>
      </c>
      <c r="M49" s="118">
        <v>242</v>
      </c>
      <c r="N49" s="118">
        <v>341</v>
      </c>
      <c r="O49" s="118">
        <v>313</v>
      </c>
      <c r="P49" s="118">
        <v>433</v>
      </c>
      <c r="Q49" s="118">
        <v>355</v>
      </c>
      <c r="R49" s="118">
        <v>294</v>
      </c>
      <c r="S49" s="118">
        <v>285</v>
      </c>
      <c r="T49" s="21">
        <v>240</v>
      </c>
      <c r="U49" s="134">
        <v>289</v>
      </c>
      <c r="V49" s="134">
        <v>306</v>
      </c>
      <c r="W49" s="134">
        <v>318</v>
      </c>
      <c r="X49" s="134">
        <v>322</v>
      </c>
      <c r="Y49" s="134">
        <v>386</v>
      </c>
      <c r="Z49" s="139">
        <v>424</v>
      </c>
      <c r="AA49" s="141"/>
    </row>
    <row r="50" spans="1:27" s="63" customFormat="1" ht="9.75" x14ac:dyDescent="0.2">
      <c r="A50" s="9" t="s">
        <v>37</v>
      </c>
      <c r="B50" s="21">
        <v>214.93624772313296</v>
      </c>
      <c r="C50" s="21">
        <v>215.96477362538104</v>
      </c>
      <c r="D50" s="21">
        <v>223.24832092938829</v>
      </c>
      <c r="E50" s="21">
        <v>229.04195439406706</v>
      </c>
      <c r="F50" s="21">
        <v>256.45508587418715</v>
      </c>
      <c r="G50" s="117">
        <v>273</v>
      </c>
      <c r="H50" s="20">
        <v>321.05583679326253</v>
      </c>
      <c r="I50" s="20">
        <v>396.08632526824539</v>
      </c>
      <c r="J50" s="20">
        <v>467.60904028622775</v>
      </c>
      <c r="K50" s="20">
        <v>420.92774788731674</v>
      </c>
      <c r="L50" s="118">
        <v>423</v>
      </c>
      <c r="M50" s="118">
        <v>440</v>
      </c>
      <c r="N50" s="118">
        <v>465</v>
      </c>
      <c r="O50" s="118">
        <v>501</v>
      </c>
      <c r="P50" s="118">
        <v>546</v>
      </c>
      <c r="Q50" s="118">
        <v>566</v>
      </c>
      <c r="R50" s="118">
        <v>539</v>
      </c>
      <c r="S50" s="118">
        <v>549</v>
      </c>
      <c r="T50" s="21">
        <v>554</v>
      </c>
      <c r="U50" s="134">
        <v>617</v>
      </c>
      <c r="V50" s="134">
        <v>626</v>
      </c>
      <c r="W50" s="134">
        <v>639</v>
      </c>
      <c r="X50" s="134">
        <v>647</v>
      </c>
      <c r="Y50" s="134">
        <v>713</v>
      </c>
      <c r="Z50" s="139">
        <v>712</v>
      </c>
      <c r="AA50" s="141"/>
    </row>
    <row r="51" spans="1:27" s="63" customFormat="1" ht="9.75" x14ac:dyDescent="0.2">
      <c r="A51" s="9" t="s">
        <v>38</v>
      </c>
      <c r="B51" s="21"/>
      <c r="C51" s="21"/>
      <c r="D51" s="21"/>
      <c r="E51" s="21"/>
      <c r="F51" s="21"/>
      <c r="G51" s="117"/>
      <c r="H51" s="20"/>
      <c r="I51" s="20"/>
      <c r="J51" s="20"/>
      <c r="K51" s="20"/>
      <c r="L51" s="118"/>
      <c r="M51" s="118"/>
      <c r="N51" s="118"/>
      <c r="O51" s="118"/>
      <c r="P51" s="118">
        <v>633</v>
      </c>
      <c r="Q51" s="118">
        <v>251</v>
      </c>
      <c r="R51" s="118">
        <v>488</v>
      </c>
      <c r="S51" s="118">
        <v>372</v>
      </c>
      <c r="T51" s="21">
        <v>642</v>
      </c>
      <c r="U51" s="134">
        <v>1113</v>
      </c>
      <c r="V51" s="134">
        <v>1219</v>
      </c>
      <c r="W51" s="134">
        <v>960</v>
      </c>
      <c r="X51" s="134">
        <v>1007</v>
      </c>
      <c r="Y51" s="134">
        <v>858</v>
      </c>
      <c r="Z51" s="139">
        <v>618</v>
      </c>
      <c r="AA51" s="141"/>
    </row>
    <row r="52" spans="1:27" s="63" customFormat="1" ht="18" x14ac:dyDescent="0.15">
      <c r="A52" s="8" t="s">
        <v>89</v>
      </c>
      <c r="B52" s="26">
        <v>172.14702423501743</v>
      </c>
      <c r="C52" s="26">
        <v>183.62345109036397</v>
      </c>
      <c r="D52" s="26">
        <v>168.78866269261047</v>
      </c>
      <c r="E52" s="26">
        <v>177.81913250759158</v>
      </c>
      <c r="F52" s="26">
        <v>185.33907251629219</v>
      </c>
      <c r="G52" s="121">
        <v>200</v>
      </c>
      <c r="H52" s="26">
        <v>229.80807952646009</v>
      </c>
      <c r="I52" s="26">
        <v>276.58028329235583</v>
      </c>
      <c r="J52" s="26">
        <v>284.92677638693863</v>
      </c>
      <c r="K52" s="26">
        <v>300.72860551031812</v>
      </c>
      <c r="L52" s="120">
        <v>323</v>
      </c>
      <c r="M52" s="120">
        <v>337</v>
      </c>
      <c r="N52" s="120">
        <v>393</v>
      </c>
      <c r="O52" s="120">
        <v>431</v>
      </c>
      <c r="P52" s="120">
        <v>518</v>
      </c>
      <c r="Q52" s="120">
        <v>512</v>
      </c>
      <c r="R52" s="120">
        <v>511</v>
      </c>
      <c r="S52" s="120">
        <v>513</v>
      </c>
      <c r="T52" s="22">
        <v>357</v>
      </c>
      <c r="U52" s="133">
        <v>401</v>
      </c>
      <c r="V52" s="133">
        <v>395</v>
      </c>
      <c r="W52" s="133">
        <v>465</v>
      </c>
      <c r="X52" s="133">
        <v>586</v>
      </c>
      <c r="Y52" s="133">
        <v>720</v>
      </c>
      <c r="Z52" s="105">
        <v>882</v>
      </c>
      <c r="AA52" s="141"/>
    </row>
    <row r="53" spans="1:27" s="63" customFormat="1" ht="9.75" x14ac:dyDescent="0.2">
      <c r="A53" s="9" t="s">
        <v>39</v>
      </c>
      <c r="B53" s="20">
        <v>175.74970579880696</v>
      </c>
      <c r="C53" s="20">
        <v>226.12504978096374</v>
      </c>
      <c r="D53" s="20">
        <v>189.50289198061591</v>
      </c>
      <c r="E53" s="20">
        <v>200.11871710130234</v>
      </c>
      <c r="F53" s="20">
        <v>219.34601492311884</v>
      </c>
      <c r="G53" s="117">
        <v>235</v>
      </c>
      <c r="H53" s="20">
        <v>263.50033969143345</v>
      </c>
      <c r="I53" s="20">
        <v>289.65852803797532</v>
      </c>
      <c r="J53" s="20">
        <v>323.09170732471802</v>
      </c>
      <c r="K53" s="20">
        <v>374.30969201887035</v>
      </c>
      <c r="L53" s="118">
        <v>389</v>
      </c>
      <c r="M53" s="118">
        <v>415</v>
      </c>
      <c r="N53" s="118">
        <v>488</v>
      </c>
      <c r="O53" s="118">
        <v>518</v>
      </c>
      <c r="P53" s="118">
        <v>551</v>
      </c>
      <c r="Q53" s="118">
        <v>600</v>
      </c>
      <c r="R53" s="118">
        <v>611</v>
      </c>
      <c r="S53" s="118">
        <v>651</v>
      </c>
      <c r="T53" s="21">
        <v>315</v>
      </c>
      <c r="U53" s="134">
        <v>326</v>
      </c>
      <c r="V53" s="134">
        <v>308</v>
      </c>
      <c r="W53" s="134">
        <v>325</v>
      </c>
      <c r="X53" s="134">
        <v>314</v>
      </c>
      <c r="Y53" s="134">
        <v>502</v>
      </c>
      <c r="Z53" s="139">
        <v>894</v>
      </c>
      <c r="AA53" s="141"/>
    </row>
    <row r="54" spans="1:27" s="63" customFormat="1" ht="9.75" x14ac:dyDescent="0.2">
      <c r="A54" s="9" t="s">
        <v>99</v>
      </c>
      <c r="B54" s="20">
        <v>37.178507766743067</v>
      </c>
      <c r="C54" s="20">
        <v>56.159822419533853</v>
      </c>
      <c r="D54" s="20">
        <v>31.162086128543606</v>
      </c>
      <c r="E54" s="20">
        <v>43.010472398355176</v>
      </c>
      <c r="F54" s="20">
        <v>40.197918289826994</v>
      </c>
      <c r="G54" s="117">
        <v>57</v>
      </c>
      <c r="H54" s="20">
        <v>58.00055816436727</v>
      </c>
      <c r="I54" s="20">
        <v>568.01416347005022</v>
      </c>
      <c r="J54" s="20">
        <v>152.48274763124672</v>
      </c>
      <c r="K54" s="20">
        <v>90.870775909743145</v>
      </c>
      <c r="L54" s="118">
        <v>383</v>
      </c>
      <c r="M54" s="118">
        <v>194</v>
      </c>
      <c r="N54" s="118">
        <v>206</v>
      </c>
      <c r="O54" s="118">
        <v>563</v>
      </c>
      <c r="P54" s="118">
        <v>571</v>
      </c>
      <c r="Q54" s="118">
        <v>566</v>
      </c>
      <c r="R54" s="118">
        <v>577</v>
      </c>
      <c r="S54" s="118">
        <v>649</v>
      </c>
      <c r="T54" s="21">
        <v>487</v>
      </c>
      <c r="U54" s="134">
        <v>569</v>
      </c>
      <c r="V54" s="134">
        <v>360</v>
      </c>
      <c r="W54" s="134">
        <v>221</v>
      </c>
      <c r="X54" s="134">
        <v>262</v>
      </c>
      <c r="Y54" s="134">
        <v>311</v>
      </c>
      <c r="Z54" s="139">
        <v>323</v>
      </c>
      <c r="AA54" s="141"/>
    </row>
    <row r="55" spans="1:27" s="63" customFormat="1" ht="19.5" x14ac:dyDescent="0.2">
      <c r="A55" s="9" t="s">
        <v>41</v>
      </c>
      <c r="B55" s="20">
        <v>218.14475025484199</v>
      </c>
      <c r="C55" s="20">
        <v>230.88152723189216</v>
      </c>
      <c r="D55" s="20">
        <v>233.70836582377186</v>
      </c>
      <c r="E55" s="20">
        <v>239.23738893945909</v>
      </c>
      <c r="F55" s="20">
        <v>250.60160231087733</v>
      </c>
      <c r="G55" s="117">
        <v>263</v>
      </c>
      <c r="H55" s="20">
        <v>265.9139589172791</v>
      </c>
      <c r="I55" s="20">
        <v>276.26531261693185</v>
      </c>
      <c r="J55" s="20">
        <v>288.32790799623183</v>
      </c>
      <c r="K55" s="20">
        <v>297.60691901156309</v>
      </c>
      <c r="L55" s="118">
        <v>307</v>
      </c>
      <c r="M55" s="118">
        <v>317</v>
      </c>
      <c r="N55" s="118">
        <v>327</v>
      </c>
      <c r="O55" s="118">
        <v>336</v>
      </c>
      <c r="P55" s="118">
        <v>377</v>
      </c>
      <c r="Q55" s="118">
        <v>428</v>
      </c>
      <c r="R55" s="118">
        <v>468</v>
      </c>
      <c r="S55" s="118">
        <v>482</v>
      </c>
      <c r="T55" s="21">
        <v>489</v>
      </c>
      <c r="U55" s="134">
        <v>530</v>
      </c>
      <c r="V55" s="134">
        <v>557</v>
      </c>
      <c r="W55" s="134">
        <v>570</v>
      </c>
      <c r="X55" s="134">
        <v>578</v>
      </c>
      <c r="Y55" s="134">
        <v>618</v>
      </c>
      <c r="Z55" s="139">
        <v>674</v>
      </c>
      <c r="AA55" s="141"/>
    </row>
    <row r="56" spans="1:27" s="63" customFormat="1" ht="19.5" x14ac:dyDescent="0.2">
      <c r="A56" s="9" t="s">
        <v>42</v>
      </c>
      <c r="B56" s="20">
        <v>114.01317283670224</v>
      </c>
      <c r="C56" s="20">
        <v>171.05860972285325</v>
      </c>
      <c r="D56" s="20">
        <v>151.14955611199636</v>
      </c>
      <c r="E56" s="20">
        <v>155.11880741943446</v>
      </c>
      <c r="F56" s="20">
        <v>141.29819956582105</v>
      </c>
      <c r="G56" s="117">
        <v>137</v>
      </c>
      <c r="H56" s="20">
        <v>175.9560240924402</v>
      </c>
      <c r="I56" s="20">
        <v>200.21206530921881</v>
      </c>
      <c r="J56" s="20">
        <v>203.96612667257565</v>
      </c>
      <c r="K56" s="20">
        <v>190.91895373870591</v>
      </c>
      <c r="L56" s="118">
        <v>148</v>
      </c>
      <c r="M56" s="118">
        <v>173</v>
      </c>
      <c r="N56" s="118">
        <v>185</v>
      </c>
      <c r="O56" s="118">
        <v>240</v>
      </c>
      <c r="P56" s="118">
        <v>369</v>
      </c>
      <c r="Q56" s="118">
        <v>392</v>
      </c>
      <c r="R56" s="118">
        <v>352</v>
      </c>
      <c r="S56" s="118">
        <v>430</v>
      </c>
      <c r="T56" s="21">
        <v>372</v>
      </c>
      <c r="U56" s="134">
        <v>452</v>
      </c>
      <c r="V56" s="134">
        <v>272</v>
      </c>
      <c r="W56" s="134">
        <v>501</v>
      </c>
      <c r="X56" s="134">
        <v>659</v>
      </c>
      <c r="Y56" s="134">
        <v>897</v>
      </c>
      <c r="Z56" s="139">
        <v>796</v>
      </c>
      <c r="AA56" s="141"/>
    </row>
    <row r="57" spans="1:27" s="63" customFormat="1" ht="19.5" x14ac:dyDescent="0.2">
      <c r="A57" s="9" t="s">
        <v>43</v>
      </c>
      <c r="B57" s="20">
        <v>192.41773962804007</v>
      </c>
      <c r="C57" s="20">
        <v>231.82461103253183</v>
      </c>
      <c r="D57" s="20">
        <v>188.95307876567563</v>
      </c>
      <c r="E57" s="20">
        <v>191.76632447878083</v>
      </c>
      <c r="F57" s="20">
        <v>192.63516992062637</v>
      </c>
      <c r="G57" s="117">
        <v>168</v>
      </c>
      <c r="H57" s="20">
        <v>223.07048970965522</v>
      </c>
      <c r="I57" s="20">
        <v>247.12914786208646</v>
      </c>
      <c r="J57" s="20">
        <v>276.70622624141885</v>
      </c>
      <c r="K57" s="20">
        <v>277.78831602952397</v>
      </c>
      <c r="L57" s="118">
        <v>278</v>
      </c>
      <c r="M57" s="118">
        <v>282</v>
      </c>
      <c r="N57" s="118">
        <v>291</v>
      </c>
      <c r="O57" s="118">
        <v>298</v>
      </c>
      <c r="P57" s="118">
        <v>242</v>
      </c>
      <c r="Q57" s="118">
        <v>247</v>
      </c>
      <c r="R57" s="118">
        <v>252</v>
      </c>
      <c r="S57" s="118">
        <v>274</v>
      </c>
      <c r="T57" s="21">
        <v>300</v>
      </c>
      <c r="U57" s="134">
        <v>328</v>
      </c>
      <c r="V57" s="134">
        <v>346</v>
      </c>
      <c r="W57" s="134">
        <v>468</v>
      </c>
      <c r="X57" s="134">
        <v>500</v>
      </c>
      <c r="Y57" s="134">
        <v>708</v>
      </c>
      <c r="Z57" s="139">
        <v>753</v>
      </c>
      <c r="AA57" s="141"/>
    </row>
    <row r="58" spans="1:27" s="63" customFormat="1" ht="9.75" x14ac:dyDescent="0.2">
      <c r="A58" s="9" t="s">
        <v>97</v>
      </c>
      <c r="B58" s="20" t="s">
        <v>96</v>
      </c>
      <c r="C58" s="20" t="s">
        <v>96</v>
      </c>
      <c r="D58" s="20" t="s">
        <v>96</v>
      </c>
      <c r="E58" s="20" t="s">
        <v>96</v>
      </c>
      <c r="F58" s="20" t="s">
        <v>96</v>
      </c>
      <c r="G58" s="117">
        <v>35</v>
      </c>
      <c r="H58" s="20">
        <v>69.095774660006612</v>
      </c>
      <c r="I58" s="20">
        <v>38.245663802885389</v>
      </c>
      <c r="J58" s="20">
        <v>45.429953207148195</v>
      </c>
      <c r="K58" s="20">
        <v>60.46183791054235</v>
      </c>
      <c r="L58" s="118">
        <v>91</v>
      </c>
      <c r="M58" s="118">
        <v>59</v>
      </c>
      <c r="N58" s="118">
        <v>240</v>
      </c>
      <c r="O58" s="118">
        <v>274</v>
      </c>
      <c r="P58" s="118">
        <v>839</v>
      </c>
      <c r="Q58" s="118">
        <v>682</v>
      </c>
      <c r="R58" s="118">
        <v>741</v>
      </c>
      <c r="S58" s="118">
        <v>750</v>
      </c>
      <c r="T58" s="21">
        <v>415</v>
      </c>
      <c r="U58" s="134">
        <v>434</v>
      </c>
      <c r="V58" s="134">
        <v>508</v>
      </c>
      <c r="W58" s="134">
        <v>680</v>
      </c>
      <c r="X58" s="134">
        <v>1323</v>
      </c>
      <c r="Y58" s="134">
        <v>1511</v>
      </c>
      <c r="Z58" s="139">
        <v>1665</v>
      </c>
      <c r="AA58" s="141"/>
    </row>
    <row r="59" spans="1:27" s="63" customFormat="1" ht="9.75" x14ac:dyDescent="0.2">
      <c r="A59" s="9" t="s">
        <v>45</v>
      </c>
      <c r="B59" s="20">
        <v>243.75205224561276</v>
      </c>
      <c r="C59" s="20">
        <v>209.20211794778163</v>
      </c>
      <c r="D59" s="20">
        <v>216.17964378451524</v>
      </c>
      <c r="E59" s="20">
        <v>231.48757358037037</v>
      </c>
      <c r="F59" s="20">
        <v>236.45208734019684</v>
      </c>
      <c r="G59" s="118">
        <v>255</v>
      </c>
      <c r="H59" s="20">
        <v>289.66397959064813</v>
      </c>
      <c r="I59" s="20">
        <v>343.50544803708317</v>
      </c>
      <c r="J59" s="20">
        <v>385.39654304619944</v>
      </c>
      <c r="K59" s="20">
        <v>388.97707145167976</v>
      </c>
      <c r="L59" s="118">
        <v>396</v>
      </c>
      <c r="M59" s="118">
        <v>454</v>
      </c>
      <c r="N59" s="118">
        <v>475</v>
      </c>
      <c r="O59" s="118">
        <v>487</v>
      </c>
      <c r="P59" s="118">
        <v>456</v>
      </c>
      <c r="Q59" s="118">
        <v>438</v>
      </c>
      <c r="R59" s="118">
        <v>384</v>
      </c>
      <c r="S59" s="118">
        <v>307</v>
      </c>
      <c r="T59" s="21">
        <v>321</v>
      </c>
      <c r="U59" s="134">
        <v>406</v>
      </c>
      <c r="V59" s="134">
        <v>421</v>
      </c>
      <c r="W59" s="134">
        <v>509</v>
      </c>
      <c r="X59" s="134">
        <v>566</v>
      </c>
      <c r="Y59" s="134">
        <v>620</v>
      </c>
      <c r="Z59" s="139">
        <v>655</v>
      </c>
      <c r="AA59" s="141"/>
    </row>
    <row r="60" spans="1:27" s="63" customFormat="1" ht="18" x14ac:dyDescent="0.15">
      <c r="A60" s="7" t="s">
        <v>90</v>
      </c>
      <c r="B60" s="26">
        <v>219.31278346733126</v>
      </c>
      <c r="C60" s="26">
        <v>237.47362659394025</v>
      </c>
      <c r="D60" s="26">
        <v>239.44659295168583</v>
      </c>
      <c r="E60" s="26">
        <v>245.29637847264345</v>
      </c>
      <c r="F60" s="26">
        <v>268.45693828511281</v>
      </c>
      <c r="G60" s="120">
        <v>299</v>
      </c>
      <c r="H60" s="26">
        <v>329.96545002536834</v>
      </c>
      <c r="I60" s="26">
        <v>406.83379872940168</v>
      </c>
      <c r="J60" s="26">
        <v>450.62943402665348</v>
      </c>
      <c r="K60" s="26">
        <v>423.85741523817615</v>
      </c>
      <c r="L60" s="120">
        <v>416</v>
      </c>
      <c r="M60" s="120">
        <v>456</v>
      </c>
      <c r="N60" s="120">
        <v>476</v>
      </c>
      <c r="O60" s="120">
        <v>513</v>
      </c>
      <c r="P60" s="120">
        <v>567</v>
      </c>
      <c r="Q60" s="120">
        <v>569</v>
      </c>
      <c r="R60" s="120">
        <v>545</v>
      </c>
      <c r="S60" s="120">
        <v>528</v>
      </c>
      <c r="T60" s="22">
        <v>516</v>
      </c>
      <c r="U60" s="133">
        <v>551</v>
      </c>
      <c r="V60" s="133">
        <v>540</v>
      </c>
      <c r="W60" s="133">
        <v>601</v>
      </c>
      <c r="X60" s="133">
        <v>644</v>
      </c>
      <c r="Y60" s="133">
        <v>705</v>
      </c>
      <c r="Z60" s="105">
        <v>711</v>
      </c>
      <c r="AA60" s="141"/>
    </row>
    <row r="61" spans="1:27" s="63" customFormat="1" ht="9.75" x14ac:dyDescent="0.2">
      <c r="A61" s="9" t="s">
        <v>46</v>
      </c>
      <c r="B61" s="20">
        <v>304.77231329690346</v>
      </c>
      <c r="C61" s="20">
        <v>340.63769243865067</v>
      </c>
      <c r="D61" s="20">
        <v>342.6546172021533</v>
      </c>
      <c r="E61" s="20">
        <v>358.12899378367911</v>
      </c>
      <c r="F61" s="20">
        <v>369.19777033119669</v>
      </c>
      <c r="G61" s="117">
        <v>395</v>
      </c>
      <c r="H61" s="20">
        <v>419.99109326260486</v>
      </c>
      <c r="I61" s="20">
        <v>458.00208676090801</v>
      </c>
      <c r="J61" s="20">
        <v>579.67556605129244</v>
      </c>
      <c r="K61" s="20">
        <v>578.9182420393513</v>
      </c>
      <c r="L61" s="118">
        <v>493</v>
      </c>
      <c r="M61" s="118">
        <v>518</v>
      </c>
      <c r="N61" s="118">
        <v>570</v>
      </c>
      <c r="O61" s="118">
        <v>608</v>
      </c>
      <c r="P61" s="118">
        <v>647</v>
      </c>
      <c r="Q61" s="118">
        <v>655</v>
      </c>
      <c r="R61" s="118">
        <v>655</v>
      </c>
      <c r="S61" s="118">
        <v>597</v>
      </c>
      <c r="T61" s="21">
        <v>556</v>
      </c>
      <c r="U61" s="134">
        <v>576</v>
      </c>
      <c r="V61" s="134">
        <v>598</v>
      </c>
      <c r="W61" s="134">
        <v>710</v>
      </c>
      <c r="X61" s="134">
        <v>750</v>
      </c>
      <c r="Y61" s="134">
        <v>814</v>
      </c>
      <c r="Z61" s="139">
        <v>826</v>
      </c>
      <c r="AA61" s="141"/>
    </row>
    <row r="62" spans="1:27" s="63" customFormat="1" ht="9.75" x14ac:dyDescent="0.2">
      <c r="A62" s="9" t="s">
        <v>47</v>
      </c>
      <c r="B62" s="20">
        <v>162.10384356035064</v>
      </c>
      <c r="C62" s="20">
        <v>178.55686913982879</v>
      </c>
      <c r="D62" s="20">
        <v>192.24445053439302</v>
      </c>
      <c r="E62" s="20">
        <v>202.97578227087263</v>
      </c>
      <c r="F62" s="20">
        <v>224.57188382221904</v>
      </c>
      <c r="G62" s="117">
        <v>254</v>
      </c>
      <c r="H62" s="20">
        <v>322.08882337717864</v>
      </c>
      <c r="I62" s="20">
        <v>401.41663141124053</v>
      </c>
      <c r="J62" s="20">
        <v>424.86694469762358</v>
      </c>
      <c r="K62" s="20">
        <v>428.1233806186732</v>
      </c>
      <c r="L62" s="118">
        <v>435</v>
      </c>
      <c r="M62" s="118">
        <v>453</v>
      </c>
      <c r="N62" s="118">
        <v>508</v>
      </c>
      <c r="O62" s="118">
        <v>535</v>
      </c>
      <c r="P62" s="118">
        <v>603</v>
      </c>
      <c r="Q62" s="118">
        <v>638</v>
      </c>
      <c r="R62" s="118">
        <v>678</v>
      </c>
      <c r="S62" s="118">
        <v>685</v>
      </c>
      <c r="T62" s="21">
        <v>492</v>
      </c>
      <c r="U62" s="134">
        <v>583</v>
      </c>
      <c r="V62" s="134">
        <v>543</v>
      </c>
      <c r="W62" s="134">
        <v>549</v>
      </c>
      <c r="X62" s="134">
        <v>646</v>
      </c>
      <c r="Y62" s="134">
        <v>800</v>
      </c>
      <c r="Z62" s="139">
        <v>725</v>
      </c>
      <c r="AA62" s="141"/>
    </row>
    <row r="63" spans="1:27" s="63" customFormat="1" ht="9.75" x14ac:dyDescent="0.2">
      <c r="A63" s="9" t="s">
        <v>48</v>
      </c>
      <c r="B63" s="20">
        <v>199.38683893572758</v>
      </c>
      <c r="C63" s="20">
        <v>203.30157323288279</v>
      </c>
      <c r="D63" s="20">
        <v>162.05001682180102</v>
      </c>
      <c r="E63" s="20">
        <v>174.21721270595486</v>
      </c>
      <c r="F63" s="20">
        <v>178.15636163341614</v>
      </c>
      <c r="G63" s="117">
        <v>208</v>
      </c>
      <c r="H63" s="20">
        <v>247.53164968466419</v>
      </c>
      <c r="I63" s="20">
        <v>284.04936469107292</v>
      </c>
      <c r="J63" s="20">
        <v>334.90115641687595</v>
      </c>
      <c r="K63" s="20">
        <v>328.4750847016827</v>
      </c>
      <c r="L63" s="118">
        <v>346</v>
      </c>
      <c r="M63" s="118">
        <v>359</v>
      </c>
      <c r="N63" s="118">
        <v>323</v>
      </c>
      <c r="O63" s="118">
        <v>373</v>
      </c>
      <c r="P63" s="118">
        <v>394</v>
      </c>
      <c r="Q63" s="118">
        <v>399</v>
      </c>
      <c r="R63" s="118">
        <v>404</v>
      </c>
      <c r="S63" s="118">
        <v>406</v>
      </c>
      <c r="T63" s="21">
        <v>413</v>
      </c>
      <c r="U63" s="134">
        <v>435</v>
      </c>
      <c r="V63" s="134">
        <v>409</v>
      </c>
      <c r="W63" s="134">
        <v>434</v>
      </c>
      <c r="X63" s="134">
        <v>441</v>
      </c>
      <c r="Y63" s="134">
        <v>469</v>
      </c>
      <c r="Z63" s="139">
        <v>482</v>
      </c>
      <c r="AA63" s="141"/>
    </row>
    <row r="64" spans="1:27" s="63" customFormat="1" ht="9.75" x14ac:dyDescent="0.2">
      <c r="A64" s="9" t="s">
        <v>49</v>
      </c>
      <c r="B64" s="20">
        <v>396.64229337697645</v>
      </c>
      <c r="C64" s="20">
        <v>408.96839657541483</v>
      </c>
      <c r="D64" s="20">
        <v>408.32848298851792</v>
      </c>
      <c r="E64" s="20">
        <v>413.65306752739986</v>
      </c>
      <c r="F64" s="20">
        <v>468.99249887817336</v>
      </c>
      <c r="G64" s="117">
        <v>436</v>
      </c>
      <c r="H64" s="20">
        <v>472.65634032744936</v>
      </c>
      <c r="I64" s="20">
        <v>542.02694224771585</v>
      </c>
      <c r="J64" s="20">
        <v>589.49877882907629</v>
      </c>
      <c r="K64" s="20">
        <v>531.94079267698896</v>
      </c>
      <c r="L64" s="118">
        <v>535</v>
      </c>
      <c r="M64" s="118">
        <v>631</v>
      </c>
      <c r="N64" s="118">
        <v>627</v>
      </c>
      <c r="O64" s="118">
        <v>623</v>
      </c>
      <c r="P64" s="118">
        <v>620</v>
      </c>
      <c r="Q64" s="118">
        <v>616</v>
      </c>
      <c r="R64" s="118">
        <v>612</v>
      </c>
      <c r="S64" s="118">
        <v>609</v>
      </c>
      <c r="T64" s="21">
        <v>606</v>
      </c>
      <c r="U64" s="134">
        <v>671</v>
      </c>
      <c r="V64" s="134">
        <v>671</v>
      </c>
      <c r="W64" s="134">
        <v>753</v>
      </c>
      <c r="X64" s="134">
        <v>773</v>
      </c>
      <c r="Y64" s="134">
        <v>859</v>
      </c>
      <c r="Z64" s="139">
        <v>861</v>
      </c>
      <c r="AA64" s="141"/>
    </row>
    <row r="65" spans="1:27" s="63" customFormat="1" ht="9.75" x14ac:dyDescent="0.2">
      <c r="A65" s="9" t="s">
        <v>50</v>
      </c>
      <c r="B65" s="20">
        <v>161.45244377434349</v>
      </c>
      <c r="C65" s="20">
        <v>174.78365232771145</v>
      </c>
      <c r="D65" s="20">
        <v>224.70124586829391</v>
      </c>
      <c r="E65" s="20">
        <v>201.13330018394075</v>
      </c>
      <c r="F65" s="20">
        <v>231.68893465460437</v>
      </c>
      <c r="G65" s="117">
        <v>240</v>
      </c>
      <c r="H65" s="20">
        <v>274.8651124910923</v>
      </c>
      <c r="I65" s="20">
        <v>314.49939900011333</v>
      </c>
      <c r="J65" s="20">
        <v>317.78574419946284</v>
      </c>
      <c r="K65" s="20">
        <v>304.45228719125731</v>
      </c>
      <c r="L65" s="118">
        <v>317</v>
      </c>
      <c r="M65" s="118">
        <v>333</v>
      </c>
      <c r="N65" s="118">
        <v>341</v>
      </c>
      <c r="O65" s="118">
        <v>353</v>
      </c>
      <c r="P65" s="118">
        <v>420</v>
      </c>
      <c r="Q65" s="118">
        <v>432</v>
      </c>
      <c r="R65" s="118">
        <v>434</v>
      </c>
      <c r="S65" s="118">
        <v>441</v>
      </c>
      <c r="T65" s="21">
        <v>483</v>
      </c>
      <c r="U65" s="134">
        <v>515</v>
      </c>
      <c r="V65" s="134">
        <v>547</v>
      </c>
      <c r="W65" s="134">
        <v>578</v>
      </c>
      <c r="X65" s="134">
        <v>814</v>
      </c>
      <c r="Y65" s="134">
        <v>966</v>
      </c>
      <c r="Z65" s="139">
        <v>979</v>
      </c>
      <c r="AA65" s="141"/>
    </row>
    <row r="66" spans="1:27" s="63" customFormat="1" ht="9.75" x14ac:dyDescent="0.2">
      <c r="A66" s="9" t="s">
        <v>51</v>
      </c>
      <c r="B66" s="20">
        <v>377.38542449286251</v>
      </c>
      <c r="C66" s="20">
        <v>383.65064974312486</v>
      </c>
      <c r="D66" s="20">
        <v>391.60839160839168</v>
      </c>
      <c r="E66" s="20">
        <v>415.47886445470789</v>
      </c>
      <c r="F66" s="20">
        <v>482.27790685834361</v>
      </c>
      <c r="G66" s="117">
        <v>570</v>
      </c>
      <c r="H66" s="20">
        <v>670.84956483099609</v>
      </c>
      <c r="I66" s="20">
        <v>793.55988039326439</v>
      </c>
      <c r="J66" s="20">
        <v>775.64576992242746</v>
      </c>
      <c r="K66" s="20">
        <v>677.93913503494309</v>
      </c>
      <c r="L66" s="118">
        <v>698</v>
      </c>
      <c r="M66" s="118">
        <v>710</v>
      </c>
      <c r="N66" s="118">
        <v>658</v>
      </c>
      <c r="O66" s="118">
        <v>676</v>
      </c>
      <c r="P66" s="118">
        <v>699</v>
      </c>
      <c r="Q66" s="118">
        <v>677</v>
      </c>
      <c r="R66" s="118">
        <v>513</v>
      </c>
      <c r="S66" s="118">
        <v>494</v>
      </c>
      <c r="T66" s="21">
        <v>491</v>
      </c>
      <c r="U66" s="134">
        <v>543</v>
      </c>
      <c r="V66" s="134">
        <v>481</v>
      </c>
      <c r="W66" s="134">
        <v>603</v>
      </c>
      <c r="X66" s="134">
        <v>722</v>
      </c>
      <c r="Y66" s="134">
        <v>667</v>
      </c>
      <c r="Z66" s="139">
        <v>676</v>
      </c>
      <c r="AA66" s="141"/>
    </row>
    <row r="67" spans="1:27" s="63" customFormat="1" ht="9.75" x14ac:dyDescent="0.2">
      <c r="A67" s="9" t="s">
        <v>52</v>
      </c>
      <c r="B67" s="20">
        <v>115.10039040713886</v>
      </c>
      <c r="C67" s="20">
        <v>184.48681484602687</v>
      </c>
      <c r="D67" s="20">
        <v>127.66333970411267</v>
      </c>
      <c r="E67" s="20">
        <v>148.47722402265001</v>
      </c>
      <c r="F67" s="20">
        <v>162.07104023589739</v>
      </c>
      <c r="G67" s="117">
        <v>233</v>
      </c>
      <c r="H67" s="20">
        <v>265.56428899634517</v>
      </c>
      <c r="I67" s="20">
        <v>329.54646265922861</v>
      </c>
      <c r="J67" s="20">
        <v>312.24246932502683</v>
      </c>
      <c r="K67" s="20">
        <v>261.85663170473151</v>
      </c>
      <c r="L67" s="118">
        <v>288</v>
      </c>
      <c r="M67" s="118">
        <v>285</v>
      </c>
      <c r="N67" s="118">
        <v>314</v>
      </c>
      <c r="O67" s="118">
        <v>382</v>
      </c>
      <c r="P67" s="118">
        <v>424</v>
      </c>
      <c r="Q67" s="118">
        <v>440</v>
      </c>
      <c r="R67" s="118">
        <v>405</v>
      </c>
      <c r="S67" s="118">
        <v>422</v>
      </c>
      <c r="T67" s="21">
        <v>416</v>
      </c>
      <c r="U67" s="134">
        <v>454</v>
      </c>
      <c r="V67" s="134">
        <v>474</v>
      </c>
      <c r="W67" s="134">
        <v>519</v>
      </c>
      <c r="X67" s="134">
        <v>789</v>
      </c>
      <c r="Y67" s="134">
        <v>771</v>
      </c>
      <c r="Z67" s="139">
        <v>705</v>
      </c>
      <c r="AA67" s="141"/>
    </row>
    <row r="68" spans="1:27" s="63" customFormat="1" ht="9.75" x14ac:dyDescent="0.2">
      <c r="A68" s="9" t="s">
        <v>53</v>
      </c>
      <c r="B68" s="20">
        <v>143.02355682112346</v>
      </c>
      <c r="C68" s="20">
        <v>143.23121235925638</v>
      </c>
      <c r="D68" s="20">
        <v>126.06880095446409</v>
      </c>
      <c r="E68" s="20">
        <v>108.43161841762529</v>
      </c>
      <c r="F68" s="20">
        <v>157.92525693699031</v>
      </c>
      <c r="G68" s="117">
        <v>180</v>
      </c>
      <c r="H68" s="20">
        <v>219.20926917690295</v>
      </c>
      <c r="I68" s="20">
        <v>270.8078114866326</v>
      </c>
      <c r="J68" s="20">
        <v>310.30620328189991</v>
      </c>
      <c r="K68" s="20">
        <v>247.19468255463451</v>
      </c>
      <c r="L68" s="118">
        <v>281</v>
      </c>
      <c r="M68" s="118">
        <v>305</v>
      </c>
      <c r="N68" s="118">
        <v>312</v>
      </c>
      <c r="O68" s="118">
        <v>376</v>
      </c>
      <c r="P68" s="118">
        <v>535</v>
      </c>
      <c r="Q68" s="118">
        <v>575</v>
      </c>
      <c r="R68" s="118">
        <v>530</v>
      </c>
      <c r="S68" s="118">
        <v>442</v>
      </c>
      <c r="T68" s="21">
        <v>453</v>
      </c>
      <c r="U68" s="134">
        <v>419</v>
      </c>
      <c r="V68" s="134">
        <v>389</v>
      </c>
      <c r="W68" s="134">
        <v>438</v>
      </c>
      <c r="X68" s="134">
        <v>464</v>
      </c>
      <c r="Y68" s="134">
        <v>525</v>
      </c>
      <c r="Z68" s="139">
        <v>537</v>
      </c>
      <c r="AA68" s="141"/>
    </row>
    <row r="69" spans="1:27" s="63" customFormat="1" ht="9.75" x14ac:dyDescent="0.2">
      <c r="A69" s="9" t="s">
        <v>54</v>
      </c>
      <c r="B69" s="20">
        <v>159.77183363792435</v>
      </c>
      <c r="C69" s="20">
        <v>148.99569182565884</v>
      </c>
      <c r="D69" s="20">
        <v>137.07852455306633</v>
      </c>
      <c r="E69" s="20">
        <v>164.56207108669852</v>
      </c>
      <c r="F69" s="20">
        <v>197.51836346380762</v>
      </c>
      <c r="G69" s="117">
        <v>218</v>
      </c>
      <c r="H69" s="20">
        <v>243.13536064784321</v>
      </c>
      <c r="I69" s="20">
        <v>317.76257207459832</v>
      </c>
      <c r="J69" s="20">
        <v>403.75538131756844</v>
      </c>
      <c r="K69" s="20">
        <v>420.92594713585061</v>
      </c>
      <c r="L69" s="118">
        <v>438</v>
      </c>
      <c r="M69" s="118">
        <v>445</v>
      </c>
      <c r="N69" s="118">
        <v>456</v>
      </c>
      <c r="O69" s="118">
        <v>467</v>
      </c>
      <c r="P69" s="118">
        <v>486</v>
      </c>
      <c r="Q69" s="118">
        <v>387</v>
      </c>
      <c r="R69" s="118">
        <v>394</v>
      </c>
      <c r="S69" s="118">
        <v>406</v>
      </c>
      <c r="T69" s="21">
        <v>422</v>
      </c>
      <c r="U69" s="134">
        <v>443</v>
      </c>
      <c r="V69" s="134">
        <v>468</v>
      </c>
      <c r="W69" s="134">
        <v>509</v>
      </c>
      <c r="X69" s="134">
        <v>550</v>
      </c>
      <c r="Y69" s="134">
        <v>605</v>
      </c>
      <c r="Z69" s="139">
        <v>659</v>
      </c>
      <c r="AA69" s="141"/>
    </row>
    <row r="70" spans="1:27" s="63" customFormat="1" ht="9.75" x14ac:dyDescent="0.2">
      <c r="A70" s="9" t="s">
        <v>55</v>
      </c>
      <c r="B70" s="20">
        <v>174.50394128839358</v>
      </c>
      <c r="C70" s="20">
        <v>200.79206117989804</v>
      </c>
      <c r="D70" s="20">
        <v>216.59260616610931</v>
      </c>
      <c r="E70" s="20">
        <v>241.19602158327598</v>
      </c>
      <c r="F70" s="20">
        <v>255.17261718349542</v>
      </c>
      <c r="G70" s="117">
        <v>276</v>
      </c>
      <c r="H70" s="20">
        <v>313.64550176311451</v>
      </c>
      <c r="I70" s="20">
        <v>364.92456091679293</v>
      </c>
      <c r="J70" s="20">
        <v>378.49186674198455</v>
      </c>
      <c r="K70" s="20">
        <v>362.23478452389691</v>
      </c>
      <c r="L70" s="118">
        <v>288</v>
      </c>
      <c r="M70" s="118">
        <v>367</v>
      </c>
      <c r="N70" s="118">
        <v>350</v>
      </c>
      <c r="O70" s="118">
        <v>396</v>
      </c>
      <c r="P70" s="118">
        <v>581</v>
      </c>
      <c r="Q70" s="118">
        <v>605</v>
      </c>
      <c r="R70" s="118">
        <v>494</v>
      </c>
      <c r="S70" s="118">
        <v>460</v>
      </c>
      <c r="T70" s="21">
        <v>475</v>
      </c>
      <c r="U70" s="134">
        <v>522</v>
      </c>
      <c r="V70" s="134">
        <v>512</v>
      </c>
      <c r="W70" s="134">
        <v>590</v>
      </c>
      <c r="X70" s="134">
        <v>514</v>
      </c>
      <c r="Y70" s="134">
        <v>616</v>
      </c>
      <c r="Z70" s="139">
        <v>653</v>
      </c>
      <c r="AA70" s="141"/>
    </row>
    <row r="71" spans="1:27" s="63" customFormat="1" ht="9.75" x14ac:dyDescent="0.2">
      <c r="A71" s="9" t="s">
        <v>56</v>
      </c>
      <c r="B71" s="20">
        <v>149.71183487468167</v>
      </c>
      <c r="C71" s="20">
        <v>133.54121475054228</v>
      </c>
      <c r="D71" s="20">
        <v>172.05186252315292</v>
      </c>
      <c r="E71" s="20">
        <v>162.74288562310934</v>
      </c>
      <c r="F71" s="20">
        <v>194.49357481558985</v>
      </c>
      <c r="G71" s="117">
        <v>222</v>
      </c>
      <c r="H71" s="20">
        <v>284.83670092287656</v>
      </c>
      <c r="I71" s="20">
        <v>393.5274915479979</v>
      </c>
      <c r="J71" s="20">
        <v>431.67315258372543</v>
      </c>
      <c r="K71" s="20">
        <v>437.32938098040046</v>
      </c>
      <c r="L71" s="118">
        <v>450</v>
      </c>
      <c r="M71" s="118">
        <v>486</v>
      </c>
      <c r="N71" s="118">
        <v>539</v>
      </c>
      <c r="O71" s="118">
        <v>611</v>
      </c>
      <c r="P71" s="118">
        <v>667</v>
      </c>
      <c r="Q71" s="118">
        <v>691</v>
      </c>
      <c r="R71" s="118">
        <v>662</v>
      </c>
      <c r="S71" s="118">
        <v>667</v>
      </c>
      <c r="T71" s="21">
        <v>504</v>
      </c>
      <c r="U71" s="134">
        <v>644</v>
      </c>
      <c r="V71" s="134">
        <v>662</v>
      </c>
      <c r="W71" s="134">
        <v>674</v>
      </c>
      <c r="X71" s="134">
        <v>661</v>
      </c>
      <c r="Y71" s="134">
        <v>756</v>
      </c>
      <c r="Z71" s="139">
        <v>856</v>
      </c>
      <c r="AA71" s="141"/>
    </row>
    <row r="72" spans="1:27" s="63" customFormat="1" ht="9.75" x14ac:dyDescent="0.2">
      <c r="A72" s="9" t="s">
        <v>57</v>
      </c>
      <c r="B72" s="20">
        <v>210.4942595243171</v>
      </c>
      <c r="C72" s="20">
        <v>229.28726760390825</v>
      </c>
      <c r="D72" s="20">
        <v>264.75392153841415</v>
      </c>
      <c r="E72" s="20">
        <v>262.8985978019598</v>
      </c>
      <c r="F72" s="20">
        <v>264.62461572880375</v>
      </c>
      <c r="G72" s="117">
        <v>282</v>
      </c>
      <c r="H72" s="20">
        <v>233.81367468889448</v>
      </c>
      <c r="I72" s="20">
        <v>399.38704794320324</v>
      </c>
      <c r="J72" s="20">
        <v>412.3274802823521</v>
      </c>
      <c r="K72" s="20">
        <v>317.70660164764121</v>
      </c>
      <c r="L72" s="118">
        <v>324</v>
      </c>
      <c r="M72" s="118">
        <v>414</v>
      </c>
      <c r="N72" s="118">
        <v>461</v>
      </c>
      <c r="O72" s="118">
        <v>540</v>
      </c>
      <c r="P72" s="118">
        <v>586</v>
      </c>
      <c r="Q72" s="118">
        <v>686</v>
      </c>
      <c r="R72" s="118">
        <v>582</v>
      </c>
      <c r="S72" s="118">
        <v>556</v>
      </c>
      <c r="T72" s="21">
        <v>555</v>
      </c>
      <c r="U72" s="134">
        <v>574</v>
      </c>
      <c r="V72" s="134">
        <v>438</v>
      </c>
      <c r="W72" s="134">
        <v>568</v>
      </c>
      <c r="X72" s="134">
        <v>597</v>
      </c>
      <c r="Y72" s="134">
        <v>618</v>
      </c>
      <c r="Z72" s="139">
        <v>645</v>
      </c>
      <c r="AA72" s="141"/>
    </row>
    <row r="73" spans="1:27" s="63" customFormat="1" ht="9.75" x14ac:dyDescent="0.2">
      <c r="A73" s="9" t="s">
        <v>58</v>
      </c>
      <c r="B73" s="20">
        <v>174.67652495378928</v>
      </c>
      <c r="C73" s="20">
        <v>189.24443453376446</v>
      </c>
      <c r="D73" s="20">
        <v>213.70847051780902</v>
      </c>
      <c r="E73" s="20">
        <v>179.14361056969932</v>
      </c>
      <c r="F73" s="20">
        <v>184.39223444188144</v>
      </c>
      <c r="G73" s="117">
        <v>262</v>
      </c>
      <c r="H73" s="20">
        <v>313.7717565137367</v>
      </c>
      <c r="I73" s="20">
        <v>398.42376836926144</v>
      </c>
      <c r="J73" s="20">
        <v>435.96523094008995</v>
      </c>
      <c r="K73" s="20">
        <v>444.7786046493319</v>
      </c>
      <c r="L73" s="118">
        <v>453</v>
      </c>
      <c r="M73" s="118">
        <v>465</v>
      </c>
      <c r="N73" s="118">
        <v>491</v>
      </c>
      <c r="O73" s="118">
        <v>523</v>
      </c>
      <c r="P73" s="118">
        <v>604</v>
      </c>
      <c r="Q73" s="118">
        <v>453</v>
      </c>
      <c r="R73" s="118">
        <v>514</v>
      </c>
      <c r="S73" s="118">
        <v>482</v>
      </c>
      <c r="T73" s="21">
        <v>487</v>
      </c>
      <c r="U73" s="134">
        <v>484</v>
      </c>
      <c r="V73" s="134">
        <v>470</v>
      </c>
      <c r="W73" s="134">
        <v>483</v>
      </c>
      <c r="X73" s="134">
        <v>418</v>
      </c>
      <c r="Y73" s="134">
        <v>481</v>
      </c>
      <c r="Z73" s="139">
        <v>444</v>
      </c>
      <c r="AA73" s="141"/>
    </row>
    <row r="74" spans="1:27" s="63" customFormat="1" ht="9.75" x14ac:dyDescent="0.2">
      <c r="A74" s="9" t="s">
        <v>59</v>
      </c>
      <c r="B74" s="20">
        <v>150.79197465681096</v>
      </c>
      <c r="C74" s="20">
        <v>172.34996796468997</v>
      </c>
      <c r="D74" s="20">
        <v>129.95531209456539</v>
      </c>
      <c r="E74" s="20">
        <v>132.71129466350547</v>
      </c>
      <c r="F74" s="20">
        <v>115.52622489399073</v>
      </c>
      <c r="G74" s="117">
        <v>217</v>
      </c>
      <c r="H74" s="20">
        <v>255.03984997655883</v>
      </c>
      <c r="I74" s="20">
        <v>325.04078149069119</v>
      </c>
      <c r="J74" s="20">
        <v>387.44185514931939</v>
      </c>
      <c r="K74" s="20">
        <v>406.53053844226633</v>
      </c>
      <c r="L74" s="118">
        <v>360</v>
      </c>
      <c r="M74" s="118">
        <v>431</v>
      </c>
      <c r="N74" s="118">
        <v>476</v>
      </c>
      <c r="O74" s="118">
        <v>500</v>
      </c>
      <c r="P74" s="118">
        <v>570</v>
      </c>
      <c r="Q74" s="118">
        <v>745</v>
      </c>
      <c r="R74" s="118">
        <v>774</v>
      </c>
      <c r="S74" s="118">
        <v>786</v>
      </c>
      <c r="T74" s="21">
        <v>795</v>
      </c>
      <c r="U74" s="134">
        <v>832</v>
      </c>
      <c r="V74" s="134">
        <v>852</v>
      </c>
      <c r="W74" s="134">
        <v>715</v>
      </c>
      <c r="X74" s="134">
        <v>581</v>
      </c>
      <c r="Y74" s="134">
        <v>677</v>
      </c>
      <c r="Z74" s="139">
        <v>629</v>
      </c>
      <c r="AA74" s="141"/>
    </row>
    <row r="75" spans="1:27" s="63" customFormat="1" ht="18" x14ac:dyDescent="0.15">
      <c r="A75" s="8" t="s">
        <v>107</v>
      </c>
      <c r="B75" s="26">
        <v>181.27971568988426</v>
      </c>
      <c r="C75" s="26">
        <v>212.33476636265016</v>
      </c>
      <c r="D75" s="26">
        <v>230.08192421001652</v>
      </c>
      <c r="E75" s="26">
        <v>228.0955852613962</v>
      </c>
      <c r="F75" s="26">
        <v>258.84304874726337</v>
      </c>
      <c r="G75" s="121">
        <v>293</v>
      </c>
      <c r="H75" s="26">
        <v>361.74060455052773</v>
      </c>
      <c r="I75" s="26">
        <v>463.05779938373774</v>
      </c>
      <c r="J75" s="26">
        <v>515.71931930084975</v>
      </c>
      <c r="K75" s="26">
        <v>440.02385397263419</v>
      </c>
      <c r="L75" s="120">
        <v>399</v>
      </c>
      <c r="M75" s="120">
        <v>451</v>
      </c>
      <c r="N75" s="120">
        <v>523</v>
      </c>
      <c r="O75" s="120">
        <v>538</v>
      </c>
      <c r="P75" s="120">
        <v>651</v>
      </c>
      <c r="Q75" s="120">
        <v>647</v>
      </c>
      <c r="R75" s="120">
        <v>518</v>
      </c>
      <c r="S75" s="120">
        <v>511</v>
      </c>
      <c r="T75" s="22">
        <v>483</v>
      </c>
      <c r="U75" s="133">
        <v>545</v>
      </c>
      <c r="V75" s="133">
        <v>564</v>
      </c>
      <c r="W75" s="133">
        <v>624</v>
      </c>
      <c r="X75" s="133">
        <v>689</v>
      </c>
      <c r="Y75" s="133">
        <v>770</v>
      </c>
      <c r="Z75" s="105">
        <v>784</v>
      </c>
      <c r="AA75" s="141"/>
    </row>
    <row r="76" spans="1:27" s="63" customFormat="1" ht="9.75" x14ac:dyDescent="0.2">
      <c r="A76" s="9" t="s">
        <v>60</v>
      </c>
      <c r="B76" s="20">
        <v>69.49587012247224</v>
      </c>
      <c r="C76" s="20">
        <v>82.394840696890924</v>
      </c>
      <c r="D76" s="20">
        <v>98.778700537371762</v>
      </c>
      <c r="E76" s="20">
        <v>101.01060214424274</v>
      </c>
      <c r="F76" s="20">
        <v>98.360192196219501</v>
      </c>
      <c r="G76" s="117">
        <v>127</v>
      </c>
      <c r="H76" s="20">
        <v>155.87949791496757</v>
      </c>
      <c r="I76" s="20">
        <v>206.8510778589584</v>
      </c>
      <c r="J76" s="20">
        <v>302.30812414098682</v>
      </c>
      <c r="K76" s="20">
        <v>313.05491043874332</v>
      </c>
      <c r="L76" s="118">
        <v>175</v>
      </c>
      <c r="M76" s="118">
        <v>203</v>
      </c>
      <c r="N76" s="118">
        <v>282</v>
      </c>
      <c r="O76" s="118">
        <v>320</v>
      </c>
      <c r="P76" s="118">
        <v>451</v>
      </c>
      <c r="Q76" s="118">
        <v>343</v>
      </c>
      <c r="R76" s="118">
        <v>352</v>
      </c>
      <c r="S76" s="118">
        <v>327</v>
      </c>
      <c r="T76" s="21">
        <v>283</v>
      </c>
      <c r="U76" s="134">
        <v>311</v>
      </c>
      <c r="V76" s="134">
        <v>337</v>
      </c>
      <c r="W76" s="134">
        <v>360</v>
      </c>
      <c r="X76" s="134">
        <v>435</v>
      </c>
      <c r="Y76" s="134">
        <v>464</v>
      </c>
      <c r="Z76" s="139">
        <v>498</v>
      </c>
      <c r="AA76" s="141"/>
    </row>
    <row r="77" spans="1:27" s="63" customFormat="1" ht="9.75" x14ac:dyDescent="0.2">
      <c r="A77" s="9" t="s">
        <v>61</v>
      </c>
      <c r="B77" s="20">
        <v>135.19082798079666</v>
      </c>
      <c r="C77" s="20">
        <v>140.44150110375278</v>
      </c>
      <c r="D77" s="20">
        <v>156.63508163174518</v>
      </c>
      <c r="E77" s="20">
        <v>174.7586716725103</v>
      </c>
      <c r="F77" s="20">
        <v>201.85301521056488</v>
      </c>
      <c r="G77" s="117">
        <v>253</v>
      </c>
      <c r="H77" s="20">
        <v>295.66004574189213</v>
      </c>
      <c r="I77" s="20">
        <v>383.50680303799908</v>
      </c>
      <c r="J77" s="20">
        <v>394.23463121921344</v>
      </c>
      <c r="K77" s="20">
        <v>368.95173822726889</v>
      </c>
      <c r="L77" s="118">
        <v>411</v>
      </c>
      <c r="M77" s="118">
        <v>424</v>
      </c>
      <c r="N77" s="118">
        <v>434</v>
      </c>
      <c r="O77" s="118">
        <v>407</v>
      </c>
      <c r="P77" s="118">
        <v>561</v>
      </c>
      <c r="Q77" s="118">
        <v>572</v>
      </c>
      <c r="R77" s="118">
        <v>487</v>
      </c>
      <c r="S77" s="118">
        <v>496</v>
      </c>
      <c r="T77" s="21">
        <v>483</v>
      </c>
      <c r="U77" s="134">
        <v>560</v>
      </c>
      <c r="V77" s="134">
        <v>552</v>
      </c>
      <c r="W77" s="134">
        <v>675</v>
      </c>
      <c r="X77" s="134">
        <v>692</v>
      </c>
      <c r="Y77" s="134">
        <v>771</v>
      </c>
      <c r="Z77" s="139">
        <v>793</v>
      </c>
      <c r="AA77" s="141"/>
    </row>
    <row r="78" spans="1:27" s="63" customFormat="1" ht="9.75" x14ac:dyDescent="0.2">
      <c r="A78" s="9" t="s">
        <v>62</v>
      </c>
      <c r="B78" s="20">
        <v>280.7550444781948</v>
      </c>
      <c r="C78" s="20">
        <v>389.52789170187179</v>
      </c>
      <c r="D78" s="20">
        <v>410.64802036372561</v>
      </c>
      <c r="E78" s="20">
        <v>363.70196952828343</v>
      </c>
      <c r="F78" s="20">
        <v>418.20446661122264</v>
      </c>
      <c r="G78" s="117">
        <v>402</v>
      </c>
      <c r="H78" s="20">
        <v>518.41307240875278</v>
      </c>
      <c r="I78" s="20">
        <v>622.60218908159084</v>
      </c>
      <c r="J78" s="20">
        <v>664.56160304086916</v>
      </c>
      <c r="K78" s="20">
        <v>596.12319344451691</v>
      </c>
      <c r="L78" s="118">
        <v>535</v>
      </c>
      <c r="M78" s="118">
        <v>626</v>
      </c>
      <c r="N78" s="118">
        <v>735</v>
      </c>
      <c r="O78" s="118">
        <v>779</v>
      </c>
      <c r="P78" s="118">
        <v>886</v>
      </c>
      <c r="Q78" s="118">
        <v>942</v>
      </c>
      <c r="R78" s="118">
        <v>730</v>
      </c>
      <c r="S78" s="118">
        <v>669</v>
      </c>
      <c r="T78" s="21">
        <v>570</v>
      </c>
      <c r="U78" s="134">
        <v>682</v>
      </c>
      <c r="V78" s="134">
        <v>724</v>
      </c>
      <c r="W78" s="134">
        <v>728</v>
      </c>
      <c r="X78" s="134">
        <v>863</v>
      </c>
      <c r="Y78" s="134">
        <v>964</v>
      </c>
      <c r="Z78" s="139">
        <v>1000</v>
      </c>
      <c r="AA78" s="141"/>
    </row>
    <row r="79" spans="1:27" s="63" customFormat="1" ht="9.75" x14ac:dyDescent="0.2">
      <c r="A79" s="4" t="s">
        <v>63</v>
      </c>
      <c r="B79" s="118"/>
      <c r="C79" s="118"/>
      <c r="D79" s="118"/>
      <c r="E79" s="118"/>
      <c r="F79" s="118"/>
      <c r="G79" s="117"/>
      <c r="H79" s="117"/>
      <c r="I79" s="117"/>
      <c r="J79" s="117"/>
      <c r="K79" s="117"/>
      <c r="L79" s="118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134"/>
      <c r="Y79" s="60"/>
      <c r="Z79" s="165"/>
      <c r="AA79" s="141"/>
    </row>
    <row r="80" spans="1:27" s="63" customFormat="1" ht="19.5" x14ac:dyDescent="0.2">
      <c r="A80" s="14" t="s">
        <v>88</v>
      </c>
      <c r="B80" s="20">
        <v>258.96762904636921</v>
      </c>
      <c r="C80" s="20">
        <v>493.16734635472557</v>
      </c>
      <c r="D80" s="20">
        <v>479.64626614261653</v>
      </c>
      <c r="E80" s="20">
        <v>403.21381261521748</v>
      </c>
      <c r="F80" s="20">
        <v>482.7597560272946</v>
      </c>
      <c r="G80" s="117">
        <v>397</v>
      </c>
      <c r="H80" s="20">
        <v>514.78433424624018</v>
      </c>
      <c r="I80" s="20">
        <v>588.0473080755711</v>
      </c>
      <c r="J80" s="20">
        <v>595.21425042396083</v>
      </c>
      <c r="K80" s="20">
        <v>546.81111681807761</v>
      </c>
      <c r="L80" s="118">
        <v>369</v>
      </c>
      <c r="M80" s="118">
        <v>489</v>
      </c>
      <c r="N80" s="118">
        <v>649</v>
      </c>
      <c r="O80" s="118">
        <v>655</v>
      </c>
      <c r="P80" s="118">
        <v>694</v>
      </c>
      <c r="Q80" s="118">
        <v>596</v>
      </c>
      <c r="R80" s="118">
        <v>455</v>
      </c>
      <c r="S80" s="118">
        <v>490</v>
      </c>
      <c r="T80" s="21">
        <v>351</v>
      </c>
      <c r="U80" s="134">
        <v>478</v>
      </c>
      <c r="V80" s="134">
        <v>587</v>
      </c>
      <c r="W80" s="134">
        <v>526</v>
      </c>
      <c r="X80" s="134">
        <v>510</v>
      </c>
      <c r="Y80" s="134">
        <v>547</v>
      </c>
      <c r="Z80" s="139">
        <v>551</v>
      </c>
      <c r="AA80" s="141"/>
    </row>
    <row r="81" spans="1:27" s="63" customFormat="1" ht="19.5" x14ac:dyDescent="0.2">
      <c r="A81" s="14" t="s">
        <v>135</v>
      </c>
      <c r="B81" s="20">
        <v>194.65111602654335</v>
      </c>
      <c r="C81" s="20">
        <v>235.27062113041742</v>
      </c>
      <c r="D81" s="20">
        <v>356.98754694603679</v>
      </c>
      <c r="E81" s="20">
        <v>249.54730314307969</v>
      </c>
      <c r="F81" s="20">
        <v>294.70621047991671</v>
      </c>
      <c r="G81" s="117">
        <v>354</v>
      </c>
      <c r="H81" s="20">
        <v>483.731566516459</v>
      </c>
      <c r="I81" s="20">
        <v>484.87329218445461</v>
      </c>
      <c r="J81" s="20">
        <v>438.59565339481827</v>
      </c>
      <c r="K81" s="20">
        <v>258.61706719841698</v>
      </c>
      <c r="L81" s="118">
        <v>266</v>
      </c>
      <c r="M81" s="118">
        <v>317</v>
      </c>
      <c r="N81" s="118">
        <v>370</v>
      </c>
      <c r="O81" s="118">
        <v>463</v>
      </c>
      <c r="P81" s="118">
        <v>515</v>
      </c>
      <c r="Q81" s="118">
        <v>572</v>
      </c>
      <c r="R81" s="118">
        <v>444</v>
      </c>
      <c r="S81" s="118">
        <v>461</v>
      </c>
      <c r="T81" s="118">
        <v>364</v>
      </c>
      <c r="U81" s="134">
        <v>285</v>
      </c>
      <c r="V81" s="134">
        <v>328</v>
      </c>
      <c r="W81" s="134">
        <v>338</v>
      </c>
      <c r="X81" s="134">
        <v>371</v>
      </c>
      <c r="Y81" s="134">
        <v>564</v>
      </c>
      <c r="Z81" s="139">
        <v>639</v>
      </c>
      <c r="AA81" s="141"/>
    </row>
    <row r="82" spans="1:27" s="63" customFormat="1" ht="19.5" x14ac:dyDescent="0.2">
      <c r="A82" s="14" t="s">
        <v>151</v>
      </c>
      <c r="B82" s="20">
        <v>334.31560335936342</v>
      </c>
      <c r="C82" s="20">
        <v>339.23391595388625</v>
      </c>
      <c r="D82" s="20">
        <v>357.14285714285717</v>
      </c>
      <c r="E82" s="20">
        <v>559.60272674740474</v>
      </c>
      <c r="F82" s="20">
        <v>614.1900497103652</v>
      </c>
      <c r="G82" s="117">
        <v>425</v>
      </c>
      <c r="H82" s="20">
        <v>536.25261691429819</v>
      </c>
      <c r="I82" s="20">
        <v>716.50537359984332</v>
      </c>
      <c r="J82" s="20">
        <v>832.8781155270816</v>
      </c>
      <c r="K82" s="20">
        <v>785.22468261797746</v>
      </c>
      <c r="L82" s="118">
        <v>831</v>
      </c>
      <c r="M82" s="118">
        <v>902</v>
      </c>
      <c r="N82" s="118">
        <v>975</v>
      </c>
      <c r="O82" s="118">
        <v>1039</v>
      </c>
      <c r="P82" s="118">
        <v>1237</v>
      </c>
      <c r="Q82" s="118">
        <v>1458</v>
      </c>
      <c r="R82" s="118">
        <v>1132</v>
      </c>
      <c r="S82" s="118">
        <v>935</v>
      </c>
      <c r="T82" s="21">
        <v>874</v>
      </c>
      <c r="U82" s="134">
        <v>1030</v>
      </c>
      <c r="V82" s="134">
        <v>998</v>
      </c>
      <c r="W82" s="134">
        <v>1069</v>
      </c>
      <c r="X82" s="134">
        <v>1399</v>
      </c>
      <c r="Y82" s="134">
        <v>1542</v>
      </c>
      <c r="Z82" s="139">
        <v>1606</v>
      </c>
      <c r="AA82" s="141"/>
    </row>
    <row r="83" spans="1:27" s="63" customFormat="1" ht="9.75" x14ac:dyDescent="0.2">
      <c r="A83" s="9" t="s">
        <v>65</v>
      </c>
      <c r="B83" s="20">
        <v>183.21467688937568</v>
      </c>
      <c r="C83" s="20">
        <v>180.93979684532167</v>
      </c>
      <c r="D83" s="20">
        <v>195.70577642332731</v>
      </c>
      <c r="E83" s="20">
        <v>206.19672937216458</v>
      </c>
      <c r="F83" s="20">
        <v>227.05443765846772</v>
      </c>
      <c r="G83" s="117">
        <v>289</v>
      </c>
      <c r="H83" s="20">
        <v>352.14219598257347</v>
      </c>
      <c r="I83" s="20">
        <v>478.98147085186901</v>
      </c>
      <c r="J83" s="20">
        <v>580.44979697162353</v>
      </c>
      <c r="K83" s="20">
        <v>410.78696896116747</v>
      </c>
      <c r="L83" s="118">
        <v>308</v>
      </c>
      <c r="M83" s="118">
        <v>378</v>
      </c>
      <c r="N83" s="118">
        <v>481</v>
      </c>
      <c r="O83" s="118">
        <v>512</v>
      </c>
      <c r="P83" s="118">
        <v>573</v>
      </c>
      <c r="Q83" s="118">
        <v>509</v>
      </c>
      <c r="R83" s="118">
        <v>376</v>
      </c>
      <c r="S83" s="118">
        <v>405</v>
      </c>
      <c r="T83" s="21">
        <v>437</v>
      </c>
      <c r="U83" s="134">
        <v>434</v>
      </c>
      <c r="V83" s="134">
        <v>455</v>
      </c>
      <c r="W83" s="134">
        <v>503</v>
      </c>
      <c r="X83" s="134">
        <v>548</v>
      </c>
      <c r="Y83" s="134">
        <v>615</v>
      </c>
      <c r="Z83" s="139">
        <v>586</v>
      </c>
      <c r="AA83" s="141"/>
    </row>
    <row r="84" spans="1:27" s="63" customFormat="1" ht="18" x14ac:dyDescent="0.15">
      <c r="A84" s="8" t="s">
        <v>112</v>
      </c>
      <c r="B84" s="26">
        <v>139.05666593454865</v>
      </c>
      <c r="C84" s="26">
        <v>126.72319444597984</v>
      </c>
      <c r="D84" s="26">
        <v>143.21742325550321</v>
      </c>
      <c r="E84" s="26">
        <v>167.64702597027394</v>
      </c>
      <c r="F84" s="26">
        <v>201.13366764028089</v>
      </c>
      <c r="G84" s="26">
        <v>233.03534961277708</v>
      </c>
      <c r="H84" s="26">
        <v>290.44545675807382</v>
      </c>
      <c r="I84" s="26">
        <v>371.64351086446675</v>
      </c>
      <c r="J84" s="26">
        <v>383.87787281822295</v>
      </c>
      <c r="K84" s="26">
        <v>333.04641873688882</v>
      </c>
      <c r="L84" s="26">
        <v>352.53471031570484</v>
      </c>
      <c r="M84" s="120">
        <v>385</v>
      </c>
      <c r="N84" s="120">
        <v>395</v>
      </c>
      <c r="O84" s="120">
        <v>426</v>
      </c>
      <c r="P84" s="120">
        <v>472</v>
      </c>
      <c r="Q84" s="120">
        <v>507</v>
      </c>
      <c r="R84" s="120">
        <v>466</v>
      </c>
      <c r="S84" s="120">
        <v>396</v>
      </c>
      <c r="T84" s="22">
        <v>389</v>
      </c>
      <c r="U84" s="133">
        <v>436</v>
      </c>
      <c r="V84" s="133">
        <v>442</v>
      </c>
      <c r="W84" s="133">
        <v>480</v>
      </c>
      <c r="X84" s="133">
        <v>496</v>
      </c>
      <c r="Y84" s="133">
        <v>602</v>
      </c>
      <c r="Z84" s="105">
        <v>598</v>
      </c>
      <c r="AA84" s="141"/>
    </row>
    <row r="85" spans="1:27" s="63" customFormat="1" ht="9.75" x14ac:dyDescent="0.2">
      <c r="A85" s="9" t="s">
        <v>66</v>
      </c>
      <c r="B85" s="20">
        <v>121.36161815490874</v>
      </c>
      <c r="C85" s="20">
        <v>75.862068965517238</v>
      </c>
      <c r="D85" s="20">
        <v>128.57142857142858</v>
      </c>
      <c r="E85" s="20">
        <v>113.40943270629423</v>
      </c>
      <c r="F85" s="20">
        <v>204.49291683954715</v>
      </c>
      <c r="G85" s="117">
        <v>169</v>
      </c>
      <c r="H85" s="20">
        <v>234.00046601787724</v>
      </c>
      <c r="I85" s="20">
        <v>255.88334090774364</v>
      </c>
      <c r="J85" s="20">
        <v>286.4036722443455</v>
      </c>
      <c r="K85" s="20">
        <v>296.04412862068796</v>
      </c>
      <c r="L85" s="118">
        <v>332</v>
      </c>
      <c r="M85" s="118">
        <v>370</v>
      </c>
      <c r="N85" s="118">
        <v>388</v>
      </c>
      <c r="O85" s="118">
        <v>430</v>
      </c>
      <c r="P85" s="118">
        <v>480</v>
      </c>
      <c r="Q85" s="118">
        <v>541</v>
      </c>
      <c r="R85" s="118">
        <v>592</v>
      </c>
      <c r="S85" s="118">
        <v>620</v>
      </c>
      <c r="T85" s="21">
        <v>513</v>
      </c>
      <c r="U85" s="134">
        <v>470</v>
      </c>
      <c r="V85" s="134">
        <v>420</v>
      </c>
      <c r="W85" s="134">
        <v>717</v>
      </c>
      <c r="X85" s="134">
        <v>781</v>
      </c>
      <c r="Y85" s="134">
        <v>903</v>
      </c>
      <c r="Z85" s="139">
        <v>1064</v>
      </c>
      <c r="AA85" s="141"/>
    </row>
    <row r="86" spans="1:27" s="63" customFormat="1" ht="9.75" x14ac:dyDescent="0.2">
      <c r="A86" s="9" t="s">
        <v>68</v>
      </c>
      <c r="B86" s="20">
        <v>101.99411572409285</v>
      </c>
      <c r="C86" s="20">
        <v>111.94762684124387</v>
      </c>
      <c r="D86" s="20">
        <v>88.40864440078586</v>
      </c>
      <c r="E86" s="20">
        <v>64.870177737734465</v>
      </c>
      <c r="F86" s="20">
        <v>57.140605296342997</v>
      </c>
      <c r="G86" s="117">
        <v>56</v>
      </c>
      <c r="H86" s="20">
        <v>79.637040145659782</v>
      </c>
      <c r="I86" s="20">
        <v>109.2156927442505</v>
      </c>
      <c r="J86" s="20">
        <v>146.11962107406129</v>
      </c>
      <c r="K86" s="20">
        <v>164.21004521489317</v>
      </c>
      <c r="L86" s="118">
        <v>161</v>
      </c>
      <c r="M86" s="20">
        <v>170</v>
      </c>
      <c r="N86" s="20">
        <v>179</v>
      </c>
      <c r="O86" s="20">
        <v>253</v>
      </c>
      <c r="P86" s="20">
        <v>295</v>
      </c>
      <c r="Q86" s="20">
        <v>345</v>
      </c>
      <c r="R86" s="20">
        <v>338</v>
      </c>
      <c r="S86" s="21">
        <v>314</v>
      </c>
      <c r="T86" s="21">
        <v>286</v>
      </c>
      <c r="U86" s="134">
        <v>341</v>
      </c>
      <c r="V86" s="134">
        <v>334</v>
      </c>
      <c r="W86" s="134">
        <v>324</v>
      </c>
      <c r="X86" s="134">
        <v>415</v>
      </c>
      <c r="Y86" s="134">
        <v>512</v>
      </c>
      <c r="Z86" s="139">
        <v>1009</v>
      </c>
      <c r="AA86" s="141"/>
    </row>
    <row r="87" spans="1:27" s="63" customFormat="1" ht="9.75" x14ac:dyDescent="0.2">
      <c r="A87" s="9" t="s">
        <v>69</v>
      </c>
      <c r="B87" s="20">
        <v>236.37344846195359</v>
      </c>
      <c r="C87" s="20">
        <v>119.56521739130436</v>
      </c>
      <c r="D87" s="20">
        <v>183.96054073803435</v>
      </c>
      <c r="E87" s="20">
        <v>183.69022245290867</v>
      </c>
      <c r="F87" s="20">
        <v>192.33120990783664</v>
      </c>
      <c r="G87" s="117">
        <v>226</v>
      </c>
      <c r="H87" s="20">
        <v>259.1636900402267</v>
      </c>
      <c r="I87" s="20">
        <v>307.21503546526509</v>
      </c>
      <c r="J87" s="20">
        <v>362.49741342011697</v>
      </c>
      <c r="K87" s="20">
        <v>347.16808157698472</v>
      </c>
      <c r="L87" s="118">
        <v>264</v>
      </c>
      <c r="M87" s="118">
        <v>293</v>
      </c>
      <c r="N87" s="118">
        <v>325</v>
      </c>
      <c r="O87" s="118">
        <v>379</v>
      </c>
      <c r="P87" s="118">
        <v>488</v>
      </c>
      <c r="Q87" s="118">
        <v>560</v>
      </c>
      <c r="R87" s="118">
        <v>355</v>
      </c>
      <c r="S87" s="118">
        <v>437</v>
      </c>
      <c r="T87" s="21">
        <v>348</v>
      </c>
      <c r="U87" s="134">
        <v>460</v>
      </c>
      <c r="V87" s="134">
        <v>535</v>
      </c>
      <c r="W87" s="134">
        <v>593</v>
      </c>
      <c r="X87" s="134">
        <v>604</v>
      </c>
      <c r="Y87" s="134">
        <v>704</v>
      </c>
      <c r="Z87" s="139">
        <v>692</v>
      </c>
      <c r="AA87" s="141"/>
    </row>
    <row r="88" spans="1:27" s="63" customFormat="1" ht="9.75" x14ac:dyDescent="0.2">
      <c r="A88" s="9" t="s">
        <v>70</v>
      </c>
      <c r="B88" s="20">
        <v>156.81680773881499</v>
      </c>
      <c r="C88" s="20">
        <v>167.00239443578732</v>
      </c>
      <c r="D88" s="20">
        <v>142.39221992495595</v>
      </c>
      <c r="E88" s="20">
        <v>162.25465168007773</v>
      </c>
      <c r="F88" s="20">
        <v>138.55260460115161</v>
      </c>
      <c r="G88" s="117">
        <v>158</v>
      </c>
      <c r="H88" s="20">
        <v>177.0710297568549</v>
      </c>
      <c r="I88" s="20">
        <v>242.85097791972279</v>
      </c>
      <c r="J88" s="20">
        <v>258.32092624342749</v>
      </c>
      <c r="K88" s="20">
        <v>268.72435403273397</v>
      </c>
      <c r="L88" s="118">
        <v>272</v>
      </c>
      <c r="M88" s="118">
        <v>264</v>
      </c>
      <c r="N88" s="118">
        <v>271</v>
      </c>
      <c r="O88" s="118">
        <v>281</v>
      </c>
      <c r="P88" s="118">
        <v>321</v>
      </c>
      <c r="Q88" s="118">
        <v>381</v>
      </c>
      <c r="R88" s="118">
        <v>326</v>
      </c>
      <c r="S88" s="118">
        <v>275</v>
      </c>
      <c r="T88" s="21">
        <v>347</v>
      </c>
      <c r="U88" s="134">
        <v>339</v>
      </c>
      <c r="V88" s="134">
        <v>374</v>
      </c>
      <c r="W88" s="134">
        <v>455</v>
      </c>
      <c r="X88" s="134">
        <v>431</v>
      </c>
      <c r="Y88" s="134">
        <v>445</v>
      </c>
      <c r="Z88" s="139">
        <v>415</v>
      </c>
      <c r="AA88" s="141"/>
    </row>
    <row r="89" spans="1:27" s="63" customFormat="1" ht="9.75" x14ac:dyDescent="0.2">
      <c r="A89" s="9" t="s">
        <v>72</v>
      </c>
      <c r="B89" s="20">
        <v>147.23559687863192</v>
      </c>
      <c r="C89" s="20">
        <v>125.73128740012704</v>
      </c>
      <c r="D89" s="20">
        <v>165.48892926845681</v>
      </c>
      <c r="E89" s="20">
        <v>195.2228927600913</v>
      </c>
      <c r="F89" s="20">
        <v>227.22613388514861</v>
      </c>
      <c r="G89" s="117">
        <v>270</v>
      </c>
      <c r="H89" s="20">
        <v>314.45000122490262</v>
      </c>
      <c r="I89" s="20">
        <v>407.95869660170507</v>
      </c>
      <c r="J89" s="20">
        <v>388.59856878893123</v>
      </c>
      <c r="K89" s="20">
        <v>303.80672723973623</v>
      </c>
      <c r="L89" s="118">
        <v>349</v>
      </c>
      <c r="M89" s="118">
        <v>369</v>
      </c>
      <c r="N89" s="118">
        <v>379</v>
      </c>
      <c r="O89" s="118">
        <v>398</v>
      </c>
      <c r="P89" s="118">
        <v>420</v>
      </c>
      <c r="Q89" s="118">
        <v>458</v>
      </c>
      <c r="R89" s="118">
        <v>478</v>
      </c>
      <c r="S89" s="118">
        <v>367</v>
      </c>
      <c r="T89" s="21">
        <v>399</v>
      </c>
      <c r="U89" s="134">
        <v>590</v>
      </c>
      <c r="V89" s="134">
        <v>456</v>
      </c>
      <c r="W89" s="134">
        <v>471</v>
      </c>
      <c r="X89" s="134">
        <v>490</v>
      </c>
      <c r="Y89" s="134">
        <v>573</v>
      </c>
      <c r="Z89" s="139">
        <v>524</v>
      </c>
      <c r="AA89" s="141"/>
    </row>
    <row r="90" spans="1:27" s="63" customFormat="1" ht="9.75" x14ac:dyDescent="0.2">
      <c r="A90" s="9" t="s">
        <v>73</v>
      </c>
      <c r="B90" s="20">
        <v>70.549817739975708</v>
      </c>
      <c r="C90" s="20">
        <v>70.192234050700776</v>
      </c>
      <c r="D90" s="20">
        <v>89.156719588982895</v>
      </c>
      <c r="E90" s="20">
        <v>84.288499025341125</v>
      </c>
      <c r="F90" s="20">
        <v>105.11431575820397</v>
      </c>
      <c r="G90" s="117">
        <v>121</v>
      </c>
      <c r="H90" s="20">
        <v>133.52082436910302</v>
      </c>
      <c r="I90" s="20">
        <v>233.64789737206041</v>
      </c>
      <c r="J90" s="20">
        <v>238.55465813759329</v>
      </c>
      <c r="K90" s="20">
        <v>246.36517275222465</v>
      </c>
      <c r="L90" s="118">
        <v>258</v>
      </c>
      <c r="M90" s="118">
        <v>311</v>
      </c>
      <c r="N90" s="118">
        <v>359</v>
      </c>
      <c r="O90" s="118">
        <v>402</v>
      </c>
      <c r="P90" s="118">
        <v>346</v>
      </c>
      <c r="Q90" s="118">
        <v>382</v>
      </c>
      <c r="R90" s="118">
        <v>378</v>
      </c>
      <c r="S90" s="118">
        <v>404</v>
      </c>
      <c r="T90" s="21">
        <v>411</v>
      </c>
      <c r="U90" s="134">
        <v>427</v>
      </c>
      <c r="V90" s="134">
        <v>463</v>
      </c>
      <c r="W90" s="134">
        <v>507</v>
      </c>
      <c r="X90" s="134">
        <v>532</v>
      </c>
      <c r="Y90" s="134">
        <v>638</v>
      </c>
      <c r="Z90" s="139">
        <v>690</v>
      </c>
      <c r="AA90" s="141"/>
    </row>
    <row r="91" spans="1:27" s="63" customFormat="1" ht="9.75" x14ac:dyDescent="0.2">
      <c r="A91" s="9" t="s">
        <v>74</v>
      </c>
      <c r="B91" s="20">
        <v>114.36215246029327</v>
      </c>
      <c r="C91" s="20">
        <v>134.98293515358361</v>
      </c>
      <c r="D91" s="20">
        <v>159.45071585903085</v>
      </c>
      <c r="E91" s="20">
        <v>178.05416404890443</v>
      </c>
      <c r="F91" s="20">
        <v>204.38737518147283</v>
      </c>
      <c r="G91" s="117">
        <v>227</v>
      </c>
      <c r="H91" s="20">
        <v>287.52096767848008</v>
      </c>
      <c r="I91" s="20">
        <v>363.04644256525512</v>
      </c>
      <c r="J91" s="20">
        <v>382.64488927377738</v>
      </c>
      <c r="K91" s="20">
        <v>383.18194547009534</v>
      </c>
      <c r="L91" s="118">
        <v>362</v>
      </c>
      <c r="M91" s="118">
        <v>393</v>
      </c>
      <c r="N91" s="118">
        <v>395</v>
      </c>
      <c r="O91" s="118">
        <v>399</v>
      </c>
      <c r="P91" s="118">
        <v>403</v>
      </c>
      <c r="Q91" s="118">
        <v>369</v>
      </c>
      <c r="R91" s="118">
        <v>402</v>
      </c>
      <c r="S91" s="118">
        <v>371</v>
      </c>
      <c r="T91" s="21">
        <v>239</v>
      </c>
      <c r="U91" s="134">
        <v>288</v>
      </c>
      <c r="V91" s="134">
        <v>313</v>
      </c>
      <c r="W91" s="134">
        <v>322</v>
      </c>
      <c r="X91" s="134">
        <v>306</v>
      </c>
      <c r="Y91" s="134">
        <v>353</v>
      </c>
      <c r="Z91" s="139">
        <v>368</v>
      </c>
      <c r="AA91" s="141"/>
    </row>
    <row r="92" spans="1:27" s="63" customFormat="1" ht="12.75" customHeight="1" x14ac:dyDescent="0.2">
      <c r="A92" s="9" t="s">
        <v>75</v>
      </c>
      <c r="B92" s="20">
        <v>185.60452891225231</v>
      </c>
      <c r="C92" s="20">
        <v>148.09346277361485</v>
      </c>
      <c r="D92" s="20">
        <v>154.91338056905442</v>
      </c>
      <c r="E92" s="20">
        <v>211.20438714364619</v>
      </c>
      <c r="F92" s="20">
        <v>263.85085928490986</v>
      </c>
      <c r="G92" s="117">
        <v>265</v>
      </c>
      <c r="H92" s="20">
        <v>404.82470170017325</v>
      </c>
      <c r="I92" s="20">
        <v>481.93527239154002</v>
      </c>
      <c r="J92" s="20">
        <v>526.18748405506801</v>
      </c>
      <c r="K92" s="20">
        <v>457.95909174961838</v>
      </c>
      <c r="L92" s="118">
        <v>518</v>
      </c>
      <c r="M92" s="118">
        <v>562</v>
      </c>
      <c r="N92" s="118">
        <v>582</v>
      </c>
      <c r="O92" s="118">
        <v>633</v>
      </c>
      <c r="P92" s="118">
        <v>839</v>
      </c>
      <c r="Q92" s="118">
        <v>937</v>
      </c>
      <c r="R92" s="118">
        <v>797</v>
      </c>
      <c r="S92" s="118">
        <v>619</v>
      </c>
      <c r="T92" s="21">
        <v>620</v>
      </c>
      <c r="U92" s="134">
        <v>626</v>
      </c>
      <c r="V92" s="134">
        <v>693</v>
      </c>
      <c r="W92" s="134">
        <v>716</v>
      </c>
      <c r="X92" s="134">
        <v>802</v>
      </c>
      <c r="Y92" s="134">
        <v>1080</v>
      </c>
      <c r="Z92" s="139">
        <v>943</v>
      </c>
      <c r="AA92" s="141"/>
    </row>
    <row r="93" spans="1:27" s="63" customFormat="1" ht="9.75" x14ac:dyDescent="0.2">
      <c r="A93" s="9" t="s">
        <v>76</v>
      </c>
      <c r="B93" s="20">
        <v>119.1047162270184</v>
      </c>
      <c r="C93" s="20">
        <v>82.431149097815762</v>
      </c>
      <c r="D93" s="20">
        <v>110.11462279986571</v>
      </c>
      <c r="E93" s="20">
        <v>154.16061675874155</v>
      </c>
      <c r="F93" s="20">
        <v>254.67158914288621</v>
      </c>
      <c r="G93" s="117">
        <v>373</v>
      </c>
      <c r="H93" s="20">
        <v>450.79448796761841</v>
      </c>
      <c r="I93" s="20">
        <v>552.37338399007956</v>
      </c>
      <c r="J93" s="20">
        <v>510.27303149003041</v>
      </c>
      <c r="K93" s="20">
        <v>304.75614975954886</v>
      </c>
      <c r="L93" s="118">
        <v>357</v>
      </c>
      <c r="M93" s="118">
        <v>424</v>
      </c>
      <c r="N93" s="118">
        <v>375</v>
      </c>
      <c r="O93" s="118">
        <v>420</v>
      </c>
      <c r="P93" s="118">
        <v>431</v>
      </c>
      <c r="Q93" s="118">
        <v>399</v>
      </c>
      <c r="R93" s="118">
        <v>394</v>
      </c>
      <c r="S93" s="118">
        <v>235</v>
      </c>
      <c r="T93" s="21">
        <v>270</v>
      </c>
      <c r="U93" s="134">
        <v>281</v>
      </c>
      <c r="V93" s="134">
        <v>286</v>
      </c>
      <c r="W93" s="134">
        <v>343</v>
      </c>
      <c r="X93" s="134">
        <v>376</v>
      </c>
      <c r="Y93" s="134">
        <v>407</v>
      </c>
      <c r="Z93" s="139">
        <v>480</v>
      </c>
      <c r="AA93" s="141"/>
    </row>
    <row r="94" spans="1:27" s="63" customFormat="1" ht="9.75" x14ac:dyDescent="0.2">
      <c r="A94" s="9" t="s">
        <v>77</v>
      </c>
      <c r="B94" s="20">
        <v>194.29978221759302</v>
      </c>
      <c r="C94" s="20">
        <v>197.6235741444867</v>
      </c>
      <c r="D94" s="20">
        <v>203.97060227164263</v>
      </c>
      <c r="E94" s="20">
        <v>226.44675381522944</v>
      </c>
      <c r="F94" s="20">
        <v>287.53863830676204</v>
      </c>
      <c r="G94" s="117">
        <v>312</v>
      </c>
      <c r="H94" s="20">
        <v>365.8376950564533</v>
      </c>
      <c r="I94" s="20">
        <v>432.13280178786653</v>
      </c>
      <c r="J94" s="20">
        <v>509.27433267082318</v>
      </c>
      <c r="K94" s="20">
        <v>418.48315062304272</v>
      </c>
      <c r="L94" s="118">
        <v>418</v>
      </c>
      <c r="M94" s="118">
        <v>435</v>
      </c>
      <c r="N94" s="118">
        <v>462</v>
      </c>
      <c r="O94" s="118">
        <v>498</v>
      </c>
      <c r="P94" s="118">
        <v>578</v>
      </c>
      <c r="Q94" s="118">
        <v>651</v>
      </c>
      <c r="R94" s="118">
        <v>445</v>
      </c>
      <c r="S94" s="118">
        <v>444</v>
      </c>
      <c r="T94" s="21">
        <v>407</v>
      </c>
      <c r="U94" s="134">
        <v>408</v>
      </c>
      <c r="V94" s="134">
        <v>422</v>
      </c>
      <c r="W94" s="134">
        <v>448</v>
      </c>
      <c r="X94" s="134">
        <v>344</v>
      </c>
      <c r="Y94" s="134">
        <v>511</v>
      </c>
      <c r="Z94" s="139">
        <v>526</v>
      </c>
      <c r="AA94" s="141"/>
    </row>
    <row r="95" spans="1:27" s="63" customFormat="1" ht="18" x14ac:dyDescent="0.15">
      <c r="A95" s="8" t="s">
        <v>144</v>
      </c>
      <c r="B95" s="26">
        <v>115.11799898448021</v>
      </c>
      <c r="C95" s="26">
        <v>129.27297913222219</v>
      </c>
      <c r="D95" s="26">
        <v>116.3016591933316</v>
      </c>
      <c r="E95" s="26">
        <v>125.4572071864023</v>
      </c>
      <c r="F95" s="26">
        <v>135.2343765025002</v>
      </c>
      <c r="G95" s="26">
        <v>147.2311333353808</v>
      </c>
      <c r="H95" s="26">
        <v>174.67924870893208</v>
      </c>
      <c r="I95" s="26">
        <v>213.08059587403642</v>
      </c>
      <c r="J95" s="26">
        <v>235.9719078124709</v>
      </c>
      <c r="K95" s="26">
        <v>242.02377842583908</v>
      </c>
      <c r="L95" s="22">
        <v>261.85616585059103</v>
      </c>
      <c r="M95" s="120">
        <v>302</v>
      </c>
      <c r="N95" s="120">
        <v>317</v>
      </c>
      <c r="O95" s="120">
        <v>344</v>
      </c>
      <c r="P95" s="120">
        <v>389</v>
      </c>
      <c r="Q95" s="120">
        <v>350</v>
      </c>
      <c r="R95" s="120">
        <v>344</v>
      </c>
      <c r="S95" s="120">
        <v>308</v>
      </c>
      <c r="T95" s="22">
        <v>280</v>
      </c>
      <c r="U95" s="133">
        <v>311</v>
      </c>
      <c r="V95" s="133">
        <v>318</v>
      </c>
      <c r="W95" s="133">
        <v>390</v>
      </c>
      <c r="X95" s="133">
        <v>450</v>
      </c>
      <c r="Y95" s="133">
        <v>568</v>
      </c>
      <c r="Z95" s="105">
        <v>595</v>
      </c>
      <c r="AA95" s="141"/>
    </row>
    <row r="96" spans="1:27" s="63" customFormat="1" ht="9.75" x14ac:dyDescent="0.2">
      <c r="A96" s="9" t="s">
        <v>67</v>
      </c>
      <c r="B96" s="20">
        <v>170.14686781896296</v>
      </c>
      <c r="C96" s="20">
        <v>185.06198971877836</v>
      </c>
      <c r="D96" s="20">
        <v>188.02115110839947</v>
      </c>
      <c r="E96" s="20">
        <v>188.31562927612086</v>
      </c>
      <c r="F96" s="20">
        <v>202.30720678304814</v>
      </c>
      <c r="G96" s="117">
        <v>208</v>
      </c>
      <c r="H96" s="20">
        <v>225.11048430853597</v>
      </c>
      <c r="I96" s="20">
        <v>280.45257957297832</v>
      </c>
      <c r="J96" s="20">
        <v>318.05324907130938</v>
      </c>
      <c r="K96" s="20">
        <v>256.2579725563308</v>
      </c>
      <c r="L96" s="118">
        <v>280</v>
      </c>
      <c r="M96" s="118">
        <v>313</v>
      </c>
      <c r="N96" s="118">
        <v>349</v>
      </c>
      <c r="O96" s="118">
        <v>391</v>
      </c>
      <c r="P96" s="118">
        <v>420</v>
      </c>
      <c r="Q96" s="118">
        <v>424</v>
      </c>
      <c r="R96" s="118">
        <v>342</v>
      </c>
      <c r="S96" s="118">
        <v>274</v>
      </c>
      <c r="T96" s="21">
        <v>253</v>
      </c>
      <c r="U96" s="134">
        <v>273</v>
      </c>
      <c r="V96" s="134">
        <v>281</v>
      </c>
      <c r="W96" s="134">
        <v>285</v>
      </c>
      <c r="X96" s="134">
        <v>299</v>
      </c>
      <c r="Y96" s="134">
        <v>482</v>
      </c>
      <c r="Z96" s="139">
        <v>549</v>
      </c>
      <c r="AA96" s="141"/>
    </row>
    <row r="97" spans="1:27" s="63" customFormat="1" ht="9.75" x14ac:dyDescent="0.2">
      <c r="A97" s="9" t="s">
        <v>78</v>
      </c>
      <c r="B97" s="20">
        <v>257.5</v>
      </c>
      <c r="C97" s="20">
        <v>372.55107386066004</v>
      </c>
      <c r="D97" s="20">
        <v>262.70918850647303</v>
      </c>
      <c r="E97" s="20">
        <v>276.3082770288064</v>
      </c>
      <c r="F97" s="20">
        <v>252.00484673208143</v>
      </c>
      <c r="G97" s="117">
        <v>273</v>
      </c>
      <c r="H97" s="20">
        <v>301.91175885583402</v>
      </c>
      <c r="I97" s="20">
        <v>334.40764312584463</v>
      </c>
      <c r="J97" s="20">
        <v>303.49757744456917</v>
      </c>
      <c r="K97" s="20">
        <v>306.20008202906081</v>
      </c>
      <c r="L97" s="118">
        <v>316</v>
      </c>
      <c r="M97" s="21">
        <v>333</v>
      </c>
      <c r="N97" s="21">
        <v>372</v>
      </c>
      <c r="O97" s="21">
        <v>437</v>
      </c>
      <c r="P97" s="21">
        <v>495</v>
      </c>
      <c r="Q97" s="21">
        <v>569</v>
      </c>
      <c r="R97" s="21">
        <v>643</v>
      </c>
      <c r="S97" s="21">
        <v>655</v>
      </c>
      <c r="T97" s="21">
        <v>547</v>
      </c>
      <c r="U97" s="134">
        <v>577</v>
      </c>
      <c r="V97" s="134">
        <v>540</v>
      </c>
      <c r="W97" s="134">
        <v>582</v>
      </c>
      <c r="X97" s="134">
        <v>585</v>
      </c>
      <c r="Y97" s="134">
        <v>705</v>
      </c>
      <c r="Z97" s="139">
        <v>749</v>
      </c>
      <c r="AA97" s="141"/>
    </row>
    <row r="98" spans="1:27" s="63" customFormat="1" ht="9.75" x14ac:dyDescent="0.2">
      <c r="A98" s="9" t="s">
        <v>71</v>
      </c>
      <c r="B98" s="20">
        <v>63.079777365491651</v>
      </c>
      <c r="C98" s="20">
        <v>79.003497995051617</v>
      </c>
      <c r="D98" s="20">
        <v>70.232959447799843</v>
      </c>
      <c r="E98" s="20">
        <v>88.703697410601393</v>
      </c>
      <c r="F98" s="20">
        <v>129.29219773004738</v>
      </c>
      <c r="G98" s="117">
        <v>116</v>
      </c>
      <c r="H98" s="20">
        <v>159.93066692875044</v>
      </c>
      <c r="I98" s="20">
        <v>209.01992381147426</v>
      </c>
      <c r="J98" s="20">
        <v>232.90645824570822</v>
      </c>
      <c r="K98" s="20">
        <v>242.63265902312182</v>
      </c>
      <c r="L98" s="118">
        <v>248</v>
      </c>
      <c r="M98" s="118">
        <v>252</v>
      </c>
      <c r="N98" s="118">
        <v>278</v>
      </c>
      <c r="O98" s="118">
        <v>272</v>
      </c>
      <c r="P98" s="118">
        <v>328</v>
      </c>
      <c r="Q98" s="118">
        <v>220</v>
      </c>
      <c r="R98" s="118">
        <v>275</v>
      </c>
      <c r="S98" s="118">
        <v>257</v>
      </c>
      <c r="T98" s="21">
        <v>179</v>
      </c>
      <c r="U98" s="134">
        <v>210</v>
      </c>
      <c r="V98" s="134">
        <v>177</v>
      </c>
      <c r="W98" s="134">
        <v>203</v>
      </c>
      <c r="X98" s="134">
        <v>284</v>
      </c>
      <c r="Y98" s="134">
        <v>385</v>
      </c>
      <c r="Z98" s="139">
        <v>463</v>
      </c>
      <c r="AA98" s="141"/>
    </row>
    <row r="99" spans="1:27" s="63" customFormat="1" ht="9.75" x14ac:dyDescent="0.2">
      <c r="A99" s="9" t="s">
        <v>79</v>
      </c>
      <c r="B99" s="20">
        <v>20.303194369247429</v>
      </c>
      <c r="C99" s="20">
        <v>28.296703296703299</v>
      </c>
      <c r="D99" s="20">
        <v>39.466370205669818</v>
      </c>
      <c r="E99" s="20">
        <v>35.289401322364448</v>
      </c>
      <c r="F99" s="20">
        <v>47.809820597968375</v>
      </c>
      <c r="G99" s="117">
        <v>38</v>
      </c>
      <c r="H99" s="20">
        <v>94.395598468094292</v>
      </c>
      <c r="I99" s="20">
        <v>63.756341478964956</v>
      </c>
      <c r="J99" s="20">
        <v>194.14264891414854</v>
      </c>
      <c r="K99" s="20">
        <v>195.26671026492107</v>
      </c>
      <c r="L99" s="118">
        <v>179</v>
      </c>
      <c r="M99" s="118">
        <v>215</v>
      </c>
      <c r="N99" s="118">
        <v>228</v>
      </c>
      <c r="O99" s="118">
        <v>261</v>
      </c>
      <c r="P99" s="118">
        <v>281</v>
      </c>
      <c r="Q99" s="118">
        <v>235</v>
      </c>
      <c r="R99" s="118">
        <v>246</v>
      </c>
      <c r="S99" s="118">
        <v>220</v>
      </c>
      <c r="T99" s="21">
        <v>118</v>
      </c>
      <c r="U99" s="134">
        <v>150</v>
      </c>
      <c r="V99" s="134">
        <v>231</v>
      </c>
      <c r="W99" s="134">
        <v>205</v>
      </c>
      <c r="X99" s="134">
        <v>232</v>
      </c>
      <c r="Y99" s="134">
        <v>301</v>
      </c>
      <c r="Z99" s="139">
        <v>283</v>
      </c>
      <c r="AA99" s="141"/>
    </row>
    <row r="100" spans="1:27" s="63" customFormat="1" ht="9.75" x14ac:dyDescent="0.2">
      <c r="A100" s="9" t="s">
        <v>80</v>
      </c>
      <c r="B100" s="20">
        <v>89.829633453794543</v>
      </c>
      <c r="C100" s="20">
        <v>104.98787504160525</v>
      </c>
      <c r="D100" s="20">
        <v>84.469058511919101</v>
      </c>
      <c r="E100" s="20">
        <v>104.76383917681667</v>
      </c>
      <c r="F100" s="20">
        <v>105.56890701351351</v>
      </c>
      <c r="G100" s="117">
        <v>122</v>
      </c>
      <c r="H100" s="20">
        <v>160.19559882616676</v>
      </c>
      <c r="I100" s="20">
        <v>184.92314116186398</v>
      </c>
      <c r="J100" s="20">
        <v>190.22070973505404</v>
      </c>
      <c r="K100" s="20">
        <v>202.80676429177743</v>
      </c>
      <c r="L100" s="118">
        <v>273</v>
      </c>
      <c r="M100" s="118">
        <v>303</v>
      </c>
      <c r="N100" s="118">
        <v>314</v>
      </c>
      <c r="O100" s="118">
        <v>317</v>
      </c>
      <c r="P100" s="118">
        <v>348</v>
      </c>
      <c r="Q100" s="118">
        <v>259</v>
      </c>
      <c r="R100" s="118">
        <v>257</v>
      </c>
      <c r="S100" s="118">
        <v>216</v>
      </c>
      <c r="T100" s="21">
        <v>284</v>
      </c>
      <c r="U100" s="134">
        <v>297</v>
      </c>
      <c r="V100" s="134">
        <v>348</v>
      </c>
      <c r="W100" s="134">
        <v>479</v>
      </c>
      <c r="X100" s="134">
        <v>570</v>
      </c>
      <c r="Y100" s="134">
        <v>667</v>
      </c>
      <c r="Z100" s="139">
        <v>725</v>
      </c>
      <c r="AA100" s="141"/>
    </row>
    <row r="101" spans="1:27" s="63" customFormat="1" ht="9.75" x14ac:dyDescent="0.2">
      <c r="A101" s="9" t="s">
        <v>81</v>
      </c>
      <c r="B101" s="20">
        <v>101.43840752607539</v>
      </c>
      <c r="C101" s="20">
        <v>89.194769442532689</v>
      </c>
      <c r="D101" s="20">
        <v>94.570198583530058</v>
      </c>
      <c r="E101" s="20">
        <v>98.229552641568091</v>
      </c>
      <c r="F101" s="20">
        <v>128.54493953837581</v>
      </c>
      <c r="G101" s="117">
        <v>140</v>
      </c>
      <c r="H101" s="20">
        <v>149.91846219182108</v>
      </c>
      <c r="I101" s="20">
        <v>195.8197132545192</v>
      </c>
      <c r="J101" s="20">
        <v>224.6144635749842</v>
      </c>
      <c r="K101" s="20">
        <v>280.70414523736162</v>
      </c>
      <c r="L101" s="118">
        <v>234</v>
      </c>
      <c r="M101" s="118">
        <v>300</v>
      </c>
      <c r="N101" s="118">
        <v>257</v>
      </c>
      <c r="O101" s="118">
        <v>243</v>
      </c>
      <c r="P101" s="118">
        <v>332</v>
      </c>
      <c r="Q101" s="118">
        <v>337</v>
      </c>
      <c r="R101" s="118">
        <v>275</v>
      </c>
      <c r="S101" s="118">
        <v>203</v>
      </c>
      <c r="T101" s="21">
        <v>207</v>
      </c>
      <c r="U101" s="134">
        <v>224</v>
      </c>
      <c r="V101" s="134">
        <v>176</v>
      </c>
      <c r="W101" s="134">
        <v>258</v>
      </c>
      <c r="X101" s="134">
        <v>290</v>
      </c>
      <c r="Y101" s="134">
        <v>451</v>
      </c>
      <c r="Z101" s="139">
        <v>413</v>
      </c>
      <c r="AA101" s="141"/>
    </row>
    <row r="102" spans="1:27" s="63" customFormat="1" ht="9.75" x14ac:dyDescent="0.2">
      <c r="A102" s="9" t="s">
        <v>82</v>
      </c>
      <c r="B102" s="20">
        <v>130.74357042935543</v>
      </c>
      <c r="C102" s="20">
        <v>110.88094199738335</v>
      </c>
      <c r="D102" s="20">
        <v>125.35864047671593</v>
      </c>
      <c r="E102" s="20">
        <v>116.27750969351932</v>
      </c>
      <c r="F102" s="20">
        <v>90.929730956975817</v>
      </c>
      <c r="G102" s="117">
        <v>144</v>
      </c>
      <c r="H102" s="20">
        <v>161.95770169634918</v>
      </c>
      <c r="I102" s="20">
        <v>199.4345028770492</v>
      </c>
      <c r="J102" s="20">
        <v>219.70605255121623</v>
      </c>
      <c r="K102" s="20">
        <v>178.75770564006851</v>
      </c>
      <c r="L102" s="118">
        <v>200</v>
      </c>
      <c r="M102" s="118">
        <v>292</v>
      </c>
      <c r="N102" s="118">
        <v>388</v>
      </c>
      <c r="O102" s="118">
        <v>448</v>
      </c>
      <c r="P102" s="118">
        <v>425</v>
      </c>
      <c r="Q102" s="118">
        <v>325</v>
      </c>
      <c r="R102" s="118">
        <v>277</v>
      </c>
      <c r="S102" s="118">
        <v>229</v>
      </c>
      <c r="T102" s="21">
        <v>201</v>
      </c>
      <c r="U102" s="134">
        <v>261</v>
      </c>
      <c r="V102" s="134">
        <v>201</v>
      </c>
      <c r="W102" s="134">
        <v>294</v>
      </c>
      <c r="X102" s="134">
        <v>498</v>
      </c>
      <c r="Y102" s="134">
        <v>659</v>
      </c>
      <c r="Z102" s="139">
        <v>674</v>
      </c>
      <c r="AA102" s="141"/>
    </row>
    <row r="103" spans="1:27" s="63" customFormat="1" ht="9.75" x14ac:dyDescent="0.2">
      <c r="A103" s="9" t="s">
        <v>83</v>
      </c>
      <c r="B103" s="20">
        <v>31.313131313131315</v>
      </c>
      <c r="C103" s="20">
        <v>36.72612801678909</v>
      </c>
      <c r="D103" s="20">
        <v>13.550135501355014</v>
      </c>
      <c r="E103" s="20">
        <v>39.455185022589482</v>
      </c>
      <c r="F103" s="20">
        <v>21.590541070322661</v>
      </c>
      <c r="G103" s="117">
        <v>52</v>
      </c>
      <c r="H103" s="20">
        <v>81.826267417729028</v>
      </c>
      <c r="I103" s="20">
        <v>89.455169662608952</v>
      </c>
      <c r="J103" s="20">
        <v>92.327578247622569</v>
      </c>
      <c r="K103" s="20">
        <v>97.517675078607994</v>
      </c>
      <c r="L103" s="118">
        <v>101</v>
      </c>
      <c r="M103" s="118">
        <v>117</v>
      </c>
      <c r="N103" s="118">
        <v>131</v>
      </c>
      <c r="O103" s="118">
        <v>101</v>
      </c>
      <c r="P103" s="118">
        <v>87</v>
      </c>
      <c r="Q103" s="118">
        <v>141</v>
      </c>
      <c r="R103" s="118">
        <v>37</v>
      </c>
      <c r="S103" s="118">
        <v>45</v>
      </c>
      <c r="T103" s="21">
        <v>30</v>
      </c>
      <c r="U103" s="134">
        <v>53</v>
      </c>
      <c r="V103" s="134">
        <v>65</v>
      </c>
      <c r="W103" s="134">
        <v>78</v>
      </c>
      <c r="X103" s="134">
        <v>85</v>
      </c>
      <c r="Y103" s="134">
        <v>89</v>
      </c>
      <c r="Z103" s="139">
        <v>71</v>
      </c>
      <c r="AA103" s="141"/>
    </row>
    <row r="104" spans="1:27" s="63" customFormat="1" ht="9.75" x14ac:dyDescent="0.2">
      <c r="A104" s="9" t="s">
        <v>84</v>
      </c>
      <c r="B104" s="20">
        <v>117.60538434289764</v>
      </c>
      <c r="C104" s="20">
        <v>69.052328717856497</v>
      </c>
      <c r="D104" s="20">
        <v>77.652205614290921</v>
      </c>
      <c r="E104" s="20">
        <v>79.128111740726013</v>
      </c>
      <c r="F104" s="20">
        <v>110.06979212372821</v>
      </c>
      <c r="G104" s="117">
        <v>84</v>
      </c>
      <c r="H104" s="20">
        <v>127.20211410686912</v>
      </c>
      <c r="I104" s="20">
        <v>206.4887526202171</v>
      </c>
      <c r="J104" s="20">
        <v>293.61307751464119</v>
      </c>
      <c r="K104" s="20">
        <v>327.37811277549849</v>
      </c>
      <c r="L104" s="118">
        <v>404</v>
      </c>
      <c r="M104" s="118">
        <v>483</v>
      </c>
      <c r="N104" s="118">
        <v>437</v>
      </c>
      <c r="O104" s="118">
        <v>597</v>
      </c>
      <c r="P104" s="118">
        <v>630</v>
      </c>
      <c r="Q104" s="118">
        <v>652</v>
      </c>
      <c r="R104" s="118">
        <v>700</v>
      </c>
      <c r="S104" s="118">
        <v>728</v>
      </c>
      <c r="T104" s="21">
        <v>555</v>
      </c>
      <c r="U104" s="134">
        <v>698</v>
      </c>
      <c r="V104" s="134">
        <v>933</v>
      </c>
      <c r="W104" s="134">
        <v>1076</v>
      </c>
      <c r="X104" s="134">
        <v>1088</v>
      </c>
      <c r="Y104" s="134">
        <v>1117</v>
      </c>
      <c r="Z104" s="139">
        <v>1012</v>
      </c>
      <c r="AA104" s="141"/>
    </row>
    <row r="105" spans="1:27" s="63" customFormat="1" ht="19.5" x14ac:dyDescent="0.2">
      <c r="A105" s="9" t="s">
        <v>85</v>
      </c>
      <c r="B105" s="20">
        <v>41.194644696189499</v>
      </c>
      <c r="C105" s="20">
        <v>39.480519480519476</v>
      </c>
      <c r="D105" s="20">
        <v>87.343096234309627</v>
      </c>
      <c r="E105" s="20">
        <v>55.409263373421496</v>
      </c>
      <c r="F105" s="20">
        <v>56.657829470623447</v>
      </c>
      <c r="G105" s="117">
        <v>88</v>
      </c>
      <c r="H105" s="20">
        <v>116.87872862531782</v>
      </c>
      <c r="I105" s="20">
        <v>167.54347753241967</v>
      </c>
      <c r="J105" s="20">
        <v>220.81488538922827</v>
      </c>
      <c r="K105" s="20">
        <v>274.42864855137663</v>
      </c>
      <c r="L105" s="118">
        <v>297</v>
      </c>
      <c r="M105" s="118">
        <v>303</v>
      </c>
      <c r="N105" s="118">
        <v>313</v>
      </c>
      <c r="O105" s="118">
        <v>371</v>
      </c>
      <c r="P105" s="118">
        <v>620</v>
      </c>
      <c r="Q105" s="118">
        <v>361</v>
      </c>
      <c r="R105" s="118">
        <v>466</v>
      </c>
      <c r="S105" s="118">
        <v>314</v>
      </c>
      <c r="T105" s="21">
        <v>176</v>
      </c>
      <c r="U105" s="134">
        <v>150</v>
      </c>
      <c r="V105" s="134">
        <v>92</v>
      </c>
      <c r="W105" s="134">
        <v>198</v>
      </c>
      <c r="X105" s="134">
        <v>170</v>
      </c>
      <c r="Y105" s="134">
        <v>175</v>
      </c>
      <c r="Z105" s="139">
        <v>269</v>
      </c>
      <c r="AA105" s="141"/>
    </row>
    <row r="106" spans="1:27" s="63" customFormat="1" ht="12.6" customHeight="1" thickBot="1" x14ac:dyDescent="0.25">
      <c r="A106" s="71" t="s">
        <v>86</v>
      </c>
      <c r="B106" s="64">
        <v>13.422818791946309</v>
      </c>
      <c r="C106" s="64">
        <v>177.3049645390071</v>
      </c>
      <c r="D106" s="64">
        <v>232.47232472324723</v>
      </c>
      <c r="E106" s="64">
        <v>371.1811173503379</v>
      </c>
      <c r="F106" s="64">
        <v>478.08150518564219</v>
      </c>
      <c r="G106" s="127">
        <v>455</v>
      </c>
      <c r="H106" s="64">
        <v>125.35136367089569</v>
      </c>
      <c r="I106" s="64">
        <v>124.83686092038812</v>
      </c>
      <c r="J106" s="64">
        <v>30.486643039518313</v>
      </c>
      <c r="K106" s="64">
        <v>77.43234348987572</v>
      </c>
      <c r="L106" s="127">
        <v>6</v>
      </c>
      <c r="M106" s="127">
        <v>44</v>
      </c>
      <c r="N106" s="127">
        <v>24</v>
      </c>
      <c r="O106" s="127">
        <v>8</v>
      </c>
      <c r="P106" s="127">
        <v>36</v>
      </c>
      <c r="Q106" s="127">
        <v>44</v>
      </c>
      <c r="R106" s="127">
        <v>51</v>
      </c>
      <c r="S106" s="127">
        <v>85</v>
      </c>
      <c r="T106" s="64">
        <v>37</v>
      </c>
      <c r="U106" s="135">
        <v>27</v>
      </c>
      <c r="V106" s="135">
        <v>35</v>
      </c>
      <c r="W106" s="135">
        <v>63</v>
      </c>
      <c r="X106" s="135">
        <v>74</v>
      </c>
      <c r="Y106" s="135">
        <v>130</v>
      </c>
      <c r="Z106" s="144">
        <v>129</v>
      </c>
      <c r="AA106" s="141"/>
    </row>
    <row r="107" spans="1:2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Z107" s="12"/>
      <c r="AA107" s="12"/>
    </row>
    <row r="108" spans="1:2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Z108" s="12"/>
      <c r="AA108" s="1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3">
    <tabColor rgb="FFC7E6A4"/>
  </sheetPr>
  <dimension ref="A1:Z106"/>
  <sheetViews>
    <sheetView zoomScale="80" zoomScaleNormal="80" workbookViewId="0">
      <pane ySplit="7" topLeftCell="A8" activePane="bottomLeft" state="frozen"/>
      <selection sqref="A1:T1"/>
      <selection pane="bottomLeft" activeCell="Z7" sqref="Z7"/>
    </sheetView>
  </sheetViews>
  <sheetFormatPr defaultColWidth="9.140625" defaultRowHeight="15" x14ac:dyDescent="0.25"/>
  <cols>
    <col min="1" max="1" width="18.42578125" style="1" customWidth="1"/>
    <col min="2" max="22" width="9.140625" style="1"/>
    <col min="23" max="24" width="10.28515625" style="1" bestFit="1" customWidth="1"/>
    <col min="25" max="26" width="9.140625" style="12"/>
    <col min="27" max="16384" width="9.140625" style="1"/>
  </cols>
  <sheetData>
    <row r="1" spans="1:26" ht="30" customHeight="1" x14ac:dyDescent="0.25"/>
    <row r="2" spans="1:26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5">
      <c r="A5" s="11" t="s">
        <v>215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6" ht="15.75" thickBot="1" x14ac:dyDescent="0.3">
      <c r="A6" s="11" t="s">
        <v>216</v>
      </c>
      <c r="B6" s="11"/>
      <c r="C6" s="11"/>
      <c r="D6" s="11"/>
      <c r="E6" s="11"/>
      <c r="F6" s="11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6" ht="15.75" thickBot="1" x14ac:dyDescent="0.3">
      <c r="A7" s="28"/>
      <c r="B7" s="167">
        <v>2000</v>
      </c>
      <c r="C7" s="167">
        <v>2001</v>
      </c>
      <c r="D7" s="167">
        <v>2002</v>
      </c>
      <c r="E7" s="167">
        <v>2003</v>
      </c>
      <c r="F7" s="2">
        <v>2004</v>
      </c>
      <c r="G7" s="2">
        <v>2005</v>
      </c>
      <c r="H7" s="2">
        <v>2006</v>
      </c>
      <c r="I7" s="2">
        <v>2007</v>
      </c>
      <c r="J7" s="2">
        <v>2008</v>
      </c>
      <c r="K7" s="2">
        <v>2009</v>
      </c>
      <c r="L7" s="2">
        <v>2010</v>
      </c>
      <c r="M7" s="2">
        <v>2011</v>
      </c>
      <c r="N7" s="2">
        <v>2012</v>
      </c>
      <c r="O7" s="2">
        <v>2013</v>
      </c>
      <c r="P7" s="2">
        <v>2014</v>
      </c>
      <c r="Q7" s="2">
        <v>2015</v>
      </c>
      <c r="R7" s="2">
        <v>2016</v>
      </c>
      <c r="S7" s="2">
        <v>2017</v>
      </c>
      <c r="T7" s="2">
        <v>2018</v>
      </c>
      <c r="U7" s="2">
        <v>2019</v>
      </c>
      <c r="V7" s="2">
        <v>2020</v>
      </c>
      <c r="W7" s="2">
        <v>2021</v>
      </c>
      <c r="X7" s="2">
        <v>2022</v>
      </c>
      <c r="Y7" s="2">
        <v>2023</v>
      </c>
      <c r="Z7" s="2">
        <v>2024</v>
      </c>
    </row>
    <row r="8" spans="1:26" x14ac:dyDescent="0.25">
      <c r="A8" s="38" t="s">
        <v>0</v>
      </c>
      <c r="B8" s="42">
        <v>373363</v>
      </c>
      <c r="C8" s="120">
        <v>381552</v>
      </c>
      <c r="D8" s="42">
        <v>396407</v>
      </c>
      <c r="E8" s="42">
        <v>426871</v>
      </c>
      <c r="F8" s="42">
        <v>477449</v>
      </c>
      <c r="G8" s="120">
        <v>515304</v>
      </c>
      <c r="H8" s="120">
        <v>608555</v>
      </c>
      <c r="I8" s="120">
        <v>722453</v>
      </c>
      <c r="J8" s="120">
        <v>768106</v>
      </c>
      <c r="K8" s="120">
        <v>701857</v>
      </c>
      <c r="L8" s="120">
        <v>716930</v>
      </c>
      <c r="M8" s="120">
        <v>785561</v>
      </c>
      <c r="N8" s="120">
        <v>838029</v>
      </c>
      <c r="O8" s="120">
        <v>929371</v>
      </c>
      <c r="P8" s="120">
        <v>1124446</v>
      </c>
      <c r="Q8" s="120">
        <v>1195042</v>
      </c>
      <c r="R8" s="120">
        <v>1167142</v>
      </c>
      <c r="S8" s="126">
        <v>1138997</v>
      </c>
      <c r="T8" s="120">
        <v>1075741</v>
      </c>
      <c r="U8" s="113">
        <v>1120333</v>
      </c>
      <c r="V8" s="116">
        <v>1121601</v>
      </c>
      <c r="W8" s="116">
        <v>1204647</v>
      </c>
      <c r="X8" s="140">
        <v>1290006.2368421052</v>
      </c>
      <c r="Y8" s="140">
        <v>1449403.7894736843</v>
      </c>
      <c r="Z8" s="140">
        <v>1358860.1315789474</v>
      </c>
    </row>
    <row r="9" spans="1:26" ht="22.5" customHeight="1" x14ac:dyDescent="0.25">
      <c r="A9" s="17" t="s">
        <v>109</v>
      </c>
      <c r="B9" s="42">
        <v>128478</v>
      </c>
      <c r="C9" s="120">
        <v>130268</v>
      </c>
      <c r="D9" s="120">
        <v>144065</v>
      </c>
      <c r="E9" s="120">
        <v>159008</v>
      </c>
      <c r="F9" s="120">
        <v>179155</v>
      </c>
      <c r="G9" s="120">
        <v>175892</v>
      </c>
      <c r="H9" s="120">
        <v>209685</v>
      </c>
      <c r="I9" s="120">
        <v>233610</v>
      </c>
      <c r="J9" s="120">
        <v>224193</v>
      </c>
      <c r="K9" s="120">
        <v>215926</v>
      </c>
      <c r="L9" s="120">
        <v>202683</v>
      </c>
      <c r="M9" s="120">
        <v>213985</v>
      </c>
      <c r="N9" s="120">
        <v>221038</v>
      </c>
      <c r="O9" s="120">
        <v>265279</v>
      </c>
      <c r="P9" s="120">
        <v>331076</v>
      </c>
      <c r="Q9" s="120">
        <v>343321</v>
      </c>
      <c r="R9" s="120">
        <v>334314</v>
      </c>
      <c r="S9" s="120">
        <v>331105</v>
      </c>
      <c r="T9" s="120">
        <v>319995</v>
      </c>
      <c r="U9" s="116">
        <v>331310</v>
      </c>
      <c r="V9" s="116">
        <v>332944</v>
      </c>
      <c r="W9" s="116">
        <v>377229</v>
      </c>
      <c r="X9" s="140">
        <v>409955.23684210528</v>
      </c>
      <c r="Y9" s="140">
        <v>425801.39473684208</v>
      </c>
      <c r="Z9" s="140">
        <v>367552.84210526315</v>
      </c>
    </row>
    <row r="10" spans="1:26" x14ac:dyDescent="0.25">
      <c r="A10" s="18" t="s">
        <v>1</v>
      </c>
      <c r="B10" s="43">
        <v>8700</v>
      </c>
      <c r="C10" s="118">
        <v>6624</v>
      </c>
      <c r="D10" s="118">
        <v>7860</v>
      </c>
      <c r="E10" s="118">
        <v>8329</v>
      </c>
      <c r="F10" s="118">
        <v>10062</v>
      </c>
      <c r="G10" s="118">
        <v>9624</v>
      </c>
      <c r="H10" s="118">
        <v>9957</v>
      </c>
      <c r="I10" s="118">
        <v>11857</v>
      </c>
      <c r="J10" s="118">
        <v>12251</v>
      </c>
      <c r="K10" s="118">
        <v>10996</v>
      </c>
      <c r="L10" s="118">
        <v>10898</v>
      </c>
      <c r="M10" s="118">
        <v>10538</v>
      </c>
      <c r="N10" s="118">
        <v>11104</v>
      </c>
      <c r="O10" s="118">
        <v>12662</v>
      </c>
      <c r="P10" s="118">
        <v>14801</v>
      </c>
      <c r="Q10" s="118">
        <v>15323</v>
      </c>
      <c r="R10" s="118">
        <v>13044</v>
      </c>
      <c r="S10" s="118">
        <v>12721</v>
      </c>
      <c r="T10" s="118">
        <v>11910</v>
      </c>
      <c r="U10" s="143">
        <v>12524</v>
      </c>
      <c r="V10" s="143">
        <v>11134</v>
      </c>
      <c r="W10" s="143">
        <v>10940</v>
      </c>
      <c r="X10" s="142">
        <v>8962.8684210526317</v>
      </c>
      <c r="Y10" s="142">
        <v>10073</v>
      </c>
      <c r="Z10" s="142">
        <v>8478</v>
      </c>
    </row>
    <row r="11" spans="1:26" x14ac:dyDescent="0.25">
      <c r="A11" s="18" t="s">
        <v>2</v>
      </c>
      <c r="B11" s="43">
        <v>2876</v>
      </c>
      <c r="C11" s="118">
        <v>2737</v>
      </c>
      <c r="D11" s="118">
        <v>2736</v>
      </c>
      <c r="E11" s="118">
        <v>2498</v>
      </c>
      <c r="F11" s="118">
        <v>2586</v>
      </c>
      <c r="G11" s="118">
        <v>2111</v>
      </c>
      <c r="H11" s="118">
        <v>2878</v>
      </c>
      <c r="I11" s="118">
        <v>3651</v>
      </c>
      <c r="J11" s="118">
        <v>3939</v>
      </c>
      <c r="K11" s="118">
        <v>4765</v>
      </c>
      <c r="L11" s="118">
        <v>5008</v>
      </c>
      <c r="M11" s="118">
        <v>5647</v>
      </c>
      <c r="N11" s="118">
        <v>6084</v>
      </c>
      <c r="O11" s="118">
        <v>7389</v>
      </c>
      <c r="P11" s="118">
        <v>7789</v>
      </c>
      <c r="Q11" s="118">
        <v>9309</v>
      </c>
      <c r="R11" s="118">
        <v>11101</v>
      </c>
      <c r="S11" s="118">
        <v>9076</v>
      </c>
      <c r="T11" s="118">
        <v>6122</v>
      </c>
      <c r="U11" s="143">
        <v>5669</v>
      </c>
      <c r="V11" s="143">
        <v>5474</v>
      </c>
      <c r="W11" s="143">
        <v>5647</v>
      </c>
      <c r="X11" s="142">
        <v>4860</v>
      </c>
      <c r="Y11" s="142">
        <v>6869</v>
      </c>
      <c r="Z11" s="142">
        <v>5933</v>
      </c>
    </row>
    <row r="12" spans="1:26" x14ac:dyDescent="0.25">
      <c r="A12" s="18" t="s">
        <v>3</v>
      </c>
      <c r="B12" s="43">
        <v>3796</v>
      </c>
      <c r="C12" s="118">
        <v>3313</v>
      </c>
      <c r="D12" s="118">
        <v>3320</v>
      </c>
      <c r="E12" s="118">
        <v>3459</v>
      </c>
      <c r="F12" s="118">
        <v>3727</v>
      </c>
      <c r="G12" s="118">
        <v>4306</v>
      </c>
      <c r="H12" s="118">
        <v>4149</v>
      </c>
      <c r="I12" s="118">
        <v>4587</v>
      </c>
      <c r="J12" s="118">
        <v>4691</v>
      </c>
      <c r="K12" s="118">
        <v>5715</v>
      </c>
      <c r="L12" s="118">
        <v>5947</v>
      </c>
      <c r="M12" s="118">
        <v>4980</v>
      </c>
      <c r="N12" s="118">
        <v>5626</v>
      </c>
      <c r="O12" s="118">
        <v>6450</v>
      </c>
      <c r="P12" s="118">
        <v>7396</v>
      </c>
      <c r="Q12" s="118">
        <v>8187</v>
      </c>
      <c r="R12" s="118">
        <v>8448</v>
      </c>
      <c r="S12" s="118">
        <v>8250</v>
      </c>
      <c r="T12" s="118">
        <v>7601</v>
      </c>
      <c r="U12" s="143">
        <v>7439</v>
      </c>
      <c r="V12" s="143">
        <v>7697</v>
      </c>
      <c r="W12" s="143">
        <v>8009</v>
      </c>
      <c r="X12" s="142">
        <v>12174</v>
      </c>
      <c r="Y12" s="142">
        <v>11018.342105263158</v>
      </c>
      <c r="Z12" s="142">
        <v>8955</v>
      </c>
    </row>
    <row r="13" spans="1:26" x14ac:dyDescent="0.25">
      <c r="A13" s="18" t="s">
        <v>4</v>
      </c>
      <c r="B13" s="43">
        <v>7208</v>
      </c>
      <c r="C13" s="118">
        <v>7083</v>
      </c>
      <c r="D13" s="118">
        <v>7517</v>
      </c>
      <c r="E13" s="118">
        <v>9239</v>
      </c>
      <c r="F13" s="118">
        <v>8179</v>
      </c>
      <c r="G13" s="118">
        <v>9943</v>
      </c>
      <c r="H13" s="118">
        <v>11685</v>
      </c>
      <c r="I13" s="118">
        <v>12362</v>
      </c>
      <c r="J13" s="118">
        <v>15503</v>
      </c>
      <c r="K13" s="118">
        <v>11534</v>
      </c>
      <c r="L13" s="118">
        <v>14533</v>
      </c>
      <c r="M13" s="118">
        <v>12700</v>
      </c>
      <c r="N13" s="118">
        <v>15581</v>
      </c>
      <c r="O13" s="118">
        <v>19411</v>
      </c>
      <c r="P13" s="118">
        <v>23021</v>
      </c>
      <c r="Q13" s="118">
        <v>24309</v>
      </c>
      <c r="R13" s="118">
        <v>26924</v>
      </c>
      <c r="S13" s="118">
        <v>24356</v>
      </c>
      <c r="T13" s="118">
        <v>22013</v>
      </c>
      <c r="U13" s="143">
        <v>25332</v>
      </c>
      <c r="V13" s="143">
        <v>21322</v>
      </c>
      <c r="W13" s="143">
        <v>23411</v>
      </c>
      <c r="X13" s="142">
        <v>24750.63157894737</v>
      </c>
      <c r="Y13" s="142">
        <v>25061</v>
      </c>
      <c r="Z13" s="142">
        <v>24272.763157894737</v>
      </c>
    </row>
    <row r="14" spans="1:26" x14ac:dyDescent="0.25">
      <c r="A14" s="18" t="s">
        <v>5</v>
      </c>
      <c r="B14" s="43">
        <v>1297</v>
      </c>
      <c r="C14" s="118">
        <v>1140</v>
      </c>
      <c r="D14" s="118">
        <v>1154</v>
      </c>
      <c r="E14" s="118">
        <v>1208</v>
      </c>
      <c r="F14" s="118">
        <v>808</v>
      </c>
      <c r="G14" s="118">
        <v>1176</v>
      </c>
      <c r="H14" s="118">
        <v>2080</v>
      </c>
      <c r="I14" s="118">
        <v>1674</v>
      </c>
      <c r="J14" s="118">
        <v>2190</v>
      </c>
      <c r="K14" s="118">
        <v>2197</v>
      </c>
      <c r="L14" s="118">
        <v>2217</v>
      </c>
      <c r="M14" s="118">
        <v>2369</v>
      </c>
      <c r="N14" s="118">
        <v>2414</v>
      </c>
      <c r="O14" s="118">
        <v>2841</v>
      </c>
      <c r="P14" s="118">
        <v>3572</v>
      </c>
      <c r="Q14" s="118">
        <v>3863</v>
      </c>
      <c r="R14" s="118">
        <v>2823</v>
      </c>
      <c r="S14" s="118">
        <v>4148</v>
      </c>
      <c r="T14" s="118">
        <v>4562</v>
      </c>
      <c r="U14" s="143">
        <v>3543</v>
      </c>
      <c r="V14" s="143">
        <v>3541</v>
      </c>
      <c r="W14" s="143">
        <v>2991</v>
      </c>
      <c r="X14" s="142">
        <v>3449</v>
      </c>
      <c r="Y14" s="142">
        <v>5037</v>
      </c>
      <c r="Z14" s="142">
        <v>4479</v>
      </c>
    </row>
    <row r="15" spans="1:26" x14ac:dyDescent="0.25">
      <c r="A15" s="18" t="s">
        <v>6</v>
      </c>
      <c r="B15" s="43">
        <v>2886</v>
      </c>
      <c r="C15" s="118">
        <v>2507</v>
      </c>
      <c r="D15" s="118">
        <v>2543</v>
      </c>
      <c r="E15" s="118">
        <v>2371</v>
      </c>
      <c r="F15" s="118">
        <v>2410</v>
      </c>
      <c r="G15" s="118">
        <v>3060</v>
      </c>
      <c r="H15" s="118">
        <v>3312</v>
      </c>
      <c r="I15" s="118">
        <v>5674</v>
      </c>
      <c r="J15" s="118">
        <v>7493</v>
      </c>
      <c r="K15" s="118">
        <v>5028</v>
      </c>
      <c r="L15" s="118">
        <v>5805</v>
      </c>
      <c r="M15" s="118">
        <v>7532</v>
      </c>
      <c r="N15" s="118">
        <v>7827</v>
      </c>
      <c r="O15" s="118">
        <v>8254</v>
      </c>
      <c r="P15" s="118">
        <v>10022</v>
      </c>
      <c r="Q15" s="118">
        <v>10647</v>
      </c>
      <c r="R15" s="118">
        <v>10188</v>
      </c>
      <c r="S15" s="118">
        <v>11590</v>
      </c>
      <c r="T15" s="118">
        <v>10770</v>
      </c>
      <c r="U15" s="143">
        <v>9211</v>
      </c>
      <c r="V15" s="143">
        <v>9353</v>
      </c>
      <c r="W15" s="143">
        <v>10046</v>
      </c>
      <c r="X15" s="142">
        <v>8785</v>
      </c>
      <c r="Y15" s="142">
        <v>11756.473684210527</v>
      </c>
      <c r="Z15" s="142">
        <v>9742.105263157895</v>
      </c>
    </row>
    <row r="16" spans="1:26" x14ac:dyDescent="0.25">
      <c r="A16" s="18" t="s">
        <v>7</v>
      </c>
      <c r="B16" s="43">
        <v>2466</v>
      </c>
      <c r="C16" s="118">
        <v>2618</v>
      </c>
      <c r="D16" s="118">
        <v>1485</v>
      </c>
      <c r="E16" s="118">
        <v>1209</v>
      </c>
      <c r="F16" s="118">
        <v>800</v>
      </c>
      <c r="G16" s="118">
        <v>1513</v>
      </c>
      <c r="H16" s="118">
        <v>1449</v>
      </c>
      <c r="I16" s="118">
        <v>1428</v>
      </c>
      <c r="J16" s="118">
        <v>1476</v>
      </c>
      <c r="K16" s="118">
        <v>2082</v>
      </c>
      <c r="L16" s="118">
        <v>1941</v>
      </c>
      <c r="M16" s="118">
        <v>1968</v>
      </c>
      <c r="N16" s="118">
        <v>2693</v>
      </c>
      <c r="O16" s="118">
        <v>2870</v>
      </c>
      <c r="P16" s="118">
        <v>4556</v>
      </c>
      <c r="Q16" s="118">
        <v>4990</v>
      </c>
      <c r="R16" s="118">
        <v>4477</v>
      </c>
      <c r="S16" s="118">
        <v>4424</v>
      </c>
      <c r="T16" s="118">
        <v>2465</v>
      </c>
      <c r="U16" s="143">
        <v>2538</v>
      </c>
      <c r="V16" s="143">
        <v>2994</v>
      </c>
      <c r="W16" s="143">
        <v>3974</v>
      </c>
      <c r="X16" s="142">
        <v>3697</v>
      </c>
      <c r="Y16" s="142">
        <v>3937</v>
      </c>
      <c r="Z16" s="142">
        <v>3273</v>
      </c>
    </row>
    <row r="17" spans="1:26" x14ac:dyDescent="0.25">
      <c r="A17" s="18" t="s">
        <v>8</v>
      </c>
      <c r="B17" s="43">
        <v>2199</v>
      </c>
      <c r="C17" s="118">
        <v>2266</v>
      </c>
      <c r="D17" s="118">
        <v>2379</v>
      </c>
      <c r="E17" s="118">
        <v>3467</v>
      </c>
      <c r="F17" s="118">
        <v>3429</v>
      </c>
      <c r="G17" s="118">
        <v>3999</v>
      </c>
      <c r="H17" s="118">
        <v>4524</v>
      </c>
      <c r="I17" s="118">
        <v>5216</v>
      </c>
      <c r="J17" s="118">
        <v>5667</v>
      </c>
      <c r="K17" s="118">
        <v>6556</v>
      </c>
      <c r="L17" s="118">
        <v>5466</v>
      </c>
      <c r="M17" s="118">
        <v>6280</v>
      </c>
      <c r="N17" s="118">
        <v>6359</v>
      </c>
      <c r="O17" s="118">
        <v>6590</v>
      </c>
      <c r="P17" s="118">
        <v>8567</v>
      </c>
      <c r="Q17" s="118">
        <v>7436</v>
      </c>
      <c r="R17" s="118">
        <v>7905</v>
      </c>
      <c r="S17" s="118">
        <v>8110</v>
      </c>
      <c r="T17" s="118">
        <v>7046</v>
      </c>
      <c r="U17" s="143">
        <v>6097</v>
      </c>
      <c r="V17" s="143">
        <v>5663</v>
      </c>
      <c r="W17" s="143">
        <v>6635</v>
      </c>
      <c r="X17" s="142">
        <v>5065.5789473684208</v>
      </c>
      <c r="Y17" s="142">
        <v>6395.4473684210525</v>
      </c>
      <c r="Z17" s="142">
        <v>6992</v>
      </c>
    </row>
    <row r="18" spans="1:26" x14ac:dyDescent="0.25">
      <c r="A18" s="18" t="s">
        <v>9</v>
      </c>
      <c r="B18" s="43">
        <v>4136</v>
      </c>
      <c r="C18" s="118">
        <v>4378</v>
      </c>
      <c r="D18" s="118">
        <v>3350</v>
      </c>
      <c r="E18" s="118">
        <v>3883</v>
      </c>
      <c r="F18" s="118">
        <v>4893</v>
      </c>
      <c r="G18" s="118">
        <v>5761</v>
      </c>
      <c r="H18" s="118">
        <v>6283</v>
      </c>
      <c r="I18" s="118">
        <v>6902</v>
      </c>
      <c r="J18" s="118">
        <v>6701</v>
      </c>
      <c r="K18" s="118">
        <v>5572</v>
      </c>
      <c r="L18" s="118">
        <v>5217</v>
      </c>
      <c r="M18" s="118">
        <v>5854</v>
      </c>
      <c r="N18" s="118">
        <v>5377</v>
      </c>
      <c r="O18" s="118">
        <v>5951</v>
      </c>
      <c r="P18" s="118">
        <v>7077</v>
      </c>
      <c r="Q18" s="118">
        <v>9746</v>
      </c>
      <c r="R18" s="118">
        <v>10004</v>
      </c>
      <c r="S18" s="118">
        <v>8576</v>
      </c>
      <c r="T18" s="118">
        <v>7853</v>
      </c>
      <c r="U18" s="143">
        <v>10311</v>
      </c>
      <c r="V18" s="143">
        <v>9725</v>
      </c>
      <c r="W18" s="143">
        <v>11438</v>
      </c>
      <c r="X18" s="142">
        <v>6922</v>
      </c>
      <c r="Y18" s="142">
        <v>6718</v>
      </c>
      <c r="Z18" s="142">
        <v>7830.7631578947367</v>
      </c>
    </row>
    <row r="19" spans="1:26" x14ac:dyDescent="0.25">
      <c r="A19" s="18" t="s">
        <v>10</v>
      </c>
      <c r="B19" s="43">
        <v>24889</v>
      </c>
      <c r="C19" s="118">
        <v>29163</v>
      </c>
      <c r="D19" s="118">
        <v>32857</v>
      </c>
      <c r="E19" s="118">
        <v>39053</v>
      </c>
      <c r="F19" s="118">
        <v>57831</v>
      </c>
      <c r="G19" s="118">
        <v>49217</v>
      </c>
      <c r="H19" s="118">
        <v>71347</v>
      </c>
      <c r="I19" s="118">
        <v>81219</v>
      </c>
      <c r="J19" s="118">
        <v>83026</v>
      </c>
      <c r="K19" s="118">
        <v>93041</v>
      </c>
      <c r="L19" s="118">
        <v>89283</v>
      </c>
      <c r="M19" s="118">
        <v>97348</v>
      </c>
      <c r="N19" s="118">
        <v>80339</v>
      </c>
      <c r="O19" s="118">
        <v>104309</v>
      </c>
      <c r="P19" s="118">
        <v>147523</v>
      </c>
      <c r="Q19" s="118">
        <v>135639</v>
      </c>
      <c r="R19" s="118">
        <v>127079</v>
      </c>
      <c r="S19" s="118">
        <v>129498</v>
      </c>
      <c r="T19" s="118">
        <v>127073</v>
      </c>
      <c r="U19" s="143">
        <v>115776</v>
      </c>
      <c r="V19" s="143">
        <v>124006</v>
      </c>
      <c r="W19" s="143">
        <v>112572</v>
      </c>
      <c r="X19" s="142">
        <v>162331.73684210525</v>
      </c>
      <c r="Y19" s="142">
        <v>152226</v>
      </c>
      <c r="Z19" s="142">
        <v>114434</v>
      </c>
    </row>
    <row r="20" spans="1:26" x14ac:dyDescent="0.25">
      <c r="A20" s="18" t="s">
        <v>11</v>
      </c>
      <c r="B20" s="43">
        <v>2868</v>
      </c>
      <c r="C20" s="118">
        <v>2722</v>
      </c>
      <c r="D20" s="118">
        <v>2626</v>
      </c>
      <c r="E20" s="118">
        <v>2864</v>
      </c>
      <c r="F20" s="118">
        <v>3086</v>
      </c>
      <c r="G20" s="118">
        <v>3333</v>
      </c>
      <c r="H20" s="118">
        <v>3700</v>
      </c>
      <c r="I20" s="118">
        <v>4472</v>
      </c>
      <c r="J20" s="118">
        <v>4400</v>
      </c>
      <c r="K20" s="118">
        <v>4141</v>
      </c>
      <c r="L20" s="118">
        <v>3458</v>
      </c>
      <c r="M20" s="118">
        <v>4673</v>
      </c>
      <c r="N20" s="118">
        <v>4633</v>
      </c>
      <c r="O20" s="118">
        <v>5369</v>
      </c>
      <c r="P20" s="118">
        <v>6260</v>
      </c>
      <c r="Q20" s="118">
        <v>6522</v>
      </c>
      <c r="R20" s="118">
        <v>5285</v>
      </c>
      <c r="S20" s="118">
        <v>3837</v>
      </c>
      <c r="T20" s="118">
        <v>4075</v>
      </c>
      <c r="U20" s="143">
        <v>3715</v>
      </c>
      <c r="V20" s="143">
        <v>5740</v>
      </c>
      <c r="W20" s="143">
        <v>3320</v>
      </c>
      <c r="X20" s="142">
        <v>4674</v>
      </c>
      <c r="Y20" s="142">
        <v>4764</v>
      </c>
      <c r="Z20" s="142">
        <v>4977</v>
      </c>
    </row>
    <row r="21" spans="1:26" x14ac:dyDescent="0.25">
      <c r="A21" s="18" t="s">
        <v>12</v>
      </c>
      <c r="B21" s="43">
        <v>3230</v>
      </c>
      <c r="C21" s="118">
        <v>1907</v>
      </c>
      <c r="D21" s="118">
        <v>2550</v>
      </c>
      <c r="E21" s="118">
        <v>2973</v>
      </c>
      <c r="F21" s="118">
        <v>3103</v>
      </c>
      <c r="G21" s="118">
        <v>3806</v>
      </c>
      <c r="H21" s="118">
        <v>4695</v>
      </c>
      <c r="I21" s="118">
        <v>6080</v>
      </c>
      <c r="J21" s="118">
        <v>6780</v>
      </c>
      <c r="K21" s="118">
        <v>7348</v>
      </c>
      <c r="L21" s="118">
        <v>6211</v>
      </c>
      <c r="M21" s="118">
        <v>6462</v>
      </c>
      <c r="N21" s="118">
        <v>7400</v>
      </c>
      <c r="O21" s="118">
        <v>7363</v>
      </c>
      <c r="P21" s="118">
        <v>8652</v>
      </c>
      <c r="Q21" s="118">
        <v>9290</v>
      </c>
      <c r="R21" s="118">
        <v>10993</v>
      </c>
      <c r="S21" s="118">
        <v>9703</v>
      </c>
      <c r="T21" s="118">
        <v>12043</v>
      </c>
      <c r="U21" s="143">
        <v>11714</v>
      </c>
      <c r="V21" s="143">
        <v>8960</v>
      </c>
      <c r="W21" s="143">
        <v>10694</v>
      </c>
      <c r="X21" s="142">
        <v>10320</v>
      </c>
      <c r="Y21" s="142">
        <v>10050</v>
      </c>
      <c r="Z21" s="142">
        <v>7897</v>
      </c>
    </row>
    <row r="22" spans="1:26" x14ac:dyDescent="0.25">
      <c r="A22" s="18" t="s">
        <v>13</v>
      </c>
      <c r="B22" s="43">
        <v>2170</v>
      </c>
      <c r="C22" s="118">
        <v>2049</v>
      </c>
      <c r="D22" s="118">
        <v>2413</v>
      </c>
      <c r="E22" s="118">
        <v>2989</v>
      </c>
      <c r="F22" s="118">
        <v>3448</v>
      </c>
      <c r="G22" s="118">
        <v>3741</v>
      </c>
      <c r="H22" s="118">
        <v>3983</v>
      </c>
      <c r="I22" s="118">
        <v>3998</v>
      </c>
      <c r="J22" s="118">
        <v>4359</v>
      </c>
      <c r="K22" s="118">
        <v>4577</v>
      </c>
      <c r="L22" s="118">
        <v>4206</v>
      </c>
      <c r="M22" s="118">
        <v>4346</v>
      </c>
      <c r="N22" s="118">
        <v>2985</v>
      </c>
      <c r="O22" s="118">
        <v>5295</v>
      </c>
      <c r="P22" s="118">
        <v>5721</v>
      </c>
      <c r="Q22" s="118">
        <v>5621</v>
      </c>
      <c r="R22" s="118">
        <v>7827</v>
      </c>
      <c r="S22" s="118">
        <v>6328</v>
      </c>
      <c r="T22" s="118">
        <v>3898</v>
      </c>
      <c r="U22" s="143">
        <v>4792</v>
      </c>
      <c r="V22" s="143">
        <v>5332</v>
      </c>
      <c r="W22" s="143">
        <v>5467</v>
      </c>
      <c r="X22" s="142">
        <v>5618</v>
      </c>
      <c r="Y22" s="142">
        <v>5673</v>
      </c>
      <c r="Z22" s="142">
        <v>5796.4473684210525</v>
      </c>
    </row>
    <row r="23" spans="1:26" x14ac:dyDescent="0.25">
      <c r="A23" s="18" t="s">
        <v>14</v>
      </c>
      <c r="B23" s="43">
        <v>2846</v>
      </c>
      <c r="C23" s="118">
        <v>2341</v>
      </c>
      <c r="D23" s="118">
        <v>2445</v>
      </c>
      <c r="E23" s="118">
        <v>2738</v>
      </c>
      <c r="F23" s="118">
        <v>3351</v>
      </c>
      <c r="G23" s="118">
        <v>3545</v>
      </c>
      <c r="H23" s="118">
        <v>4221</v>
      </c>
      <c r="I23" s="118">
        <v>4434</v>
      </c>
      <c r="J23" s="118">
        <v>5193</v>
      </c>
      <c r="K23" s="118">
        <v>4666</v>
      </c>
      <c r="L23" s="118">
        <v>5321</v>
      </c>
      <c r="M23" s="118">
        <v>5859</v>
      </c>
      <c r="N23" s="118">
        <v>5204</v>
      </c>
      <c r="O23" s="118">
        <v>6451</v>
      </c>
      <c r="P23" s="118">
        <v>7012</v>
      </c>
      <c r="Q23" s="118">
        <v>8655</v>
      </c>
      <c r="R23" s="118">
        <v>7466</v>
      </c>
      <c r="S23" s="118">
        <v>6863</v>
      </c>
      <c r="T23" s="118">
        <v>7717</v>
      </c>
      <c r="U23" s="143">
        <v>6854</v>
      </c>
      <c r="V23" s="143">
        <v>5373</v>
      </c>
      <c r="W23" s="143">
        <v>5841</v>
      </c>
      <c r="X23" s="142">
        <v>4659</v>
      </c>
      <c r="Y23" s="142">
        <v>5384</v>
      </c>
      <c r="Z23" s="142">
        <v>4673</v>
      </c>
    </row>
    <row r="24" spans="1:26" x14ac:dyDescent="0.25">
      <c r="A24" s="18" t="s">
        <v>15</v>
      </c>
      <c r="B24" s="43">
        <v>2789</v>
      </c>
      <c r="C24" s="118">
        <v>3402</v>
      </c>
      <c r="D24" s="118">
        <v>3041</v>
      </c>
      <c r="E24" s="118">
        <v>3230</v>
      </c>
      <c r="F24" s="118">
        <v>3646</v>
      </c>
      <c r="G24" s="118">
        <v>3228</v>
      </c>
      <c r="H24" s="118">
        <v>4470</v>
      </c>
      <c r="I24" s="118">
        <v>4984</v>
      </c>
      <c r="J24" s="118">
        <v>3811</v>
      </c>
      <c r="K24" s="118">
        <v>5078</v>
      </c>
      <c r="L24" s="118">
        <v>5275</v>
      </c>
      <c r="M24" s="118">
        <v>4530</v>
      </c>
      <c r="N24" s="118">
        <v>4782</v>
      </c>
      <c r="O24" s="118">
        <v>5929</v>
      </c>
      <c r="P24" s="118">
        <v>6231</v>
      </c>
      <c r="Q24" s="118">
        <v>7950</v>
      </c>
      <c r="R24" s="118">
        <v>7872</v>
      </c>
      <c r="S24" s="118">
        <v>9171</v>
      </c>
      <c r="T24" s="118">
        <v>6409</v>
      </c>
      <c r="U24" s="143">
        <v>7424</v>
      </c>
      <c r="V24" s="143">
        <v>8031</v>
      </c>
      <c r="W24" s="143">
        <v>8269</v>
      </c>
      <c r="X24" s="142">
        <v>8845</v>
      </c>
      <c r="Y24" s="142">
        <v>9956</v>
      </c>
      <c r="Z24" s="142">
        <v>8788</v>
      </c>
    </row>
    <row r="25" spans="1:26" x14ac:dyDescent="0.25">
      <c r="A25" s="18" t="s">
        <v>16</v>
      </c>
      <c r="B25" s="43">
        <v>3034</v>
      </c>
      <c r="C25" s="118">
        <v>1451</v>
      </c>
      <c r="D25" s="118">
        <v>2079</v>
      </c>
      <c r="E25" s="118">
        <v>2561</v>
      </c>
      <c r="F25" s="118">
        <v>2626</v>
      </c>
      <c r="G25" s="118">
        <v>2173</v>
      </c>
      <c r="H25" s="118">
        <v>2980</v>
      </c>
      <c r="I25" s="118">
        <v>3490</v>
      </c>
      <c r="J25" s="118">
        <v>4693</v>
      </c>
      <c r="K25" s="118">
        <v>4195</v>
      </c>
      <c r="L25" s="118">
        <v>4807</v>
      </c>
      <c r="M25" s="118">
        <v>2357</v>
      </c>
      <c r="N25" s="118">
        <v>2907</v>
      </c>
      <c r="O25" s="118">
        <v>5274</v>
      </c>
      <c r="P25" s="118">
        <v>6266</v>
      </c>
      <c r="Q25" s="118">
        <v>8793</v>
      </c>
      <c r="R25" s="118">
        <v>9011</v>
      </c>
      <c r="S25" s="118">
        <v>9738</v>
      </c>
      <c r="T25" s="118">
        <v>9486</v>
      </c>
      <c r="U25" s="143">
        <v>7658</v>
      </c>
      <c r="V25" s="143">
        <v>9044</v>
      </c>
      <c r="W25" s="143">
        <v>9474</v>
      </c>
      <c r="X25" s="142">
        <v>10729.421052631578</v>
      </c>
      <c r="Y25" s="142">
        <v>14373.578947368422</v>
      </c>
      <c r="Z25" s="142">
        <v>11302.763157894737</v>
      </c>
    </row>
    <row r="26" spans="1:26" x14ac:dyDescent="0.25">
      <c r="A26" s="18" t="s">
        <v>17</v>
      </c>
      <c r="B26" s="43">
        <v>1855</v>
      </c>
      <c r="C26" s="118">
        <v>2364</v>
      </c>
      <c r="D26" s="118">
        <v>2432</v>
      </c>
      <c r="E26" s="118">
        <v>2902</v>
      </c>
      <c r="F26" s="118">
        <v>2640</v>
      </c>
      <c r="G26" s="118">
        <v>2852</v>
      </c>
      <c r="H26" s="118">
        <v>3463</v>
      </c>
      <c r="I26" s="118">
        <v>5470</v>
      </c>
      <c r="J26" s="118">
        <v>5478</v>
      </c>
      <c r="K26" s="118">
        <v>5344</v>
      </c>
      <c r="L26" s="118">
        <v>4266</v>
      </c>
      <c r="M26" s="118">
        <v>6955</v>
      </c>
      <c r="N26" s="118">
        <v>7171</v>
      </c>
      <c r="O26" s="118">
        <v>6519</v>
      </c>
      <c r="P26" s="118">
        <v>10531</v>
      </c>
      <c r="Q26" s="118">
        <v>10871</v>
      </c>
      <c r="R26" s="118">
        <v>12383</v>
      </c>
      <c r="S26" s="118">
        <v>11049</v>
      </c>
      <c r="T26" s="118">
        <v>10408</v>
      </c>
      <c r="U26" s="143">
        <v>10396</v>
      </c>
      <c r="V26" s="143">
        <v>9991</v>
      </c>
      <c r="W26" s="143">
        <v>9588</v>
      </c>
      <c r="X26" s="142">
        <v>9646</v>
      </c>
      <c r="Y26" s="142">
        <v>12619.552631578947</v>
      </c>
      <c r="Z26" s="142">
        <v>12506</v>
      </c>
    </row>
    <row r="27" spans="1:26" x14ac:dyDescent="0.25">
      <c r="A27" s="18" t="s">
        <v>18</v>
      </c>
      <c r="B27" s="43">
        <v>49233</v>
      </c>
      <c r="C27" s="118">
        <v>52204</v>
      </c>
      <c r="D27" s="118">
        <v>61278</v>
      </c>
      <c r="E27" s="118">
        <v>64036</v>
      </c>
      <c r="F27" s="118">
        <v>62529</v>
      </c>
      <c r="G27" s="118">
        <v>62504</v>
      </c>
      <c r="H27" s="118">
        <v>64509</v>
      </c>
      <c r="I27" s="118">
        <v>66112</v>
      </c>
      <c r="J27" s="118">
        <v>46543</v>
      </c>
      <c r="K27" s="118">
        <v>33091</v>
      </c>
      <c r="L27" s="118">
        <v>22825</v>
      </c>
      <c r="M27" s="118">
        <v>23587</v>
      </c>
      <c r="N27" s="118">
        <v>42551</v>
      </c>
      <c r="O27" s="118">
        <v>46352</v>
      </c>
      <c r="P27" s="118">
        <v>46080</v>
      </c>
      <c r="Q27" s="118">
        <v>56171</v>
      </c>
      <c r="R27" s="118">
        <v>51483</v>
      </c>
      <c r="S27" s="118">
        <v>53667</v>
      </c>
      <c r="T27" s="118">
        <v>58544</v>
      </c>
      <c r="U27" s="143">
        <v>80317</v>
      </c>
      <c r="V27" s="143">
        <v>79564</v>
      </c>
      <c r="W27" s="143">
        <v>128913</v>
      </c>
      <c r="X27" s="142">
        <v>114466</v>
      </c>
      <c r="Y27" s="142">
        <v>123890</v>
      </c>
      <c r="Z27" s="142">
        <v>117223</v>
      </c>
    </row>
    <row r="28" spans="1:26" ht="24.75" customHeight="1" x14ac:dyDescent="0.25">
      <c r="A28" s="17" t="s">
        <v>95</v>
      </c>
      <c r="B28" s="42">
        <v>33878</v>
      </c>
      <c r="C28" s="42">
        <v>32367</v>
      </c>
      <c r="D28" s="42">
        <v>33146</v>
      </c>
      <c r="E28" s="42">
        <v>41361</v>
      </c>
      <c r="F28" s="42">
        <v>48428</v>
      </c>
      <c r="G28" s="120">
        <v>55131</v>
      </c>
      <c r="H28" s="120">
        <v>64037</v>
      </c>
      <c r="I28" s="120">
        <v>76261</v>
      </c>
      <c r="J28" s="120">
        <v>93126</v>
      </c>
      <c r="K28" s="120">
        <v>80564</v>
      </c>
      <c r="L28" s="120">
        <v>81683</v>
      </c>
      <c r="M28" s="120">
        <v>89430</v>
      </c>
      <c r="N28" s="120">
        <v>87285</v>
      </c>
      <c r="O28" s="120">
        <v>100881</v>
      </c>
      <c r="P28" s="120">
        <v>127489</v>
      </c>
      <c r="Q28" s="120">
        <v>149002</v>
      </c>
      <c r="R28" s="120">
        <v>157225</v>
      </c>
      <c r="S28" s="121">
        <v>166931</v>
      </c>
      <c r="T28" s="120">
        <v>172529</v>
      </c>
      <c r="U28" s="116">
        <v>166866</v>
      </c>
      <c r="V28" s="116">
        <v>152942</v>
      </c>
      <c r="W28" s="116">
        <v>159919</v>
      </c>
      <c r="X28" s="140">
        <v>173342.28947368421</v>
      </c>
      <c r="Y28" s="140">
        <v>189256.89473684211</v>
      </c>
      <c r="Z28" s="140">
        <v>162106.5</v>
      </c>
    </row>
    <row r="29" spans="1:26" x14ac:dyDescent="0.25">
      <c r="A29" s="18" t="s">
        <v>19</v>
      </c>
      <c r="B29" s="43">
        <v>834</v>
      </c>
      <c r="C29" s="118">
        <v>1022</v>
      </c>
      <c r="D29" s="118">
        <v>744</v>
      </c>
      <c r="E29" s="118">
        <v>997</v>
      </c>
      <c r="F29" s="118">
        <v>1172</v>
      </c>
      <c r="G29" s="118">
        <v>1119</v>
      </c>
      <c r="H29" s="118">
        <v>1444</v>
      </c>
      <c r="I29" s="118">
        <v>1634</v>
      </c>
      <c r="J29" s="118">
        <v>2122</v>
      </c>
      <c r="K29" s="118">
        <v>2267</v>
      </c>
      <c r="L29" s="118">
        <v>2129</v>
      </c>
      <c r="M29" s="118">
        <v>2502</v>
      </c>
      <c r="N29" s="118">
        <v>2773</v>
      </c>
      <c r="O29" s="118">
        <v>3525</v>
      </c>
      <c r="P29" s="118">
        <v>3706</v>
      </c>
      <c r="Q29" s="118">
        <v>4888</v>
      </c>
      <c r="R29" s="118">
        <v>5094</v>
      </c>
      <c r="S29" s="118">
        <v>3751</v>
      </c>
      <c r="T29" s="118">
        <v>4451</v>
      </c>
      <c r="U29" s="143">
        <v>4173</v>
      </c>
      <c r="V29" s="143">
        <v>4218</v>
      </c>
      <c r="W29" s="143">
        <v>4320</v>
      </c>
      <c r="X29" s="142">
        <v>4197</v>
      </c>
      <c r="Y29" s="142">
        <v>4539</v>
      </c>
      <c r="Z29" s="142">
        <v>4475</v>
      </c>
    </row>
    <row r="30" spans="1:26" x14ac:dyDescent="0.25">
      <c r="A30" s="18" t="s">
        <v>20</v>
      </c>
      <c r="B30" s="43">
        <v>3879</v>
      </c>
      <c r="C30" s="118">
        <v>1551</v>
      </c>
      <c r="D30" s="118">
        <v>2067</v>
      </c>
      <c r="E30" s="118">
        <v>2283</v>
      </c>
      <c r="F30" s="118">
        <v>2094</v>
      </c>
      <c r="G30" s="118">
        <v>2854</v>
      </c>
      <c r="H30" s="118">
        <v>2701</v>
      </c>
      <c r="I30" s="118">
        <v>2841</v>
      </c>
      <c r="J30" s="118">
        <v>2846</v>
      </c>
      <c r="K30" s="118">
        <v>1857</v>
      </c>
      <c r="L30" s="118">
        <v>1232</v>
      </c>
      <c r="M30" s="118">
        <v>2038</v>
      </c>
      <c r="N30" s="118">
        <v>1392</v>
      </c>
      <c r="O30" s="118">
        <v>2450</v>
      </c>
      <c r="P30" s="118">
        <v>2887</v>
      </c>
      <c r="Q30" s="118">
        <v>3966</v>
      </c>
      <c r="R30" s="118">
        <v>4785</v>
      </c>
      <c r="S30" s="118">
        <v>3693</v>
      </c>
      <c r="T30" s="118">
        <v>4722</v>
      </c>
      <c r="U30" s="143">
        <v>3590</v>
      </c>
      <c r="V30" s="143">
        <v>3459</v>
      </c>
      <c r="W30" s="143">
        <v>2462</v>
      </c>
      <c r="X30" s="142">
        <v>2722.0789473684213</v>
      </c>
      <c r="Y30" s="142">
        <v>3243.3157894736842</v>
      </c>
      <c r="Z30" s="142">
        <v>3061</v>
      </c>
    </row>
    <row r="31" spans="1:26" x14ac:dyDescent="0.25">
      <c r="A31" s="18" t="s">
        <v>21</v>
      </c>
      <c r="B31" s="43">
        <v>1042</v>
      </c>
      <c r="C31" s="118">
        <v>1322</v>
      </c>
      <c r="D31" s="118">
        <v>1453</v>
      </c>
      <c r="E31" s="118">
        <v>1173</v>
      </c>
      <c r="F31" s="118">
        <v>1450</v>
      </c>
      <c r="G31" s="118">
        <v>1668</v>
      </c>
      <c r="H31" s="118">
        <v>2726</v>
      </c>
      <c r="I31" s="118">
        <v>3731</v>
      </c>
      <c r="J31" s="118">
        <v>5022</v>
      </c>
      <c r="K31" s="118">
        <v>3624</v>
      </c>
      <c r="L31" s="118">
        <v>3987</v>
      </c>
      <c r="M31" s="118">
        <v>4048</v>
      </c>
      <c r="N31" s="118">
        <v>4365</v>
      </c>
      <c r="O31" s="118">
        <v>4778</v>
      </c>
      <c r="P31" s="118">
        <v>5181</v>
      </c>
      <c r="Q31" s="118">
        <v>5539</v>
      </c>
      <c r="R31" s="118">
        <v>5283</v>
      </c>
      <c r="S31" s="118">
        <v>6393</v>
      </c>
      <c r="T31" s="118">
        <v>4566</v>
      </c>
      <c r="U31" s="143">
        <v>4984</v>
      </c>
      <c r="V31" s="143">
        <v>5948</v>
      </c>
      <c r="W31" s="143">
        <v>6484</v>
      </c>
      <c r="X31" s="142">
        <v>7014</v>
      </c>
      <c r="Y31" s="142">
        <v>7619</v>
      </c>
      <c r="Z31" s="142">
        <v>8400</v>
      </c>
    </row>
    <row r="32" spans="1:26" x14ac:dyDescent="0.25">
      <c r="A32" s="14" t="s">
        <v>63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58"/>
      <c r="T32" s="15"/>
      <c r="U32" s="143"/>
      <c r="V32" s="143"/>
      <c r="W32" s="143"/>
      <c r="X32" s="142"/>
      <c r="Y32" s="140"/>
    </row>
    <row r="33" spans="1:26" ht="18" customHeight="1" x14ac:dyDescent="0.25">
      <c r="A33" s="4" t="s">
        <v>23</v>
      </c>
      <c r="B33" s="43">
        <v>181</v>
      </c>
      <c r="C33" s="118">
        <v>181</v>
      </c>
      <c r="D33" s="118">
        <v>70</v>
      </c>
      <c r="E33" s="118">
        <v>132</v>
      </c>
      <c r="F33" s="118">
        <v>109</v>
      </c>
      <c r="G33" s="118">
        <v>466</v>
      </c>
      <c r="H33" s="118">
        <v>557</v>
      </c>
      <c r="I33" s="118">
        <v>620</v>
      </c>
      <c r="J33" s="118">
        <v>1139</v>
      </c>
      <c r="K33" s="118">
        <v>762</v>
      </c>
      <c r="L33" s="118">
        <v>701</v>
      </c>
      <c r="M33" s="118">
        <v>488</v>
      </c>
      <c r="N33" s="118">
        <v>485</v>
      </c>
      <c r="O33" s="118">
        <v>485</v>
      </c>
      <c r="P33" s="118">
        <v>502</v>
      </c>
      <c r="Q33" s="118">
        <v>542</v>
      </c>
      <c r="R33" s="118">
        <v>282</v>
      </c>
      <c r="S33" s="118">
        <v>379</v>
      </c>
      <c r="T33" s="118">
        <v>257</v>
      </c>
      <c r="U33" s="143">
        <v>131</v>
      </c>
      <c r="V33" s="143">
        <v>329</v>
      </c>
      <c r="W33" s="143">
        <v>200</v>
      </c>
      <c r="X33" s="142">
        <v>456</v>
      </c>
      <c r="Y33" s="142">
        <v>193</v>
      </c>
      <c r="Z33" s="142">
        <v>327</v>
      </c>
    </row>
    <row r="34" spans="1:26" ht="19.5" x14ac:dyDescent="0.25">
      <c r="A34" s="14" t="s">
        <v>262</v>
      </c>
      <c r="B34" s="44">
        <v>861</v>
      </c>
      <c r="C34" s="44">
        <v>1141</v>
      </c>
      <c r="D34" s="44">
        <v>1383</v>
      </c>
      <c r="E34" s="44">
        <v>1041</v>
      </c>
      <c r="F34" s="44">
        <v>1341</v>
      </c>
      <c r="G34" s="118">
        <v>1202</v>
      </c>
      <c r="H34" s="118">
        <v>2169</v>
      </c>
      <c r="I34" s="118">
        <v>3111</v>
      </c>
      <c r="J34" s="118">
        <v>3883</v>
      </c>
      <c r="K34" s="118">
        <v>2862</v>
      </c>
      <c r="L34" s="118">
        <v>3286</v>
      </c>
      <c r="M34" s="118">
        <v>3560</v>
      </c>
      <c r="N34" s="118">
        <v>3880</v>
      </c>
      <c r="O34" s="118">
        <v>4293</v>
      </c>
      <c r="P34" s="118">
        <v>4679</v>
      </c>
      <c r="Q34" s="118">
        <v>4997</v>
      </c>
      <c r="R34" s="118">
        <v>5001</v>
      </c>
      <c r="S34" s="118">
        <v>6014</v>
      </c>
      <c r="T34" s="118">
        <v>4309</v>
      </c>
      <c r="U34" s="143">
        <v>4853</v>
      </c>
      <c r="V34" s="143">
        <v>5619</v>
      </c>
      <c r="W34" s="143">
        <v>6284</v>
      </c>
      <c r="X34" s="142">
        <v>6558</v>
      </c>
      <c r="Y34" s="142">
        <v>7426</v>
      </c>
      <c r="Z34" s="142">
        <v>8073</v>
      </c>
    </row>
    <row r="35" spans="1:26" x14ac:dyDescent="0.25">
      <c r="A35" s="18" t="s">
        <v>24</v>
      </c>
      <c r="B35" s="118">
        <v>2547</v>
      </c>
      <c r="C35" s="118">
        <v>3349</v>
      </c>
      <c r="D35" s="118">
        <v>3019</v>
      </c>
      <c r="E35" s="118">
        <v>3277</v>
      </c>
      <c r="F35" s="118">
        <v>4265</v>
      </c>
      <c r="G35" s="118">
        <v>4306</v>
      </c>
      <c r="H35" s="118">
        <v>4672</v>
      </c>
      <c r="I35" s="118">
        <v>6658</v>
      </c>
      <c r="J35" s="118">
        <v>8642</v>
      </c>
      <c r="K35" s="118">
        <v>7571</v>
      </c>
      <c r="L35" s="118">
        <v>6494</v>
      </c>
      <c r="M35" s="118">
        <v>7044</v>
      </c>
      <c r="N35" s="118">
        <v>6027</v>
      </c>
      <c r="O35" s="118">
        <v>9664</v>
      </c>
      <c r="P35" s="118">
        <v>12774</v>
      </c>
      <c r="Q35" s="118">
        <v>15188</v>
      </c>
      <c r="R35" s="118">
        <v>13682</v>
      </c>
      <c r="S35" s="118">
        <v>9086</v>
      </c>
      <c r="T35" s="118">
        <v>8335</v>
      </c>
      <c r="U35" s="143">
        <v>8875</v>
      </c>
      <c r="V35" s="143">
        <v>7046</v>
      </c>
      <c r="W35" s="143">
        <v>7874</v>
      </c>
      <c r="X35" s="142">
        <v>8463</v>
      </c>
      <c r="Y35" s="142">
        <v>9879</v>
      </c>
      <c r="Z35" s="142">
        <v>9246</v>
      </c>
    </row>
    <row r="36" spans="1:26" x14ac:dyDescent="0.25">
      <c r="A36" s="18" t="s">
        <v>25</v>
      </c>
      <c r="B36" s="118">
        <v>2008</v>
      </c>
      <c r="C36" s="118">
        <v>1992</v>
      </c>
      <c r="D36" s="118">
        <v>2212</v>
      </c>
      <c r="E36" s="118">
        <v>2089</v>
      </c>
      <c r="F36" s="118">
        <v>2595</v>
      </c>
      <c r="G36" s="118">
        <v>2843</v>
      </c>
      <c r="H36" s="118">
        <v>6630</v>
      </c>
      <c r="I36" s="118">
        <v>8971</v>
      </c>
      <c r="J36" s="118">
        <v>9355</v>
      </c>
      <c r="K36" s="118">
        <v>7341</v>
      </c>
      <c r="L36" s="118">
        <v>6709</v>
      </c>
      <c r="M36" s="118">
        <v>7294</v>
      </c>
      <c r="N36" s="118">
        <v>8235</v>
      </c>
      <c r="O36" s="118">
        <v>8751</v>
      </c>
      <c r="P36" s="118">
        <v>12927</v>
      </c>
      <c r="Q36" s="118">
        <v>16164</v>
      </c>
      <c r="R36" s="118">
        <v>17329</v>
      </c>
      <c r="S36" s="118">
        <v>12944</v>
      </c>
      <c r="T36" s="118">
        <v>13549</v>
      </c>
      <c r="U36" s="143">
        <v>14801</v>
      </c>
      <c r="V36" s="143">
        <v>16491</v>
      </c>
      <c r="W36" s="143">
        <v>16766</v>
      </c>
      <c r="X36" s="142">
        <v>16371.315789473685</v>
      </c>
      <c r="Y36" s="142">
        <v>14520</v>
      </c>
      <c r="Z36" s="142">
        <v>15512</v>
      </c>
    </row>
    <row r="37" spans="1:26" x14ac:dyDescent="0.25">
      <c r="A37" s="18" t="s">
        <v>26</v>
      </c>
      <c r="B37" s="118">
        <v>5410</v>
      </c>
      <c r="C37" s="118">
        <v>5198</v>
      </c>
      <c r="D37" s="118">
        <v>4829</v>
      </c>
      <c r="E37" s="118">
        <v>4673</v>
      </c>
      <c r="F37" s="118">
        <v>5148</v>
      </c>
      <c r="G37" s="118">
        <v>5328</v>
      </c>
      <c r="H37" s="118">
        <v>7326</v>
      </c>
      <c r="I37" s="118">
        <v>9105</v>
      </c>
      <c r="J37" s="118">
        <v>10896</v>
      </c>
      <c r="K37" s="118">
        <v>12144</v>
      </c>
      <c r="L37" s="118">
        <v>12122</v>
      </c>
      <c r="M37" s="118">
        <v>14813</v>
      </c>
      <c r="N37" s="118">
        <v>14824</v>
      </c>
      <c r="O37" s="118">
        <v>21149</v>
      </c>
      <c r="P37" s="118">
        <v>26010</v>
      </c>
      <c r="Q37" s="118">
        <v>39812</v>
      </c>
      <c r="R37" s="118">
        <v>42589</v>
      </c>
      <c r="S37" s="118">
        <v>53985</v>
      </c>
      <c r="T37" s="118">
        <v>50954</v>
      </c>
      <c r="U37" s="143">
        <v>49884</v>
      </c>
      <c r="V37" s="143">
        <v>36490</v>
      </c>
      <c r="W37" s="143">
        <v>42469</v>
      </c>
      <c r="X37" s="142">
        <v>52268.710526315786</v>
      </c>
      <c r="Y37" s="142">
        <v>60884.315789473687</v>
      </c>
      <c r="Z37" s="142">
        <v>55409.26315789474</v>
      </c>
    </row>
    <row r="38" spans="1:26" x14ac:dyDescent="0.25">
      <c r="A38" s="18" t="s">
        <v>27</v>
      </c>
      <c r="B38" s="118">
        <v>467</v>
      </c>
      <c r="C38" s="118">
        <v>107</v>
      </c>
      <c r="D38" s="118">
        <v>60</v>
      </c>
      <c r="E38" s="118">
        <v>202</v>
      </c>
      <c r="F38" s="118">
        <v>137</v>
      </c>
      <c r="G38" s="118">
        <v>116</v>
      </c>
      <c r="H38" s="118">
        <v>173</v>
      </c>
      <c r="I38" s="118">
        <v>115</v>
      </c>
      <c r="J38" s="118">
        <v>56</v>
      </c>
      <c r="K38" s="118">
        <v>290</v>
      </c>
      <c r="L38" s="118">
        <v>397</v>
      </c>
      <c r="M38" s="118">
        <v>263</v>
      </c>
      <c r="N38" s="118">
        <v>436</v>
      </c>
      <c r="O38" s="118">
        <v>471</v>
      </c>
      <c r="P38" s="118">
        <v>398</v>
      </c>
      <c r="Q38" s="118">
        <v>626</v>
      </c>
      <c r="R38" s="118">
        <v>945</v>
      </c>
      <c r="S38" s="117">
        <v>1226</v>
      </c>
      <c r="T38" s="118">
        <v>500</v>
      </c>
      <c r="U38" s="143">
        <v>437</v>
      </c>
      <c r="V38" s="143">
        <v>369</v>
      </c>
      <c r="W38" s="143">
        <v>674</v>
      </c>
      <c r="X38" s="142">
        <v>4106.3421052631575</v>
      </c>
      <c r="Y38" s="142">
        <v>664</v>
      </c>
      <c r="Z38" s="142">
        <v>904</v>
      </c>
    </row>
    <row r="39" spans="1:26" x14ac:dyDescent="0.25">
      <c r="A39" s="18" t="s">
        <v>28</v>
      </c>
      <c r="B39" s="118">
        <v>1310</v>
      </c>
      <c r="C39" s="118">
        <v>1336</v>
      </c>
      <c r="D39" s="118">
        <v>1389</v>
      </c>
      <c r="E39" s="118">
        <v>1641</v>
      </c>
      <c r="F39" s="118">
        <v>2139</v>
      </c>
      <c r="G39" s="118">
        <v>2253</v>
      </c>
      <c r="H39" s="118">
        <v>2472</v>
      </c>
      <c r="I39" s="118">
        <v>3501</v>
      </c>
      <c r="J39" s="118">
        <v>4134</v>
      </c>
      <c r="K39" s="118">
        <v>3860</v>
      </c>
      <c r="L39" s="118">
        <v>3706</v>
      </c>
      <c r="M39" s="118">
        <v>3720</v>
      </c>
      <c r="N39" s="118">
        <v>4358</v>
      </c>
      <c r="O39" s="118">
        <v>4866</v>
      </c>
      <c r="P39" s="118">
        <v>4664</v>
      </c>
      <c r="Q39" s="118">
        <v>5161</v>
      </c>
      <c r="R39" s="118">
        <v>5555</v>
      </c>
      <c r="S39" s="118">
        <v>3379</v>
      </c>
      <c r="T39" s="118">
        <v>3578</v>
      </c>
      <c r="U39" s="143">
        <v>3318</v>
      </c>
      <c r="V39" s="143">
        <v>3417</v>
      </c>
      <c r="W39" s="143">
        <v>3523</v>
      </c>
      <c r="X39" s="142">
        <v>3832</v>
      </c>
      <c r="Y39" s="142">
        <v>4106</v>
      </c>
      <c r="Z39" s="142">
        <v>4099.8684210526317</v>
      </c>
    </row>
    <row r="40" spans="1:26" x14ac:dyDescent="0.25">
      <c r="A40" s="18" t="s">
        <v>29</v>
      </c>
      <c r="B40" s="118">
        <v>1190</v>
      </c>
      <c r="C40" s="118">
        <v>1312</v>
      </c>
      <c r="D40" s="118">
        <v>1318</v>
      </c>
      <c r="E40" s="118">
        <v>1690</v>
      </c>
      <c r="F40" s="118">
        <v>1775</v>
      </c>
      <c r="G40" s="118">
        <v>1454</v>
      </c>
      <c r="H40" s="118">
        <v>1666</v>
      </c>
      <c r="I40" s="118">
        <v>1654</v>
      </c>
      <c r="J40" s="118">
        <v>2002</v>
      </c>
      <c r="K40" s="118">
        <v>2620</v>
      </c>
      <c r="L40" s="118">
        <v>2146</v>
      </c>
      <c r="M40" s="118">
        <v>2649</v>
      </c>
      <c r="N40" s="118">
        <v>3116</v>
      </c>
      <c r="O40" s="118">
        <v>2589</v>
      </c>
      <c r="P40" s="118">
        <v>4194</v>
      </c>
      <c r="Q40" s="118">
        <v>5500</v>
      </c>
      <c r="R40" s="118">
        <v>4542</v>
      </c>
      <c r="S40" s="118">
        <v>2965</v>
      </c>
      <c r="T40" s="118">
        <v>3700</v>
      </c>
      <c r="U40" s="143">
        <v>4053</v>
      </c>
      <c r="V40" s="143">
        <v>3600</v>
      </c>
      <c r="W40" s="143">
        <v>3674</v>
      </c>
      <c r="X40" s="142">
        <v>4114.7894736842109</v>
      </c>
      <c r="Y40" s="142">
        <v>4664</v>
      </c>
      <c r="Z40" s="142">
        <v>4654</v>
      </c>
    </row>
    <row r="41" spans="1:26" x14ac:dyDescent="0.25">
      <c r="A41" s="18" t="s">
        <v>30</v>
      </c>
      <c r="B41" s="118">
        <v>15191</v>
      </c>
      <c r="C41" s="118">
        <v>15179</v>
      </c>
      <c r="D41" s="118">
        <v>16055</v>
      </c>
      <c r="E41" s="118">
        <v>23335</v>
      </c>
      <c r="F41" s="118">
        <v>27654</v>
      </c>
      <c r="G41" s="118">
        <v>33190</v>
      </c>
      <c r="H41" s="118">
        <v>34227</v>
      </c>
      <c r="I41" s="118">
        <v>38051</v>
      </c>
      <c r="J41" s="118">
        <v>48050</v>
      </c>
      <c r="K41" s="118">
        <v>38990</v>
      </c>
      <c r="L41" s="118">
        <v>42761</v>
      </c>
      <c r="M41" s="118">
        <v>45058</v>
      </c>
      <c r="N41" s="118">
        <v>41758</v>
      </c>
      <c r="O41" s="118">
        <v>42638</v>
      </c>
      <c r="P41" s="118">
        <v>54748</v>
      </c>
      <c r="Q41" s="118">
        <v>52157</v>
      </c>
      <c r="R41" s="118">
        <v>57421</v>
      </c>
      <c r="S41" s="118">
        <v>69508</v>
      </c>
      <c r="T41" s="118">
        <v>78174</v>
      </c>
      <c r="U41" s="143">
        <v>72752</v>
      </c>
      <c r="V41" s="143">
        <v>71904</v>
      </c>
      <c r="W41" s="143">
        <v>71673</v>
      </c>
      <c r="X41" s="142">
        <v>70253.052631578947</v>
      </c>
      <c r="Y41" s="142">
        <v>79138.263157894733</v>
      </c>
      <c r="Z41" s="142">
        <v>56345.368421052633</v>
      </c>
    </row>
    <row r="42" spans="1:26" ht="19.5" x14ac:dyDescent="0.25">
      <c r="A42" s="17" t="s">
        <v>220</v>
      </c>
      <c r="B42" s="120">
        <v>33474</v>
      </c>
      <c r="C42" s="120">
        <v>33138</v>
      </c>
      <c r="D42" s="120">
        <v>35278</v>
      </c>
      <c r="E42" s="120">
        <v>33361</v>
      </c>
      <c r="F42" s="120">
        <v>36861</v>
      </c>
      <c r="G42" s="120">
        <v>42080</v>
      </c>
      <c r="H42" s="120">
        <v>52608</v>
      </c>
      <c r="I42" s="120">
        <v>64508</v>
      </c>
      <c r="J42" s="120">
        <v>67968</v>
      </c>
      <c r="K42" s="120">
        <v>62364</v>
      </c>
      <c r="L42" s="120">
        <v>70812</v>
      </c>
      <c r="M42" s="120">
        <v>73217</v>
      </c>
      <c r="N42" s="120">
        <v>87651</v>
      </c>
      <c r="O42" s="120">
        <v>87203</v>
      </c>
      <c r="P42" s="120">
        <v>118038</v>
      </c>
      <c r="Q42" s="120">
        <v>117530</v>
      </c>
      <c r="R42" s="120">
        <v>122376</v>
      </c>
      <c r="S42" s="120">
        <v>131657</v>
      </c>
      <c r="T42" s="120">
        <v>124632</v>
      </c>
      <c r="U42" s="116">
        <v>136241</v>
      </c>
      <c r="V42" s="116">
        <v>153196</v>
      </c>
      <c r="W42" s="116">
        <v>157122</v>
      </c>
      <c r="X42" s="140">
        <v>167373.5</v>
      </c>
      <c r="Y42" s="140">
        <v>185608.39473684211</v>
      </c>
      <c r="Z42" s="140">
        <v>174507.42105263157</v>
      </c>
    </row>
    <row r="43" spans="1:26" x14ac:dyDescent="0.25">
      <c r="A43" s="18" t="s">
        <v>31</v>
      </c>
      <c r="B43" s="118">
        <v>650</v>
      </c>
      <c r="C43" s="118">
        <v>843</v>
      </c>
      <c r="D43" s="118">
        <v>1653</v>
      </c>
      <c r="E43" s="118">
        <v>655</v>
      </c>
      <c r="F43" s="118">
        <v>310</v>
      </c>
      <c r="G43" s="118">
        <v>611</v>
      </c>
      <c r="H43" s="118">
        <v>282</v>
      </c>
      <c r="I43" s="118">
        <v>733</v>
      </c>
      <c r="J43" s="118">
        <v>777</v>
      </c>
      <c r="K43" s="118">
        <v>1313</v>
      </c>
      <c r="L43" s="118">
        <v>1608</v>
      </c>
      <c r="M43" s="118">
        <v>1398</v>
      </c>
      <c r="N43" s="118">
        <v>1298</v>
      </c>
      <c r="O43" s="118">
        <v>1210</v>
      </c>
      <c r="P43" s="118">
        <v>3028</v>
      </c>
      <c r="Q43" s="118">
        <v>4259</v>
      </c>
      <c r="R43" s="118">
        <v>3277</v>
      </c>
      <c r="S43" s="118">
        <v>4192</v>
      </c>
      <c r="T43" s="118">
        <v>2905</v>
      </c>
      <c r="U43" s="143">
        <v>4009</v>
      </c>
      <c r="V43" s="143">
        <v>3836</v>
      </c>
      <c r="W43" s="143">
        <v>4056</v>
      </c>
      <c r="X43" s="142">
        <v>5122</v>
      </c>
      <c r="Y43" s="142">
        <v>7442</v>
      </c>
      <c r="Z43" s="142">
        <v>6769</v>
      </c>
    </row>
    <row r="44" spans="1:26" x14ac:dyDescent="0.25">
      <c r="A44" s="18" t="s">
        <v>32</v>
      </c>
      <c r="B44" s="118">
        <v>441</v>
      </c>
      <c r="C44" s="118">
        <v>814</v>
      </c>
      <c r="D44" s="118">
        <v>683</v>
      </c>
      <c r="E44" s="118">
        <v>477</v>
      </c>
      <c r="F44" s="118">
        <v>500</v>
      </c>
      <c r="G44" s="118">
        <v>484</v>
      </c>
      <c r="H44" s="118">
        <v>692</v>
      </c>
      <c r="I44" s="118">
        <v>743</v>
      </c>
      <c r="J44" s="118">
        <v>672</v>
      </c>
      <c r="K44" s="118">
        <v>814</v>
      </c>
      <c r="L44" s="118">
        <v>1216</v>
      </c>
      <c r="M44" s="118">
        <v>1247</v>
      </c>
      <c r="N44" s="118">
        <v>993</v>
      </c>
      <c r="O44" s="118">
        <v>1412</v>
      </c>
      <c r="P44" s="118">
        <v>1548</v>
      </c>
      <c r="Q44" s="118">
        <v>1681</v>
      </c>
      <c r="R44" s="118">
        <v>884</v>
      </c>
      <c r="S44" s="118">
        <v>1184</v>
      </c>
      <c r="T44" s="118">
        <v>873</v>
      </c>
      <c r="U44" s="143">
        <v>1107</v>
      </c>
      <c r="V44" s="143">
        <v>968</v>
      </c>
      <c r="W44" s="143">
        <v>1120</v>
      </c>
      <c r="X44" s="142">
        <v>1155.3947368421052</v>
      </c>
      <c r="Y44" s="142">
        <v>1417</v>
      </c>
      <c r="Z44" s="142">
        <v>1288</v>
      </c>
    </row>
    <row r="45" spans="1:26" x14ac:dyDescent="0.25">
      <c r="A45" s="18" t="s">
        <v>33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>
        <v>4523</v>
      </c>
      <c r="Q45" s="118">
        <v>2331</v>
      </c>
      <c r="R45" s="118">
        <v>3248</v>
      </c>
      <c r="S45" s="118">
        <v>7955</v>
      </c>
      <c r="T45" s="118">
        <v>8896</v>
      </c>
      <c r="U45" s="143">
        <v>8075</v>
      </c>
      <c r="V45" s="143">
        <v>8370</v>
      </c>
      <c r="W45" s="143">
        <v>9241</v>
      </c>
      <c r="X45" s="142">
        <v>9002</v>
      </c>
      <c r="Y45" s="142">
        <v>13248</v>
      </c>
      <c r="Z45" s="142">
        <v>14567</v>
      </c>
    </row>
    <row r="46" spans="1:26" x14ac:dyDescent="0.25">
      <c r="A46" s="18" t="s">
        <v>34</v>
      </c>
      <c r="B46" s="118">
        <v>13038</v>
      </c>
      <c r="C46" s="118">
        <v>12893</v>
      </c>
      <c r="D46" s="118">
        <v>15274</v>
      </c>
      <c r="E46" s="118">
        <v>14106</v>
      </c>
      <c r="F46" s="118">
        <v>15612</v>
      </c>
      <c r="G46" s="118">
        <v>17636</v>
      </c>
      <c r="H46" s="118">
        <v>24282</v>
      </c>
      <c r="I46" s="118">
        <v>31890</v>
      </c>
      <c r="J46" s="118">
        <v>34190</v>
      </c>
      <c r="K46" s="118">
        <v>30458</v>
      </c>
      <c r="L46" s="118">
        <v>37146</v>
      </c>
      <c r="M46" s="118">
        <v>38935</v>
      </c>
      <c r="N46" s="118">
        <v>48833</v>
      </c>
      <c r="O46" s="118">
        <v>45613</v>
      </c>
      <c r="P46" s="118">
        <v>56877</v>
      </c>
      <c r="Q46" s="118">
        <v>59274</v>
      </c>
      <c r="R46" s="118">
        <v>63922</v>
      </c>
      <c r="S46" s="118">
        <v>69594</v>
      </c>
      <c r="T46" s="118">
        <v>65821</v>
      </c>
      <c r="U46" s="143">
        <v>67988</v>
      </c>
      <c r="V46" s="143">
        <v>82221</v>
      </c>
      <c r="W46" s="143">
        <v>86202</v>
      </c>
      <c r="X46" s="142">
        <v>97182.105263157893</v>
      </c>
      <c r="Y46" s="142">
        <v>103644.39473684211</v>
      </c>
      <c r="Z46" s="142">
        <v>90650.394736842107</v>
      </c>
    </row>
    <row r="47" spans="1:26" x14ac:dyDescent="0.25">
      <c r="A47" s="18" t="s">
        <v>35</v>
      </c>
      <c r="B47" s="118">
        <v>3364</v>
      </c>
      <c r="C47" s="118">
        <v>3567</v>
      </c>
      <c r="D47" s="118">
        <v>3069</v>
      </c>
      <c r="E47" s="118">
        <v>3499</v>
      </c>
      <c r="F47" s="118">
        <v>3178</v>
      </c>
      <c r="G47" s="118">
        <v>4660</v>
      </c>
      <c r="H47" s="118">
        <v>4352</v>
      </c>
      <c r="I47" s="118">
        <v>4345</v>
      </c>
      <c r="J47" s="118">
        <v>2982</v>
      </c>
      <c r="K47" s="118">
        <v>4450</v>
      </c>
      <c r="L47" s="118">
        <v>4997</v>
      </c>
      <c r="M47" s="118">
        <v>4077</v>
      </c>
      <c r="N47" s="118">
        <v>3733</v>
      </c>
      <c r="O47" s="118">
        <v>5358</v>
      </c>
      <c r="P47" s="118">
        <v>6321</v>
      </c>
      <c r="Q47" s="118">
        <v>6357</v>
      </c>
      <c r="R47" s="118">
        <v>6759</v>
      </c>
      <c r="S47" s="118">
        <v>5442</v>
      </c>
      <c r="T47" s="118">
        <v>3634</v>
      </c>
      <c r="U47" s="143">
        <v>3607</v>
      </c>
      <c r="V47" s="143">
        <v>3823</v>
      </c>
      <c r="W47" s="143">
        <v>5224</v>
      </c>
      <c r="X47" s="142">
        <v>5334</v>
      </c>
      <c r="Y47" s="142">
        <v>5325</v>
      </c>
      <c r="Z47" s="142">
        <v>6150.0263157894733</v>
      </c>
    </row>
    <row r="48" spans="1:26" x14ac:dyDescent="0.25">
      <c r="A48" s="18" t="s">
        <v>36</v>
      </c>
      <c r="B48" s="118">
        <v>4740</v>
      </c>
      <c r="C48" s="118">
        <v>4152</v>
      </c>
      <c r="D48" s="118">
        <v>4335</v>
      </c>
      <c r="E48" s="118">
        <v>3658</v>
      </c>
      <c r="F48" s="118">
        <v>5050</v>
      </c>
      <c r="G48" s="118">
        <v>5623</v>
      </c>
      <c r="H48" s="118">
        <v>6966</v>
      </c>
      <c r="I48" s="118">
        <v>8000</v>
      </c>
      <c r="J48" s="118">
        <v>8945</v>
      </c>
      <c r="K48" s="118">
        <v>7216</v>
      </c>
      <c r="L48" s="118">
        <v>7337</v>
      </c>
      <c r="M48" s="118">
        <v>6924</v>
      </c>
      <c r="N48" s="118">
        <v>10160</v>
      </c>
      <c r="O48" s="118">
        <v>9432</v>
      </c>
      <c r="P48" s="118">
        <v>13002</v>
      </c>
      <c r="Q48" s="118">
        <v>11316</v>
      </c>
      <c r="R48" s="118">
        <v>10557</v>
      </c>
      <c r="S48" s="118">
        <v>10383</v>
      </c>
      <c r="T48" s="118">
        <v>7895</v>
      </c>
      <c r="U48" s="143">
        <v>9959</v>
      </c>
      <c r="V48" s="143">
        <v>10611</v>
      </c>
      <c r="W48" s="143">
        <v>11084</v>
      </c>
      <c r="X48" s="142">
        <v>9335</v>
      </c>
      <c r="Y48" s="142">
        <v>12238</v>
      </c>
      <c r="Z48" s="142">
        <v>14684</v>
      </c>
    </row>
    <row r="49" spans="1:26" x14ac:dyDescent="0.25">
      <c r="A49" s="18" t="s">
        <v>37</v>
      </c>
      <c r="B49" s="118">
        <v>11241</v>
      </c>
      <c r="C49" s="118">
        <v>10869</v>
      </c>
      <c r="D49" s="118">
        <v>10264</v>
      </c>
      <c r="E49" s="118">
        <v>10966</v>
      </c>
      <c r="F49" s="118">
        <v>12211</v>
      </c>
      <c r="G49" s="118">
        <v>13066</v>
      </c>
      <c r="H49" s="118">
        <v>16034</v>
      </c>
      <c r="I49" s="118">
        <v>18797</v>
      </c>
      <c r="J49" s="118">
        <v>20402</v>
      </c>
      <c r="K49" s="118">
        <v>18113</v>
      </c>
      <c r="L49" s="118">
        <v>18508</v>
      </c>
      <c r="M49" s="118">
        <v>20636</v>
      </c>
      <c r="N49" s="118">
        <v>22634</v>
      </c>
      <c r="O49" s="118">
        <v>24177</v>
      </c>
      <c r="P49" s="118">
        <v>28730</v>
      </c>
      <c r="Q49" s="118">
        <v>30479</v>
      </c>
      <c r="R49" s="118">
        <v>30025</v>
      </c>
      <c r="S49" s="118">
        <v>30592</v>
      </c>
      <c r="T49" s="118">
        <v>31938</v>
      </c>
      <c r="U49" s="143">
        <v>35229</v>
      </c>
      <c r="V49" s="143">
        <v>36347</v>
      </c>
      <c r="W49" s="143">
        <v>35207</v>
      </c>
      <c r="X49" s="142">
        <v>34430</v>
      </c>
      <c r="Y49" s="142">
        <v>37443</v>
      </c>
      <c r="Z49" s="142">
        <v>36310</v>
      </c>
    </row>
    <row r="50" spans="1:26" x14ac:dyDescent="0.25">
      <c r="A50" s="18" t="s">
        <v>38</v>
      </c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>
        <v>4009</v>
      </c>
      <c r="Q50" s="118">
        <v>1833</v>
      </c>
      <c r="R50" s="118">
        <v>3705</v>
      </c>
      <c r="S50" s="118">
        <v>2315</v>
      </c>
      <c r="T50" s="118">
        <v>2670</v>
      </c>
      <c r="U50" s="143">
        <v>6267</v>
      </c>
      <c r="V50" s="143">
        <v>7020</v>
      </c>
      <c r="W50" s="143">
        <v>4988</v>
      </c>
      <c r="X50" s="142">
        <v>5813</v>
      </c>
      <c r="Y50" s="142">
        <v>4851</v>
      </c>
      <c r="Z50" s="142">
        <v>4089</v>
      </c>
    </row>
    <row r="51" spans="1:26" ht="21.75" customHeight="1" x14ac:dyDescent="0.25">
      <c r="A51" s="17" t="s">
        <v>115</v>
      </c>
      <c r="B51" s="120">
        <v>13871</v>
      </c>
      <c r="C51" s="120">
        <v>14767</v>
      </c>
      <c r="D51" s="120">
        <v>13536</v>
      </c>
      <c r="E51" s="120">
        <v>15462</v>
      </c>
      <c r="F51" s="120">
        <v>15378</v>
      </c>
      <c r="G51" s="120">
        <v>16994</v>
      </c>
      <c r="H51" s="120">
        <v>17964</v>
      </c>
      <c r="I51" s="120">
        <v>22049</v>
      </c>
      <c r="J51" s="120">
        <v>24776</v>
      </c>
      <c r="K51" s="120">
        <v>25010</v>
      </c>
      <c r="L51" s="120">
        <v>30679</v>
      </c>
      <c r="M51" s="120">
        <v>32796</v>
      </c>
      <c r="N51" s="120">
        <v>35306</v>
      </c>
      <c r="O51" s="120">
        <v>37888</v>
      </c>
      <c r="P51" s="120">
        <v>45664</v>
      </c>
      <c r="Q51" s="120">
        <v>49309</v>
      </c>
      <c r="R51" s="120">
        <v>47944</v>
      </c>
      <c r="S51" s="120">
        <v>47234</v>
      </c>
      <c r="T51" s="120">
        <v>37216</v>
      </c>
      <c r="U51" s="116">
        <v>39632</v>
      </c>
      <c r="V51" s="116">
        <v>39237</v>
      </c>
      <c r="W51" s="116">
        <v>46306</v>
      </c>
      <c r="X51" s="140">
        <v>53237.815789473687</v>
      </c>
      <c r="Y51" s="140">
        <v>67109</v>
      </c>
      <c r="Z51" s="140">
        <v>76930</v>
      </c>
    </row>
    <row r="52" spans="1:26" x14ac:dyDescent="0.25">
      <c r="A52" s="18" t="s">
        <v>39</v>
      </c>
      <c r="B52" s="118">
        <v>3904</v>
      </c>
      <c r="C52" s="118">
        <v>5318</v>
      </c>
      <c r="D52" s="118">
        <v>4230</v>
      </c>
      <c r="E52" s="118">
        <v>4893</v>
      </c>
      <c r="F52" s="118">
        <v>5522</v>
      </c>
      <c r="G52" s="118">
        <v>5873</v>
      </c>
      <c r="H52" s="118">
        <v>5707</v>
      </c>
      <c r="I52" s="118">
        <v>6470</v>
      </c>
      <c r="J52" s="118">
        <v>7689</v>
      </c>
      <c r="K52" s="118">
        <v>9089</v>
      </c>
      <c r="L52" s="118">
        <v>9095</v>
      </c>
      <c r="M52" s="118">
        <v>10413</v>
      </c>
      <c r="N52" s="118">
        <v>10684</v>
      </c>
      <c r="O52" s="118">
        <v>10466</v>
      </c>
      <c r="P52" s="118">
        <v>11212</v>
      </c>
      <c r="Q52" s="118">
        <v>15506</v>
      </c>
      <c r="R52" s="118">
        <v>13213</v>
      </c>
      <c r="S52" s="118">
        <v>16194</v>
      </c>
      <c r="T52" s="118">
        <v>9145</v>
      </c>
      <c r="U52" s="143">
        <v>10164</v>
      </c>
      <c r="V52" s="143">
        <v>9835</v>
      </c>
      <c r="W52" s="143">
        <v>10848</v>
      </c>
      <c r="X52" s="142">
        <v>10147</v>
      </c>
      <c r="Y52" s="142">
        <v>15073</v>
      </c>
      <c r="Z52" s="142">
        <v>20853</v>
      </c>
    </row>
    <row r="53" spans="1:26" x14ac:dyDescent="0.25">
      <c r="A53" s="18" t="s">
        <v>99</v>
      </c>
      <c r="B53" s="118">
        <v>141</v>
      </c>
      <c r="C53" s="118">
        <v>241</v>
      </c>
      <c r="D53" s="118">
        <v>164</v>
      </c>
      <c r="E53" s="118">
        <v>240</v>
      </c>
      <c r="F53" s="118">
        <v>170</v>
      </c>
      <c r="G53" s="118">
        <v>306</v>
      </c>
      <c r="H53" s="118">
        <v>310</v>
      </c>
      <c r="I53" s="118">
        <v>1725</v>
      </c>
      <c r="J53" s="118">
        <v>547</v>
      </c>
      <c r="K53" s="118">
        <v>341</v>
      </c>
      <c r="L53" s="118">
        <v>1367</v>
      </c>
      <c r="M53" s="118">
        <v>681</v>
      </c>
      <c r="N53" s="118">
        <v>717</v>
      </c>
      <c r="O53" s="118">
        <v>2426</v>
      </c>
      <c r="P53" s="118">
        <v>2314</v>
      </c>
      <c r="Q53" s="118">
        <v>2725</v>
      </c>
      <c r="R53" s="118">
        <v>2762</v>
      </c>
      <c r="S53" s="118">
        <v>2638</v>
      </c>
      <c r="T53" s="118">
        <v>2108</v>
      </c>
      <c r="U53" s="143">
        <v>2697</v>
      </c>
      <c r="V53" s="143">
        <v>1537</v>
      </c>
      <c r="W53" s="143">
        <v>953</v>
      </c>
      <c r="X53" s="142">
        <v>1111</v>
      </c>
      <c r="Y53" s="142">
        <v>1335</v>
      </c>
      <c r="Z53" s="142">
        <v>1177</v>
      </c>
    </row>
    <row r="54" spans="1:26" ht="20.25" x14ac:dyDescent="0.25">
      <c r="A54" s="18" t="s">
        <v>145</v>
      </c>
      <c r="B54" s="118">
        <v>1562</v>
      </c>
      <c r="C54" s="118">
        <v>1791</v>
      </c>
      <c r="D54" s="118">
        <v>1684</v>
      </c>
      <c r="E54" s="118">
        <v>1985</v>
      </c>
      <c r="F54" s="118">
        <v>1751</v>
      </c>
      <c r="G54" s="118">
        <v>1750</v>
      </c>
      <c r="H54" s="118">
        <v>1526</v>
      </c>
      <c r="I54" s="118">
        <v>1666</v>
      </c>
      <c r="J54" s="118">
        <v>2009</v>
      </c>
      <c r="K54" s="118">
        <v>1710</v>
      </c>
      <c r="L54" s="118">
        <v>2489</v>
      </c>
      <c r="M54" s="118">
        <v>1872</v>
      </c>
      <c r="N54" s="118">
        <v>2010</v>
      </c>
      <c r="O54" s="118">
        <v>2233</v>
      </c>
      <c r="P54" s="118">
        <v>2385</v>
      </c>
      <c r="Q54" s="118">
        <v>2937</v>
      </c>
      <c r="R54" s="118">
        <v>3785</v>
      </c>
      <c r="S54" s="118">
        <v>4009</v>
      </c>
      <c r="T54" s="118">
        <v>3713</v>
      </c>
      <c r="U54" s="143">
        <v>4220</v>
      </c>
      <c r="V54" s="143">
        <v>5051</v>
      </c>
      <c r="W54" s="143">
        <v>5429</v>
      </c>
      <c r="X54" s="142">
        <v>5247</v>
      </c>
      <c r="Y54" s="142">
        <v>5413</v>
      </c>
      <c r="Z54" s="142">
        <v>6419</v>
      </c>
    </row>
    <row r="55" spans="1:26" ht="20.25" x14ac:dyDescent="0.25">
      <c r="A55" s="18" t="s">
        <v>143</v>
      </c>
      <c r="B55" s="118">
        <v>391</v>
      </c>
      <c r="C55" s="118">
        <v>600</v>
      </c>
      <c r="D55" s="118">
        <v>445</v>
      </c>
      <c r="E55" s="118">
        <v>564</v>
      </c>
      <c r="F55" s="118">
        <v>466</v>
      </c>
      <c r="G55" s="118">
        <v>521</v>
      </c>
      <c r="H55" s="118">
        <v>624</v>
      </c>
      <c r="I55" s="118">
        <v>690</v>
      </c>
      <c r="J55" s="118">
        <v>599</v>
      </c>
      <c r="K55" s="118">
        <v>658</v>
      </c>
      <c r="L55" s="118">
        <v>470</v>
      </c>
      <c r="M55" s="118">
        <v>505</v>
      </c>
      <c r="N55" s="118">
        <v>645</v>
      </c>
      <c r="O55" s="118">
        <v>821</v>
      </c>
      <c r="P55" s="118">
        <v>1266</v>
      </c>
      <c r="Q55" s="118">
        <v>1225</v>
      </c>
      <c r="R55" s="118">
        <v>1312</v>
      </c>
      <c r="S55" s="118">
        <v>2295</v>
      </c>
      <c r="T55" s="118">
        <v>1955</v>
      </c>
      <c r="U55" s="143">
        <v>1881</v>
      </c>
      <c r="V55" s="143">
        <v>864</v>
      </c>
      <c r="W55" s="143">
        <v>1628</v>
      </c>
      <c r="X55" s="142">
        <v>2189.8157894736842</v>
      </c>
      <c r="Y55" s="142">
        <v>3176</v>
      </c>
      <c r="Z55" s="142">
        <v>3257</v>
      </c>
    </row>
    <row r="56" spans="1:26" ht="20.25" x14ac:dyDescent="0.25">
      <c r="A56" s="18" t="s">
        <v>43</v>
      </c>
      <c r="B56" s="118">
        <v>1402</v>
      </c>
      <c r="C56" s="118">
        <v>1479</v>
      </c>
      <c r="D56" s="118">
        <v>1185</v>
      </c>
      <c r="E56" s="118">
        <v>1338</v>
      </c>
      <c r="F56" s="118">
        <v>1342</v>
      </c>
      <c r="G56" s="118">
        <v>1250</v>
      </c>
      <c r="H56" s="118">
        <v>1874</v>
      </c>
      <c r="I56" s="118">
        <v>1747</v>
      </c>
      <c r="J56" s="118">
        <v>2157</v>
      </c>
      <c r="K56" s="118">
        <v>2214</v>
      </c>
      <c r="L56" s="118">
        <v>2450</v>
      </c>
      <c r="M56" s="118">
        <v>2104</v>
      </c>
      <c r="N56" s="118">
        <v>1537</v>
      </c>
      <c r="O56" s="118">
        <v>2721</v>
      </c>
      <c r="P56" s="118">
        <v>2149</v>
      </c>
      <c r="Q56" s="118">
        <v>2283</v>
      </c>
      <c r="R56" s="118">
        <v>2336</v>
      </c>
      <c r="S56" s="118">
        <v>2587</v>
      </c>
      <c r="T56" s="118">
        <v>2862</v>
      </c>
      <c r="U56" s="143">
        <v>2737</v>
      </c>
      <c r="V56" s="143">
        <v>2950</v>
      </c>
      <c r="W56" s="143">
        <v>3333</v>
      </c>
      <c r="X56" s="142">
        <v>3450</v>
      </c>
      <c r="Y56" s="142">
        <v>5409</v>
      </c>
      <c r="Z56" s="142">
        <v>6033</v>
      </c>
    </row>
    <row r="57" spans="1:26" x14ac:dyDescent="0.25">
      <c r="A57" s="18" t="s">
        <v>97</v>
      </c>
      <c r="B57" s="118" t="s">
        <v>96</v>
      </c>
      <c r="C57" s="118" t="s">
        <v>96</v>
      </c>
      <c r="D57" s="118" t="s">
        <v>96</v>
      </c>
      <c r="E57" s="118" t="s">
        <v>96</v>
      </c>
      <c r="F57" s="118" t="s">
        <v>96</v>
      </c>
      <c r="G57" s="118">
        <v>453</v>
      </c>
      <c r="H57" s="118">
        <v>608</v>
      </c>
      <c r="I57" s="118">
        <v>383</v>
      </c>
      <c r="J57" s="118">
        <v>442</v>
      </c>
      <c r="K57" s="118">
        <v>583</v>
      </c>
      <c r="L57" s="118">
        <v>969</v>
      </c>
      <c r="M57" s="118">
        <v>937</v>
      </c>
      <c r="N57" s="118">
        <v>2973</v>
      </c>
      <c r="O57" s="118">
        <v>2867</v>
      </c>
      <c r="P57" s="118">
        <v>11031</v>
      </c>
      <c r="Q57" s="118">
        <v>7579</v>
      </c>
      <c r="R57" s="118">
        <v>8667</v>
      </c>
      <c r="S57" s="118">
        <v>7680</v>
      </c>
      <c r="T57" s="118">
        <v>4812</v>
      </c>
      <c r="U57" s="143">
        <v>4518</v>
      </c>
      <c r="V57" s="143">
        <v>4794</v>
      </c>
      <c r="W57" s="143">
        <v>7824</v>
      </c>
      <c r="X57" s="142">
        <v>13047</v>
      </c>
      <c r="Y57" s="142">
        <v>16898</v>
      </c>
      <c r="Z57" s="142">
        <v>18805</v>
      </c>
    </row>
    <row r="58" spans="1:26" x14ac:dyDescent="0.25">
      <c r="A58" s="39" t="s">
        <v>45</v>
      </c>
      <c r="B58" s="118">
        <v>6471</v>
      </c>
      <c r="C58" s="118">
        <v>5338</v>
      </c>
      <c r="D58" s="118">
        <v>5828</v>
      </c>
      <c r="E58" s="118">
        <v>6442</v>
      </c>
      <c r="F58" s="118">
        <v>6127</v>
      </c>
      <c r="G58" s="118">
        <v>6841</v>
      </c>
      <c r="H58" s="118">
        <v>7315</v>
      </c>
      <c r="I58" s="118">
        <v>9368</v>
      </c>
      <c r="J58" s="118">
        <v>11333</v>
      </c>
      <c r="K58" s="118">
        <v>10415</v>
      </c>
      <c r="L58" s="118">
        <v>13839</v>
      </c>
      <c r="M58" s="118">
        <v>16285</v>
      </c>
      <c r="N58" s="118">
        <v>16740</v>
      </c>
      <c r="O58" s="118">
        <v>16353</v>
      </c>
      <c r="P58" s="118">
        <v>15307</v>
      </c>
      <c r="Q58" s="118">
        <v>17054</v>
      </c>
      <c r="R58" s="118">
        <v>15868</v>
      </c>
      <c r="S58" s="118">
        <v>11831</v>
      </c>
      <c r="T58" s="118">
        <v>12621</v>
      </c>
      <c r="U58" s="134">
        <v>13415</v>
      </c>
      <c r="V58" s="143">
        <v>14206</v>
      </c>
      <c r="W58" s="143">
        <v>16291</v>
      </c>
      <c r="X58" s="142">
        <v>18046</v>
      </c>
      <c r="Y58" s="142">
        <v>19805</v>
      </c>
      <c r="Z58" s="142">
        <v>20386</v>
      </c>
    </row>
    <row r="59" spans="1:26" ht="21.75" customHeight="1" x14ac:dyDescent="0.25">
      <c r="A59" s="40" t="s">
        <v>141</v>
      </c>
      <c r="B59" s="120">
        <v>84580</v>
      </c>
      <c r="C59" s="120">
        <v>89631</v>
      </c>
      <c r="D59" s="120">
        <v>87064</v>
      </c>
      <c r="E59" s="120">
        <v>87826</v>
      </c>
      <c r="F59" s="120">
        <v>95821</v>
      </c>
      <c r="G59" s="120">
        <v>106165</v>
      </c>
      <c r="H59" s="120">
        <v>117054</v>
      </c>
      <c r="I59" s="120">
        <v>144299</v>
      </c>
      <c r="J59" s="120">
        <v>160516</v>
      </c>
      <c r="K59" s="120">
        <v>147899</v>
      </c>
      <c r="L59" s="120">
        <v>149382</v>
      </c>
      <c r="M59" s="120">
        <v>168497</v>
      </c>
      <c r="N59" s="120">
        <v>176107</v>
      </c>
      <c r="O59" s="120">
        <v>190174</v>
      </c>
      <c r="P59" s="120">
        <v>222954</v>
      </c>
      <c r="Q59" s="120">
        <v>238321</v>
      </c>
      <c r="R59" s="120">
        <v>233176</v>
      </c>
      <c r="S59" s="120">
        <v>220782</v>
      </c>
      <c r="T59" s="120">
        <v>202474</v>
      </c>
      <c r="U59" s="133">
        <v>211000</v>
      </c>
      <c r="V59" s="133">
        <v>197720</v>
      </c>
      <c r="W59" s="133">
        <v>210782</v>
      </c>
      <c r="X59" s="105">
        <v>214591</v>
      </c>
      <c r="Y59" s="105">
        <v>253048.18421052632</v>
      </c>
      <c r="Z59" s="140">
        <v>245682.28947368421</v>
      </c>
    </row>
    <row r="60" spans="1:26" x14ac:dyDescent="0.25">
      <c r="A60" s="18" t="s">
        <v>46</v>
      </c>
      <c r="B60" s="118">
        <v>15349</v>
      </c>
      <c r="C60" s="118">
        <v>17117</v>
      </c>
      <c r="D60" s="118">
        <v>16612</v>
      </c>
      <c r="E60" s="118">
        <v>17485</v>
      </c>
      <c r="F60" s="118">
        <v>18418</v>
      </c>
      <c r="G60" s="118">
        <v>19395</v>
      </c>
      <c r="H60" s="118">
        <v>21278</v>
      </c>
      <c r="I60" s="118">
        <v>22827</v>
      </c>
      <c r="J60" s="118">
        <v>27935</v>
      </c>
      <c r="K60" s="118">
        <v>24347</v>
      </c>
      <c r="L60" s="118">
        <v>23045</v>
      </c>
      <c r="M60" s="118">
        <v>23684</v>
      </c>
      <c r="N60" s="118">
        <v>27085</v>
      </c>
      <c r="O60" s="118">
        <v>29950</v>
      </c>
      <c r="P60" s="118">
        <v>32727</v>
      </c>
      <c r="Q60" s="118">
        <v>34528</v>
      </c>
      <c r="R60" s="118">
        <v>33980</v>
      </c>
      <c r="S60" s="118">
        <v>32401</v>
      </c>
      <c r="T60" s="118">
        <v>30611</v>
      </c>
      <c r="U60" s="143">
        <v>31872</v>
      </c>
      <c r="V60" s="143">
        <v>31944</v>
      </c>
      <c r="W60" s="143">
        <v>39002</v>
      </c>
      <c r="X60" s="142">
        <v>39626.210526315786</v>
      </c>
      <c r="Y60" s="142">
        <v>43451</v>
      </c>
      <c r="Z60" s="139">
        <v>41343.26315789474</v>
      </c>
    </row>
    <row r="61" spans="1:26" x14ac:dyDescent="0.25">
      <c r="A61" s="18" t="s">
        <v>47</v>
      </c>
      <c r="B61" s="118">
        <v>1636</v>
      </c>
      <c r="C61" s="118">
        <v>1871</v>
      </c>
      <c r="D61" s="118">
        <v>1684</v>
      </c>
      <c r="E61" s="118">
        <v>1668</v>
      </c>
      <c r="F61" s="118">
        <v>1917</v>
      </c>
      <c r="G61" s="118">
        <v>2131</v>
      </c>
      <c r="H61" s="118">
        <v>2635</v>
      </c>
      <c r="I61" s="118">
        <v>3332</v>
      </c>
      <c r="J61" s="118">
        <v>3546</v>
      </c>
      <c r="K61" s="118">
        <v>3413</v>
      </c>
      <c r="L61" s="118">
        <v>3184</v>
      </c>
      <c r="M61" s="118">
        <v>3692</v>
      </c>
      <c r="N61" s="118">
        <v>4290</v>
      </c>
      <c r="O61" s="118">
        <v>4749</v>
      </c>
      <c r="P61" s="118">
        <v>5687</v>
      </c>
      <c r="Q61" s="118">
        <v>6494</v>
      </c>
      <c r="R61" s="118">
        <v>7322</v>
      </c>
      <c r="S61" s="118">
        <v>7653</v>
      </c>
      <c r="T61" s="118">
        <v>4821</v>
      </c>
      <c r="U61" s="143">
        <v>5745</v>
      </c>
      <c r="V61" s="143">
        <v>5495</v>
      </c>
      <c r="W61" s="143">
        <v>4576</v>
      </c>
      <c r="X61" s="142">
        <v>4807</v>
      </c>
      <c r="Y61" s="142">
        <v>6664</v>
      </c>
      <c r="Z61" s="142">
        <v>5607.5526315789475</v>
      </c>
    </row>
    <row r="62" spans="1:26" x14ac:dyDescent="0.25">
      <c r="A62" s="18" t="s">
        <v>48</v>
      </c>
      <c r="B62" s="118">
        <v>2128</v>
      </c>
      <c r="C62" s="118">
        <v>2066</v>
      </c>
      <c r="D62" s="118">
        <v>1620</v>
      </c>
      <c r="E62" s="118">
        <v>1776</v>
      </c>
      <c r="F62" s="118">
        <v>1846</v>
      </c>
      <c r="G62" s="118">
        <v>2214</v>
      </c>
      <c r="H62" s="118">
        <v>2740</v>
      </c>
      <c r="I62" s="118">
        <v>3274</v>
      </c>
      <c r="J62" s="118">
        <v>3814</v>
      </c>
      <c r="K62" s="118">
        <v>3964</v>
      </c>
      <c r="L62" s="118">
        <v>3913</v>
      </c>
      <c r="M62" s="118">
        <v>5039</v>
      </c>
      <c r="N62" s="118">
        <v>3949</v>
      </c>
      <c r="O62" s="118">
        <v>4695</v>
      </c>
      <c r="P62" s="118">
        <v>4890</v>
      </c>
      <c r="Q62" s="118">
        <v>4773</v>
      </c>
      <c r="R62" s="118">
        <v>4399</v>
      </c>
      <c r="S62" s="118">
        <v>4565</v>
      </c>
      <c r="T62" s="118">
        <v>4070</v>
      </c>
      <c r="U62" s="143">
        <v>4452</v>
      </c>
      <c r="V62" s="143">
        <v>3812</v>
      </c>
      <c r="W62" s="143">
        <v>4009</v>
      </c>
      <c r="X62" s="142">
        <v>3900.6842105263158</v>
      </c>
      <c r="Y62" s="142">
        <v>5050.4210526315792</v>
      </c>
      <c r="Z62" s="142">
        <v>4375.4736842105267</v>
      </c>
    </row>
    <row r="63" spans="1:26" x14ac:dyDescent="0.25">
      <c r="A63" s="18" t="s">
        <v>49</v>
      </c>
      <c r="B63" s="118">
        <v>19411</v>
      </c>
      <c r="C63" s="118">
        <v>19046</v>
      </c>
      <c r="D63" s="118">
        <v>18692</v>
      </c>
      <c r="E63" s="118">
        <v>17682</v>
      </c>
      <c r="F63" s="118">
        <v>21466</v>
      </c>
      <c r="G63" s="118">
        <v>16674</v>
      </c>
      <c r="H63" s="118">
        <v>17980</v>
      </c>
      <c r="I63" s="118">
        <v>22656</v>
      </c>
      <c r="J63" s="118">
        <v>26626</v>
      </c>
      <c r="K63" s="118">
        <v>24004</v>
      </c>
      <c r="L63" s="118">
        <v>25444</v>
      </c>
      <c r="M63" s="118">
        <v>30479</v>
      </c>
      <c r="N63" s="118">
        <v>29538</v>
      </c>
      <c r="O63" s="118">
        <v>26806</v>
      </c>
      <c r="P63" s="118">
        <v>28874</v>
      </c>
      <c r="Q63" s="118">
        <v>30851</v>
      </c>
      <c r="R63" s="118">
        <v>33357</v>
      </c>
      <c r="S63" s="118">
        <v>32694</v>
      </c>
      <c r="T63" s="118">
        <v>32658</v>
      </c>
      <c r="U63" s="143">
        <v>38505</v>
      </c>
      <c r="V63" s="143">
        <v>34559</v>
      </c>
      <c r="W63" s="143">
        <v>32951</v>
      </c>
      <c r="X63" s="142">
        <v>32855</v>
      </c>
      <c r="Y63" s="142">
        <v>46872</v>
      </c>
      <c r="Z63" s="142">
        <v>38982</v>
      </c>
    </row>
    <row r="64" spans="1:26" x14ac:dyDescent="0.25">
      <c r="A64" s="18" t="s">
        <v>50</v>
      </c>
      <c r="B64" s="118">
        <v>3328</v>
      </c>
      <c r="C64" s="118">
        <v>3388</v>
      </c>
      <c r="D64" s="118">
        <v>3932</v>
      </c>
      <c r="E64" s="118">
        <v>3933</v>
      </c>
      <c r="F64" s="118">
        <v>4118</v>
      </c>
      <c r="G64" s="118">
        <v>4080</v>
      </c>
      <c r="H64" s="118">
        <v>4730</v>
      </c>
      <c r="I64" s="118">
        <v>5397</v>
      </c>
      <c r="J64" s="118">
        <v>5689</v>
      </c>
      <c r="K64" s="118">
        <v>5617</v>
      </c>
      <c r="L64" s="118">
        <v>6154</v>
      </c>
      <c r="M64" s="118">
        <v>6845</v>
      </c>
      <c r="N64" s="118">
        <v>7338</v>
      </c>
      <c r="O64" s="118">
        <v>8234</v>
      </c>
      <c r="P64" s="118">
        <v>10634</v>
      </c>
      <c r="Q64" s="118">
        <v>10418</v>
      </c>
      <c r="R64" s="118">
        <v>11060</v>
      </c>
      <c r="S64" s="118">
        <v>10005</v>
      </c>
      <c r="T64" s="118">
        <v>10893</v>
      </c>
      <c r="U64" s="143">
        <v>10999</v>
      </c>
      <c r="V64" s="143">
        <v>11344</v>
      </c>
      <c r="W64" s="143">
        <v>12048</v>
      </c>
      <c r="X64" s="142">
        <v>14357</v>
      </c>
      <c r="Y64" s="142">
        <v>18403</v>
      </c>
      <c r="Z64" s="142">
        <v>18831</v>
      </c>
    </row>
    <row r="65" spans="1:26" x14ac:dyDescent="0.25">
      <c r="A65" s="18" t="s">
        <v>51</v>
      </c>
      <c r="B65" s="118">
        <v>5308</v>
      </c>
      <c r="C65" s="118">
        <v>5590</v>
      </c>
      <c r="D65" s="118">
        <v>6142</v>
      </c>
      <c r="E65" s="118">
        <v>5968</v>
      </c>
      <c r="F65" s="118">
        <v>6039</v>
      </c>
      <c r="G65" s="118">
        <v>8035</v>
      </c>
      <c r="H65" s="118">
        <v>8616</v>
      </c>
      <c r="I65" s="118">
        <v>10215</v>
      </c>
      <c r="J65" s="118">
        <v>9973</v>
      </c>
      <c r="K65" s="118">
        <v>9230</v>
      </c>
      <c r="L65" s="118">
        <v>8952</v>
      </c>
      <c r="M65" s="118">
        <v>8599</v>
      </c>
      <c r="N65" s="118">
        <v>9068</v>
      </c>
      <c r="O65" s="118">
        <v>10217</v>
      </c>
      <c r="P65" s="118">
        <v>12071</v>
      </c>
      <c r="Q65" s="118">
        <v>13262</v>
      </c>
      <c r="R65" s="118">
        <v>9910</v>
      </c>
      <c r="S65" s="118">
        <v>10121</v>
      </c>
      <c r="T65" s="118">
        <v>10447</v>
      </c>
      <c r="U65" s="143">
        <v>10862</v>
      </c>
      <c r="V65" s="143">
        <v>8715</v>
      </c>
      <c r="W65" s="143">
        <v>9209</v>
      </c>
      <c r="X65" s="142">
        <v>8642</v>
      </c>
      <c r="Y65" s="142">
        <v>9580.4210526315783</v>
      </c>
      <c r="Z65" s="142">
        <v>10425</v>
      </c>
    </row>
    <row r="66" spans="1:26" x14ac:dyDescent="0.25">
      <c r="A66" s="18" t="s">
        <v>52</v>
      </c>
      <c r="B66" s="118">
        <v>4546</v>
      </c>
      <c r="C66" s="118">
        <v>6785</v>
      </c>
      <c r="D66" s="118">
        <v>4714</v>
      </c>
      <c r="E66" s="118">
        <v>5468</v>
      </c>
      <c r="F66" s="118">
        <v>5615</v>
      </c>
      <c r="G66" s="118">
        <v>8821</v>
      </c>
      <c r="H66" s="118">
        <v>9993</v>
      </c>
      <c r="I66" s="118">
        <v>11602</v>
      </c>
      <c r="J66" s="118">
        <v>10585</v>
      </c>
      <c r="K66" s="118">
        <v>8702</v>
      </c>
      <c r="L66" s="118">
        <v>10231</v>
      </c>
      <c r="M66" s="118">
        <v>10077</v>
      </c>
      <c r="N66" s="118">
        <v>11704</v>
      </c>
      <c r="O66" s="118">
        <v>13492</v>
      </c>
      <c r="P66" s="118">
        <v>15436</v>
      </c>
      <c r="Q66" s="118">
        <v>18057</v>
      </c>
      <c r="R66" s="118">
        <v>17574</v>
      </c>
      <c r="S66" s="118">
        <v>16420</v>
      </c>
      <c r="T66" s="118">
        <v>16188</v>
      </c>
      <c r="U66" s="143">
        <v>16462</v>
      </c>
      <c r="V66" s="143">
        <v>17164</v>
      </c>
      <c r="W66" s="143">
        <v>16831</v>
      </c>
      <c r="X66" s="142">
        <v>24557.105263157893</v>
      </c>
      <c r="Y66" s="142">
        <v>23573.342105263157</v>
      </c>
      <c r="Z66" s="142">
        <v>21870</v>
      </c>
    </row>
    <row r="67" spans="1:26" x14ac:dyDescent="0.25">
      <c r="A67" s="18" t="s">
        <v>53</v>
      </c>
      <c r="B67" s="118">
        <v>3140</v>
      </c>
      <c r="C67" s="118">
        <v>3261</v>
      </c>
      <c r="D67" s="118">
        <v>2514</v>
      </c>
      <c r="E67" s="118">
        <v>2332</v>
      </c>
      <c r="F67" s="118">
        <v>3372</v>
      </c>
      <c r="G67" s="118">
        <v>3737</v>
      </c>
      <c r="H67" s="118">
        <v>4710</v>
      </c>
      <c r="I67" s="118">
        <v>5331</v>
      </c>
      <c r="J67" s="118">
        <v>6429</v>
      </c>
      <c r="K67" s="118">
        <v>4716</v>
      </c>
      <c r="L67" s="118">
        <v>5834</v>
      </c>
      <c r="M67" s="118">
        <v>6973</v>
      </c>
      <c r="N67" s="118">
        <v>6953</v>
      </c>
      <c r="O67" s="118">
        <v>8624</v>
      </c>
      <c r="P67" s="118">
        <v>11923</v>
      </c>
      <c r="Q67" s="118">
        <v>12978</v>
      </c>
      <c r="R67" s="118">
        <v>12765</v>
      </c>
      <c r="S67" s="118">
        <v>8975</v>
      </c>
      <c r="T67" s="118">
        <v>8574</v>
      </c>
      <c r="U67" s="143">
        <v>7221</v>
      </c>
      <c r="V67" s="143">
        <v>6840</v>
      </c>
      <c r="W67" s="143">
        <v>7586</v>
      </c>
      <c r="X67" s="142">
        <v>6633</v>
      </c>
      <c r="Y67" s="142">
        <v>7751</v>
      </c>
      <c r="Z67" s="142">
        <v>7595</v>
      </c>
    </row>
    <row r="68" spans="1:26" x14ac:dyDescent="0.25">
      <c r="A68" s="18" t="s">
        <v>54</v>
      </c>
      <c r="B68" s="118">
        <v>7412</v>
      </c>
      <c r="C68" s="118">
        <v>6122</v>
      </c>
      <c r="D68" s="118">
        <v>5465</v>
      </c>
      <c r="E68" s="118">
        <v>6851</v>
      </c>
      <c r="F68" s="118">
        <v>8105</v>
      </c>
      <c r="G68" s="118">
        <v>8937</v>
      </c>
      <c r="H68" s="118">
        <v>10332</v>
      </c>
      <c r="I68" s="118">
        <v>13151</v>
      </c>
      <c r="J68" s="118">
        <v>16174</v>
      </c>
      <c r="K68" s="118">
        <v>17792</v>
      </c>
      <c r="L68" s="118">
        <v>18481</v>
      </c>
      <c r="M68" s="118">
        <v>19884</v>
      </c>
      <c r="N68" s="118">
        <v>20273</v>
      </c>
      <c r="O68" s="118">
        <v>17798</v>
      </c>
      <c r="P68" s="118">
        <v>21742</v>
      </c>
      <c r="Q68" s="118">
        <v>19193</v>
      </c>
      <c r="R68" s="118">
        <v>19142</v>
      </c>
      <c r="S68" s="118">
        <v>18748</v>
      </c>
      <c r="T68" s="118">
        <v>17448</v>
      </c>
      <c r="U68" s="143">
        <v>17329</v>
      </c>
      <c r="V68" s="143">
        <v>16596</v>
      </c>
      <c r="W68" s="143">
        <v>16734</v>
      </c>
      <c r="X68" s="142">
        <v>18261</v>
      </c>
      <c r="Y68" s="142">
        <v>20635</v>
      </c>
      <c r="Z68" s="142">
        <v>22404</v>
      </c>
    </row>
    <row r="69" spans="1:26" x14ac:dyDescent="0.25">
      <c r="A69" s="18" t="s">
        <v>55</v>
      </c>
      <c r="B69" s="118">
        <v>3722</v>
      </c>
      <c r="C69" s="118">
        <v>4614</v>
      </c>
      <c r="D69" s="118">
        <v>4589</v>
      </c>
      <c r="E69" s="118">
        <v>5132</v>
      </c>
      <c r="F69" s="118">
        <v>5126</v>
      </c>
      <c r="G69" s="118">
        <v>5495</v>
      </c>
      <c r="H69" s="118">
        <v>6449</v>
      </c>
      <c r="I69" s="118">
        <v>7729</v>
      </c>
      <c r="J69" s="118">
        <v>7926</v>
      </c>
      <c r="K69" s="118">
        <v>8169</v>
      </c>
      <c r="L69" s="118">
        <v>6210</v>
      </c>
      <c r="M69" s="118">
        <v>7774</v>
      </c>
      <c r="N69" s="118">
        <v>7814</v>
      </c>
      <c r="O69" s="118">
        <v>8527</v>
      </c>
      <c r="P69" s="118">
        <v>12866</v>
      </c>
      <c r="Q69" s="118">
        <v>15327</v>
      </c>
      <c r="R69" s="118">
        <v>14171</v>
      </c>
      <c r="S69" s="118">
        <v>12687</v>
      </c>
      <c r="T69" s="118">
        <v>11924</v>
      </c>
      <c r="U69" s="143">
        <v>13300</v>
      </c>
      <c r="V69" s="143">
        <v>12190</v>
      </c>
      <c r="W69" s="143">
        <v>12822</v>
      </c>
      <c r="X69" s="142">
        <v>10598</v>
      </c>
      <c r="Y69" s="142">
        <v>12027</v>
      </c>
      <c r="Z69" s="142">
        <v>13774</v>
      </c>
    </row>
    <row r="70" spans="1:26" x14ac:dyDescent="0.25">
      <c r="A70" s="18" t="s">
        <v>56</v>
      </c>
      <c r="B70" s="118">
        <v>2903</v>
      </c>
      <c r="C70" s="118">
        <v>2362</v>
      </c>
      <c r="D70" s="118">
        <v>3092</v>
      </c>
      <c r="E70" s="118">
        <v>2847</v>
      </c>
      <c r="F70" s="118">
        <v>3539</v>
      </c>
      <c r="G70" s="118">
        <v>3836</v>
      </c>
      <c r="H70" s="118">
        <v>4894</v>
      </c>
      <c r="I70" s="118">
        <v>6441</v>
      </c>
      <c r="J70" s="118">
        <v>6902</v>
      </c>
      <c r="K70" s="118">
        <v>7101</v>
      </c>
      <c r="L70" s="118">
        <v>7331</v>
      </c>
      <c r="M70" s="118">
        <v>9220</v>
      </c>
      <c r="N70" s="118">
        <v>10314</v>
      </c>
      <c r="O70" s="118">
        <v>11393</v>
      </c>
      <c r="P70" s="118">
        <v>12434</v>
      </c>
      <c r="Q70" s="118">
        <v>12871</v>
      </c>
      <c r="R70" s="118">
        <v>12058</v>
      </c>
      <c r="S70" s="118">
        <v>10445</v>
      </c>
      <c r="T70" s="118">
        <v>7595</v>
      </c>
      <c r="U70" s="143">
        <v>9397</v>
      </c>
      <c r="V70" s="143">
        <v>9889</v>
      </c>
      <c r="W70" s="143">
        <v>9340</v>
      </c>
      <c r="X70" s="142">
        <v>9571</v>
      </c>
      <c r="Y70" s="142">
        <v>12330</v>
      </c>
      <c r="Z70" s="142">
        <v>14499</v>
      </c>
    </row>
    <row r="71" spans="1:26" x14ac:dyDescent="0.25">
      <c r="A71" s="18" t="s">
        <v>57</v>
      </c>
      <c r="B71" s="118">
        <v>8099</v>
      </c>
      <c r="C71" s="118">
        <v>8556</v>
      </c>
      <c r="D71" s="118">
        <v>9953</v>
      </c>
      <c r="E71" s="118">
        <v>9407</v>
      </c>
      <c r="F71" s="118">
        <v>9236</v>
      </c>
      <c r="G71" s="118">
        <v>10752</v>
      </c>
      <c r="H71" s="118">
        <v>8692</v>
      </c>
      <c r="I71" s="118">
        <v>15766</v>
      </c>
      <c r="J71" s="118">
        <v>16563</v>
      </c>
      <c r="K71" s="118">
        <v>11529</v>
      </c>
      <c r="L71" s="118">
        <v>13612</v>
      </c>
      <c r="M71" s="118">
        <v>17115</v>
      </c>
      <c r="N71" s="118">
        <v>19968</v>
      </c>
      <c r="O71" s="118">
        <v>24029</v>
      </c>
      <c r="P71" s="118">
        <v>25124</v>
      </c>
      <c r="Q71" s="118">
        <v>33155</v>
      </c>
      <c r="R71" s="118">
        <v>27298</v>
      </c>
      <c r="S71" s="118">
        <v>28894</v>
      </c>
      <c r="T71" s="118">
        <v>24633</v>
      </c>
      <c r="U71" s="143">
        <v>24577</v>
      </c>
      <c r="V71" s="143">
        <v>14775</v>
      </c>
      <c r="W71" s="143">
        <v>21281</v>
      </c>
      <c r="X71" s="142">
        <v>20712</v>
      </c>
      <c r="Y71" s="142">
        <v>22725</v>
      </c>
      <c r="Z71" s="142">
        <v>23471</v>
      </c>
    </row>
    <row r="72" spans="1:26" x14ac:dyDescent="0.25">
      <c r="A72" s="18" t="s">
        <v>58</v>
      </c>
      <c r="B72" s="118">
        <v>5007</v>
      </c>
      <c r="C72" s="118">
        <v>5893</v>
      </c>
      <c r="D72" s="118">
        <v>6011</v>
      </c>
      <c r="E72" s="118">
        <v>5078</v>
      </c>
      <c r="F72" s="118">
        <v>5238</v>
      </c>
      <c r="G72" s="118">
        <v>8527</v>
      </c>
      <c r="H72" s="118">
        <v>9981</v>
      </c>
      <c r="I72" s="118">
        <v>11807</v>
      </c>
      <c r="J72" s="118">
        <v>12880</v>
      </c>
      <c r="K72" s="118">
        <v>14682</v>
      </c>
      <c r="L72" s="118">
        <v>12665</v>
      </c>
      <c r="M72" s="118">
        <v>13293</v>
      </c>
      <c r="N72" s="118">
        <v>11386</v>
      </c>
      <c r="O72" s="118">
        <v>13436</v>
      </c>
      <c r="P72" s="118">
        <v>17675</v>
      </c>
      <c r="Q72" s="118">
        <v>13193</v>
      </c>
      <c r="R72" s="118">
        <v>17530</v>
      </c>
      <c r="S72" s="118">
        <v>15930</v>
      </c>
      <c r="T72" s="118">
        <v>12288</v>
      </c>
      <c r="U72" s="143">
        <v>11475</v>
      </c>
      <c r="V72" s="143">
        <v>13772</v>
      </c>
      <c r="W72" s="143">
        <v>14960</v>
      </c>
      <c r="X72" s="142">
        <v>11312</v>
      </c>
      <c r="Y72" s="142">
        <v>13945</v>
      </c>
      <c r="Z72" s="142">
        <v>13075</v>
      </c>
    </row>
    <row r="73" spans="1:26" x14ac:dyDescent="0.25">
      <c r="A73" s="18" t="s">
        <v>59</v>
      </c>
      <c r="B73" s="118">
        <v>2591</v>
      </c>
      <c r="C73" s="118">
        <v>2961</v>
      </c>
      <c r="D73" s="118">
        <v>2044</v>
      </c>
      <c r="E73" s="118">
        <v>2198</v>
      </c>
      <c r="F73" s="118">
        <v>1785</v>
      </c>
      <c r="G73" s="118">
        <v>3531</v>
      </c>
      <c r="H73" s="118">
        <v>4025</v>
      </c>
      <c r="I73" s="118">
        <v>4770</v>
      </c>
      <c r="J73" s="118">
        <v>5473</v>
      </c>
      <c r="K73" s="118">
        <v>4634</v>
      </c>
      <c r="L73" s="118">
        <v>4326</v>
      </c>
      <c r="M73" s="118">
        <v>5822</v>
      </c>
      <c r="N73" s="118">
        <v>6427</v>
      </c>
      <c r="O73" s="118">
        <v>8222</v>
      </c>
      <c r="P73" s="118">
        <v>10871</v>
      </c>
      <c r="Q73" s="118">
        <v>13221</v>
      </c>
      <c r="R73" s="118">
        <v>12610</v>
      </c>
      <c r="S73" s="118">
        <v>11245</v>
      </c>
      <c r="T73" s="118">
        <v>10324</v>
      </c>
      <c r="U73" s="143">
        <v>8803</v>
      </c>
      <c r="V73" s="143">
        <v>10625</v>
      </c>
      <c r="W73" s="143">
        <v>9434</v>
      </c>
      <c r="X73" s="142">
        <v>8759</v>
      </c>
      <c r="Y73" s="142">
        <v>10041</v>
      </c>
      <c r="Z73" s="142">
        <v>9430</v>
      </c>
    </row>
    <row r="74" spans="1:26" ht="24" customHeight="1" x14ac:dyDescent="0.25">
      <c r="A74" s="17" t="s">
        <v>263</v>
      </c>
      <c r="B74" s="120">
        <v>30714</v>
      </c>
      <c r="C74" s="120">
        <v>34847</v>
      </c>
      <c r="D74" s="120">
        <v>36817</v>
      </c>
      <c r="E74" s="120">
        <v>35581</v>
      </c>
      <c r="F74" s="120">
        <v>41306</v>
      </c>
      <c r="G74" s="120">
        <v>45716</v>
      </c>
      <c r="H74" s="120">
        <v>57293</v>
      </c>
      <c r="I74" s="120">
        <v>72626</v>
      </c>
      <c r="J74" s="120">
        <v>80204</v>
      </c>
      <c r="K74" s="120">
        <v>64361</v>
      </c>
      <c r="L74" s="120">
        <v>62307</v>
      </c>
      <c r="M74" s="120">
        <v>74283</v>
      </c>
      <c r="N74" s="120">
        <v>90717</v>
      </c>
      <c r="O74" s="120">
        <v>95908</v>
      </c>
      <c r="P74" s="120">
        <v>111390</v>
      </c>
      <c r="Q74" s="120">
        <v>114144</v>
      </c>
      <c r="R74" s="120">
        <v>99087</v>
      </c>
      <c r="S74" s="120">
        <v>95509</v>
      </c>
      <c r="T74" s="120">
        <v>87626</v>
      </c>
      <c r="U74" s="120">
        <v>94887</v>
      </c>
      <c r="V74" s="120">
        <v>99316</v>
      </c>
      <c r="W74" s="120">
        <v>102261</v>
      </c>
      <c r="X74" s="22">
        <v>115988.68421052632</v>
      </c>
      <c r="Y74" s="22">
        <v>133366.39473684211</v>
      </c>
      <c r="Z74" s="140">
        <v>133047.18421052632</v>
      </c>
    </row>
    <row r="75" spans="1:26" x14ac:dyDescent="0.25">
      <c r="A75" s="18" t="s">
        <v>60</v>
      </c>
      <c r="B75" s="118">
        <v>935</v>
      </c>
      <c r="C75" s="118">
        <v>1233</v>
      </c>
      <c r="D75" s="118">
        <v>1155</v>
      </c>
      <c r="E75" s="118">
        <v>1337</v>
      </c>
      <c r="F75" s="118">
        <v>1271</v>
      </c>
      <c r="G75" s="118">
        <v>1557</v>
      </c>
      <c r="H75" s="118">
        <v>1951</v>
      </c>
      <c r="I75" s="118">
        <v>2477</v>
      </c>
      <c r="J75" s="118">
        <v>3777</v>
      </c>
      <c r="K75" s="118">
        <v>3951</v>
      </c>
      <c r="L75" s="118">
        <v>2046</v>
      </c>
      <c r="M75" s="118">
        <v>2407</v>
      </c>
      <c r="N75" s="118">
        <v>3251</v>
      </c>
      <c r="O75" s="118">
        <v>3635</v>
      </c>
      <c r="P75" s="118">
        <v>5328</v>
      </c>
      <c r="Q75" s="118">
        <v>3981</v>
      </c>
      <c r="R75" s="118">
        <v>3899</v>
      </c>
      <c r="S75" s="118">
        <v>4459</v>
      </c>
      <c r="T75" s="118">
        <v>3089</v>
      </c>
      <c r="U75" s="143">
        <v>2789</v>
      </c>
      <c r="V75" s="143">
        <v>2835</v>
      </c>
      <c r="W75" s="143">
        <v>2944</v>
      </c>
      <c r="X75" s="142">
        <v>3827</v>
      </c>
      <c r="Y75" s="142">
        <v>4238.3421052631575</v>
      </c>
      <c r="Z75" s="21">
        <v>4706</v>
      </c>
    </row>
    <row r="76" spans="1:26" x14ac:dyDescent="0.25">
      <c r="A76" s="18" t="s">
        <v>61</v>
      </c>
      <c r="B76" s="118">
        <v>7824</v>
      </c>
      <c r="C76" s="118">
        <v>7535</v>
      </c>
      <c r="D76" s="118">
        <v>8160</v>
      </c>
      <c r="E76" s="118">
        <v>8713</v>
      </c>
      <c r="F76" s="118">
        <v>10770</v>
      </c>
      <c r="G76" s="118">
        <v>13479</v>
      </c>
      <c r="H76" s="118">
        <v>16092</v>
      </c>
      <c r="I76" s="118">
        <v>20376</v>
      </c>
      <c r="J76" s="118">
        <v>20290</v>
      </c>
      <c r="K76" s="118">
        <v>17482</v>
      </c>
      <c r="L76" s="118">
        <v>21264</v>
      </c>
      <c r="M76" s="118">
        <v>22584</v>
      </c>
      <c r="N76" s="118">
        <v>24177</v>
      </c>
      <c r="O76" s="118">
        <v>23936</v>
      </c>
      <c r="P76" s="118">
        <v>29784</v>
      </c>
      <c r="Q76" s="118">
        <v>32672</v>
      </c>
      <c r="R76" s="118">
        <v>30658</v>
      </c>
      <c r="S76" s="118">
        <v>30651</v>
      </c>
      <c r="T76" s="118">
        <v>29732</v>
      </c>
      <c r="U76" s="143">
        <v>33273</v>
      </c>
      <c r="V76" s="143">
        <v>33056</v>
      </c>
      <c r="W76" s="143">
        <v>39081</v>
      </c>
      <c r="X76" s="142">
        <v>41912.23684210526</v>
      </c>
      <c r="Y76" s="142">
        <v>47492</v>
      </c>
      <c r="Z76" s="142">
        <v>47856</v>
      </c>
    </row>
    <row r="77" spans="1:26" x14ac:dyDescent="0.25">
      <c r="A77" s="18" t="s">
        <v>62</v>
      </c>
      <c r="B77" s="118">
        <v>13085</v>
      </c>
      <c r="C77" s="118">
        <v>18116</v>
      </c>
      <c r="D77" s="118">
        <v>19014</v>
      </c>
      <c r="E77" s="118">
        <v>16239</v>
      </c>
      <c r="F77" s="118">
        <v>19352</v>
      </c>
      <c r="G77" s="118">
        <v>18548</v>
      </c>
      <c r="H77" s="118">
        <v>23985</v>
      </c>
      <c r="I77" s="118">
        <v>29065</v>
      </c>
      <c r="J77" s="118">
        <v>31816</v>
      </c>
      <c r="K77" s="118">
        <v>27784</v>
      </c>
      <c r="L77" s="118">
        <v>26611</v>
      </c>
      <c r="M77" s="118">
        <v>31620</v>
      </c>
      <c r="N77" s="118">
        <v>39013</v>
      </c>
      <c r="O77" s="118">
        <v>42021</v>
      </c>
      <c r="P77" s="118">
        <v>47192</v>
      </c>
      <c r="Q77" s="118">
        <v>51759</v>
      </c>
      <c r="R77" s="118">
        <v>43916</v>
      </c>
      <c r="S77" s="118">
        <v>38549</v>
      </c>
      <c r="T77" s="118">
        <v>33156</v>
      </c>
      <c r="U77" s="143">
        <v>38698</v>
      </c>
      <c r="V77" s="143">
        <v>42238</v>
      </c>
      <c r="W77" s="143">
        <v>39931</v>
      </c>
      <c r="X77" s="142">
        <v>47728.15789473684</v>
      </c>
      <c r="Y77" s="142">
        <v>53939.42105263158</v>
      </c>
      <c r="Z77" s="142">
        <v>55687.184210526313</v>
      </c>
    </row>
    <row r="78" spans="1:26" x14ac:dyDescent="0.25">
      <c r="A78" s="4" t="s">
        <v>63</v>
      </c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58"/>
      <c r="T78" s="15"/>
      <c r="U78" s="143"/>
      <c r="V78" s="143"/>
      <c r="W78" s="143"/>
      <c r="X78" s="142"/>
      <c r="Y78" s="142"/>
    </row>
    <row r="79" spans="1:26" ht="19.5" x14ac:dyDescent="0.25">
      <c r="A79" s="14" t="s">
        <v>159</v>
      </c>
      <c r="B79" s="118">
        <v>5486</v>
      </c>
      <c r="C79" s="118">
        <v>11049</v>
      </c>
      <c r="D79" s="118">
        <v>10653</v>
      </c>
      <c r="E79" s="118">
        <v>8617</v>
      </c>
      <c r="F79" s="118">
        <v>10788</v>
      </c>
      <c r="G79" s="118">
        <v>8712</v>
      </c>
      <c r="H79" s="118">
        <v>11189</v>
      </c>
      <c r="I79" s="118">
        <v>12878</v>
      </c>
      <c r="J79" s="118">
        <v>13193</v>
      </c>
      <c r="K79" s="118">
        <v>11429</v>
      </c>
      <c r="L79" s="118">
        <v>8557</v>
      </c>
      <c r="M79" s="118">
        <v>11854</v>
      </c>
      <c r="N79" s="118">
        <v>15675</v>
      </c>
      <c r="O79" s="118">
        <v>15947</v>
      </c>
      <c r="P79" s="118">
        <v>16514</v>
      </c>
      <c r="Q79" s="118">
        <v>15002</v>
      </c>
      <c r="R79" s="118">
        <v>11879</v>
      </c>
      <c r="S79" s="118">
        <v>13058</v>
      </c>
      <c r="T79" s="118">
        <v>9200</v>
      </c>
      <c r="U79" s="143">
        <v>11823</v>
      </c>
      <c r="V79" s="143">
        <v>15863</v>
      </c>
      <c r="W79" s="143">
        <v>13514</v>
      </c>
      <c r="X79" s="142">
        <v>13488</v>
      </c>
      <c r="Y79" s="142">
        <v>13874</v>
      </c>
      <c r="Z79" s="142">
        <v>13562.815789473685</v>
      </c>
    </row>
    <row r="80" spans="1:26" ht="19.5" x14ac:dyDescent="0.25">
      <c r="A80" s="14" t="s">
        <v>158</v>
      </c>
      <c r="B80" s="118">
        <v>1449</v>
      </c>
      <c r="C80" s="118">
        <v>1617</v>
      </c>
      <c r="D80" s="118">
        <v>2740</v>
      </c>
      <c r="E80" s="118">
        <v>1871</v>
      </c>
      <c r="F80" s="118">
        <v>2434</v>
      </c>
      <c r="G80" s="118">
        <v>3028</v>
      </c>
      <c r="H80" s="118">
        <v>4313</v>
      </c>
      <c r="I80" s="118">
        <v>3854</v>
      </c>
      <c r="J80" s="118">
        <v>3795</v>
      </c>
      <c r="K80" s="118">
        <v>2178</v>
      </c>
      <c r="L80" s="118">
        <v>2337</v>
      </c>
      <c r="M80" s="118">
        <v>2900</v>
      </c>
      <c r="N80" s="118">
        <v>3583</v>
      </c>
      <c r="O80" s="118">
        <v>4174</v>
      </c>
      <c r="P80" s="118">
        <v>4561</v>
      </c>
      <c r="Q80" s="118">
        <v>5096</v>
      </c>
      <c r="R80" s="118">
        <v>4199</v>
      </c>
      <c r="S80" s="118">
        <v>4548</v>
      </c>
      <c r="T80" s="118">
        <v>3122</v>
      </c>
      <c r="U80" s="143">
        <v>2395</v>
      </c>
      <c r="V80" s="143">
        <v>2719</v>
      </c>
      <c r="W80" s="143">
        <v>2762</v>
      </c>
      <c r="X80" s="142">
        <v>3382.1578947368421</v>
      </c>
      <c r="Y80" s="142">
        <v>5132.4210526315792</v>
      </c>
      <c r="Z80" s="142">
        <v>5422.3684210526317</v>
      </c>
    </row>
    <row r="81" spans="1:26" ht="19.5" x14ac:dyDescent="0.25">
      <c r="A81" s="14" t="s">
        <v>265</v>
      </c>
      <c r="B81" s="118">
        <v>6150</v>
      </c>
      <c r="C81" s="118">
        <v>5450</v>
      </c>
      <c r="D81" s="118">
        <v>5621</v>
      </c>
      <c r="E81" s="118">
        <v>5841</v>
      </c>
      <c r="F81" s="118">
        <v>6130</v>
      </c>
      <c r="G81" s="118">
        <v>6808</v>
      </c>
      <c r="H81" s="118">
        <v>8483</v>
      </c>
      <c r="I81" s="118">
        <v>12333</v>
      </c>
      <c r="J81" s="118">
        <v>14828</v>
      </c>
      <c r="K81" s="118">
        <v>14177</v>
      </c>
      <c r="L81" s="118">
        <v>15717</v>
      </c>
      <c r="M81" s="118">
        <v>16866</v>
      </c>
      <c r="N81" s="118">
        <v>19755</v>
      </c>
      <c r="O81" s="118">
        <v>21900</v>
      </c>
      <c r="P81" s="118">
        <v>26116</v>
      </c>
      <c r="Q81" s="118">
        <v>31660</v>
      </c>
      <c r="R81" s="118">
        <v>27838</v>
      </c>
      <c r="S81" s="118">
        <v>20943</v>
      </c>
      <c r="T81" s="118">
        <v>20834</v>
      </c>
      <c r="U81" s="143">
        <v>24480</v>
      </c>
      <c r="V81" s="143">
        <v>23656</v>
      </c>
      <c r="W81" s="143">
        <v>23655</v>
      </c>
      <c r="X81" s="142">
        <v>30858</v>
      </c>
      <c r="Y81" s="142">
        <v>34933</v>
      </c>
      <c r="Z81" s="142">
        <v>36702</v>
      </c>
    </row>
    <row r="82" spans="1:26" x14ac:dyDescent="0.25">
      <c r="A82" s="18" t="s">
        <v>65</v>
      </c>
      <c r="B82" s="118">
        <v>8870</v>
      </c>
      <c r="C82" s="118">
        <v>7963</v>
      </c>
      <c r="D82" s="118">
        <v>8488</v>
      </c>
      <c r="E82" s="118">
        <v>9293</v>
      </c>
      <c r="F82" s="118">
        <v>9913</v>
      </c>
      <c r="G82" s="118">
        <v>12133</v>
      </c>
      <c r="H82" s="118">
        <v>15265</v>
      </c>
      <c r="I82" s="118">
        <v>20788</v>
      </c>
      <c r="J82" s="118">
        <v>24321</v>
      </c>
      <c r="K82" s="118">
        <v>15144</v>
      </c>
      <c r="L82" s="118">
        <v>12385</v>
      </c>
      <c r="M82" s="118">
        <v>17671</v>
      </c>
      <c r="N82" s="118">
        <v>24276</v>
      </c>
      <c r="O82" s="118">
        <v>26316</v>
      </c>
      <c r="P82" s="118">
        <v>29086</v>
      </c>
      <c r="Q82" s="118">
        <v>25732</v>
      </c>
      <c r="R82" s="118">
        <v>20615</v>
      </c>
      <c r="S82" s="118">
        <v>21851</v>
      </c>
      <c r="T82" s="118">
        <v>21649</v>
      </c>
      <c r="U82" s="143">
        <v>20127</v>
      </c>
      <c r="V82" s="143">
        <v>21187</v>
      </c>
      <c r="W82" s="143">
        <v>20305</v>
      </c>
      <c r="X82" s="142">
        <v>22521.28947368421</v>
      </c>
      <c r="Y82" s="142">
        <v>27696.63157894737</v>
      </c>
      <c r="Z82" s="142">
        <v>24798</v>
      </c>
    </row>
    <row r="83" spans="1:26" ht="21.75" customHeight="1" x14ac:dyDescent="0.25">
      <c r="A83" s="17" t="s">
        <v>264</v>
      </c>
      <c r="B83" s="120">
        <v>33396</v>
      </c>
      <c r="C83" s="120">
        <v>29278</v>
      </c>
      <c r="D83" s="120">
        <v>32246</v>
      </c>
      <c r="E83" s="120">
        <v>37763</v>
      </c>
      <c r="F83" s="120">
        <v>45292</v>
      </c>
      <c r="G83" s="120">
        <v>55391</v>
      </c>
      <c r="H83" s="120">
        <v>70461</v>
      </c>
      <c r="I83" s="120">
        <v>85570</v>
      </c>
      <c r="J83" s="120">
        <v>89551</v>
      </c>
      <c r="K83" s="120">
        <v>77748</v>
      </c>
      <c r="L83" s="120">
        <v>87088</v>
      </c>
      <c r="M83" s="120">
        <v>96408</v>
      </c>
      <c r="N83" s="120">
        <v>100041</v>
      </c>
      <c r="O83" s="120">
        <v>110260</v>
      </c>
      <c r="P83" s="120">
        <v>120849</v>
      </c>
      <c r="Q83" s="120">
        <v>140037</v>
      </c>
      <c r="R83" s="120">
        <v>130794</v>
      </c>
      <c r="S83" s="120">
        <v>106816</v>
      </c>
      <c r="T83" s="120">
        <v>97611</v>
      </c>
      <c r="U83" s="116">
        <v>104574</v>
      </c>
      <c r="V83" s="116">
        <v>108713</v>
      </c>
      <c r="W83" s="116">
        <v>109100</v>
      </c>
      <c r="X83" s="140">
        <v>107378.71052631579</v>
      </c>
      <c r="Y83" s="140">
        <v>132360.76315789475</v>
      </c>
      <c r="Z83" s="140">
        <v>130876.5</v>
      </c>
    </row>
    <row r="84" spans="1:26" x14ac:dyDescent="0.25">
      <c r="A84" s="18" t="s">
        <v>66</v>
      </c>
      <c r="B84" s="118">
        <v>400</v>
      </c>
      <c r="C84" s="118">
        <v>245</v>
      </c>
      <c r="D84" s="118">
        <v>393</v>
      </c>
      <c r="E84" s="118">
        <v>325</v>
      </c>
      <c r="F84" s="118">
        <v>670</v>
      </c>
      <c r="G84" s="118">
        <v>540</v>
      </c>
      <c r="H84" s="118">
        <v>679</v>
      </c>
      <c r="I84" s="118">
        <v>819</v>
      </c>
      <c r="J84" s="118">
        <v>807</v>
      </c>
      <c r="K84" s="118">
        <v>867</v>
      </c>
      <c r="L84" s="118">
        <v>1065</v>
      </c>
      <c r="M84" s="118">
        <v>1197</v>
      </c>
      <c r="N84" s="118">
        <v>1266</v>
      </c>
      <c r="O84" s="118">
        <v>1392</v>
      </c>
      <c r="P84" s="118">
        <v>1602</v>
      </c>
      <c r="Q84" s="118">
        <v>1815</v>
      </c>
      <c r="R84" s="118">
        <v>1855</v>
      </c>
      <c r="S84" s="118">
        <v>1842</v>
      </c>
      <c r="T84" s="118">
        <v>1357</v>
      </c>
      <c r="U84" s="143">
        <v>1387</v>
      </c>
      <c r="V84" s="143">
        <v>1148</v>
      </c>
      <c r="W84" s="143">
        <v>1830</v>
      </c>
      <c r="X84" s="142">
        <v>1966</v>
      </c>
      <c r="Y84" s="142">
        <v>2043.7105263157894</v>
      </c>
      <c r="Z84" s="142">
        <v>2753</v>
      </c>
    </row>
    <row r="85" spans="1:26" x14ac:dyDescent="0.25">
      <c r="A85" s="18" t="s">
        <v>68</v>
      </c>
      <c r="B85" s="118">
        <v>595</v>
      </c>
      <c r="C85" s="118">
        <v>580</v>
      </c>
      <c r="D85" s="118">
        <v>518</v>
      </c>
      <c r="E85" s="118">
        <v>301</v>
      </c>
      <c r="F85" s="118">
        <v>282</v>
      </c>
      <c r="G85" s="118">
        <v>302</v>
      </c>
      <c r="H85" s="118">
        <v>359</v>
      </c>
      <c r="I85" s="118">
        <v>505</v>
      </c>
      <c r="J85" s="118">
        <v>658</v>
      </c>
      <c r="K85" s="118">
        <v>750</v>
      </c>
      <c r="L85" s="118">
        <v>757</v>
      </c>
      <c r="M85" s="118">
        <v>744</v>
      </c>
      <c r="N85" s="118">
        <v>702</v>
      </c>
      <c r="O85" s="118">
        <v>937</v>
      </c>
      <c r="P85" s="118">
        <v>1146</v>
      </c>
      <c r="Q85" s="118">
        <v>1567</v>
      </c>
      <c r="R85" s="118">
        <v>1303</v>
      </c>
      <c r="S85" s="118">
        <v>1336</v>
      </c>
      <c r="T85" s="85">
        <v>1223</v>
      </c>
      <c r="U85" s="143">
        <v>1697</v>
      </c>
      <c r="V85" s="143">
        <v>1682</v>
      </c>
      <c r="W85" s="143">
        <v>1618</v>
      </c>
      <c r="X85" s="142">
        <v>1796</v>
      </c>
      <c r="Y85" s="142">
        <v>2418</v>
      </c>
      <c r="Z85" s="142">
        <v>3827</v>
      </c>
    </row>
    <row r="86" spans="1:26" x14ac:dyDescent="0.25">
      <c r="A86" s="18" t="s">
        <v>69</v>
      </c>
      <c r="B86" s="118">
        <v>1511</v>
      </c>
      <c r="C86" s="118">
        <v>671</v>
      </c>
      <c r="D86" s="118">
        <v>981</v>
      </c>
      <c r="E86" s="118">
        <v>911</v>
      </c>
      <c r="F86" s="118">
        <v>1025</v>
      </c>
      <c r="G86" s="118">
        <v>1317</v>
      </c>
      <c r="H86" s="118">
        <v>1429</v>
      </c>
      <c r="I86" s="118">
        <v>1552</v>
      </c>
      <c r="J86" s="118">
        <v>2058</v>
      </c>
      <c r="K86" s="118">
        <v>1907</v>
      </c>
      <c r="L86" s="118">
        <v>1744</v>
      </c>
      <c r="M86" s="118">
        <v>1937</v>
      </c>
      <c r="N86" s="118">
        <v>2154</v>
      </c>
      <c r="O86" s="118">
        <v>2770</v>
      </c>
      <c r="P86" s="118">
        <v>3241</v>
      </c>
      <c r="Q86" s="118">
        <v>4320</v>
      </c>
      <c r="R86" s="118">
        <v>3255</v>
      </c>
      <c r="S86" s="118">
        <v>3702</v>
      </c>
      <c r="T86" s="85">
        <v>2236</v>
      </c>
      <c r="U86" s="143">
        <v>2887</v>
      </c>
      <c r="V86" s="143">
        <v>3817</v>
      </c>
      <c r="W86" s="143">
        <v>3185</v>
      </c>
      <c r="X86" s="142">
        <v>3935</v>
      </c>
      <c r="Y86" s="142">
        <v>4393</v>
      </c>
      <c r="Z86" s="142">
        <v>4537</v>
      </c>
    </row>
    <row r="87" spans="1:26" x14ac:dyDescent="0.25">
      <c r="A87" s="18" t="s">
        <v>70</v>
      </c>
      <c r="B87" s="118">
        <v>4763</v>
      </c>
      <c r="C87" s="118">
        <v>4722</v>
      </c>
      <c r="D87" s="118">
        <v>4030</v>
      </c>
      <c r="E87" s="118">
        <v>4648</v>
      </c>
      <c r="F87" s="118">
        <v>3776</v>
      </c>
      <c r="G87" s="118">
        <v>4583</v>
      </c>
      <c r="H87" s="118">
        <v>5466</v>
      </c>
      <c r="I87" s="118">
        <v>7133</v>
      </c>
      <c r="J87" s="118">
        <v>7514</v>
      </c>
      <c r="K87" s="118">
        <v>8675</v>
      </c>
      <c r="L87" s="118">
        <v>9113</v>
      </c>
      <c r="M87" s="118">
        <v>8842</v>
      </c>
      <c r="N87" s="118">
        <v>8472</v>
      </c>
      <c r="O87" s="118">
        <v>9571</v>
      </c>
      <c r="P87" s="118">
        <v>11231</v>
      </c>
      <c r="Q87" s="118">
        <v>14048</v>
      </c>
      <c r="R87" s="118">
        <v>11802</v>
      </c>
      <c r="S87" s="118">
        <v>10107</v>
      </c>
      <c r="T87" s="86">
        <v>12906</v>
      </c>
      <c r="U87" s="143">
        <v>11092</v>
      </c>
      <c r="V87" s="143">
        <v>12175</v>
      </c>
      <c r="W87" s="143">
        <v>15172</v>
      </c>
      <c r="X87" s="142">
        <v>11974</v>
      </c>
      <c r="Y87" s="142">
        <v>11360</v>
      </c>
      <c r="Z87" s="142">
        <v>10451</v>
      </c>
    </row>
    <row r="88" spans="1:26" x14ac:dyDescent="0.25">
      <c r="A88" s="18" t="s">
        <v>72</v>
      </c>
      <c r="B88" s="118">
        <v>6292</v>
      </c>
      <c r="C88" s="118">
        <v>5032</v>
      </c>
      <c r="D88" s="118">
        <v>6622</v>
      </c>
      <c r="E88" s="118">
        <v>7406</v>
      </c>
      <c r="F88" s="118">
        <v>8629</v>
      </c>
      <c r="G88" s="118">
        <v>11331</v>
      </c>
      <c r="H88" s="118">
        <v>13116</v>
      </c>
      <c r="I88" s="118">
        <v>16529</v>
      </c>
      <c r="J88" s="118">
        <v>16199</v>
      </c>
      <c r="K88" s="118">
        <v>11977</v>
      </c>
      <c r="L88" s="118">
        <v>14572</v>
      </c>
      <c r="M88" s="118">
        <v>15108</v>
      </c>
      <c r="N88" s="118">
        <v>16095</v>
      </c>
      <c r="O88" s="118">
        <v>16847</v>
      </c>
      <c r="P88" s="118">
        <v>17157</v>
      </c>
      <c r="Q88" s="118">
        <v>20620</v>
      </c>
      <c r="R88" s="118">
        <v>24516</v>
      </c>
      <c r="S88" s="118">
        <v>17892</v>
      </c>
      <c r="T88" s="86">
        <v>18067</v>
      </c>
      <c r="U88" s="143">
        <v>24757</v>
      </c>
      <c r="V88" s="143">
        <v>20285</v>
      </c>
      <c r="W88" s="143">
        <v>18858</v>
      </c>
      <c r="X88" s="142">
        <v>19768.263157894737</v>
      </c>
      <c r="Y88" s="142">
        <v>22201.026315789473</v>
      </c>
      <c r="Z88" s="142">
        <v>22196.5</v>
      </c>
    </row>
    <row r="89" spans="1:26" x14ac:dyDescent="0.25">
      <c r="A89" s="18" t="s">
        <v>73</v>
      </c>
      <c r="B89" s="118">
        <v>2703</v>
      </c>
      <c r="C89" s="118">
        <v>2190</v>
      </c>
      <c r="D89" s="118">
        <v>2914</v>
      </c>
      <c r="E89" s="118">
        <v>2583</v>
      </c>
      <c r="F89" s="118">
        <v>2864</v>
      </c>
      <c r="G89" s="118">
        <v>3630</v>
      </c>
      <c r="H89" s="118">
        <v>4120</v>
      </c>
      <c r="I89" s="118">
        <v>7259</v>
      </c>
      <c r="J89" s="118">
        <v>7421</v>
      </c>
      <c r="K89" s="118">
        <v>8066</v>
      </c>
      <c r="L89" s="118">
        <v>10071</v>
      </c>
      <c r="M89" s="118">
        <v>11402</v>
      </c>
      <c r="N89" s="118">
        <v>13233</v>
      </c>
      <c r="O89" s="118">
        <v>13992</v>
      </c>
      <c r="P89" s="118">
        <v>13234</v>
      </c>
      <c r="Q89" s="118">
        <v>16202</v>
      </c>
      <c r="R89" s="118">
        <v>14694</v>
      </c>
      <c r="S89" s="118">
        <v>17160</v>
      </c>
      <c r="T89" s="86">
        <v>13474</v>
      </c>
      <c r="U89" s="143">
        <v>13390</v>
      </c>
      <c r="V89" s="143">
        <v>15142</v>
      </c>
      <c r="W89" s="143">
        <v>13653</v>
      </c>
      <c r="X89" s="142">
        <v>14624.605263157895</v>
      </c>
      <c r="Y89" s="142">
        <v>17590</v>
      </c>
      <c r="Z89" s="142">
        <v>17226</v>
      </c>
    </row>
    <row r="90" spans="1:26" x14ac:dyDescent="0.25">
      <c r="A90" s="18" t="s">
        <v>74</v>
      </c>
      <c r="B90" s="118">
        <v>4431</v>
      </c>
      <c r="C90" s="118">
        <v>5523</v>
      </c>
      <c r="D90" s="118">
        <v>6142</v>
      </c>
      <c r="E90" s="118">
        <v>7071</v>
      </c>
      <c r="F90" s="118">
        <v>7712</v>
      </c>
      <c r="G90" s="118">
        <v>8968</v>
      </c>
      <c r="H90" s="118">
        <v>11660</v>
      </c>
      <c r="I90" s="118">
        <v>14318</v>
      </c>
      <c r="J90" s="118">
        <v>15129</v>
      </c>
      <c r="K90" s="118">
        <v>15139</v>
      </c>
      <c r="L90" s="118">
        <v>14713</v>
      </c>
      <c r="M90" s="118">
        <v>14986</v>
      </c>
      <c r="N90" s="118">
        <v>15059</v>
      </c>
      <c r="O90" s="118">
        <v>15889</v>
      </c>
      <c r="P90" s="118">
        <v>16862</v>
      </c>
      <c r="Q90" s="118">
        <v>15772</v>
      </c>
      <c r="R90" s="118">
        <v>16758</v>
      </c>
      <c r="S90" s="118">
        <v>14352</v>
      </c>
      <c r="T90" s="86">
        <v>8861</v>
      </c>
      <c r="U90" s="143">
        <v>10609</v>
      </c>
      <c r="V90" s="143">
        <v>10429</v>
      </c>
      <c r="W90" s="143">
        <v>10996</v>
      </c>
      <c r="X90" s="142">
        <v>10053.842105263158</v>
      </c>
      <c r="Y90" s="142">
        <v>11057</v>
      </c>
      <c r="Z90" s="142">
        <v>11683</v>
      </c>
    </row>
    <row r="91" spans="1:26" x14ac:dyDescent="0.25">
      <c r="A91" s="18" t="s">
        <v>75</v>
      </c>
      <c r="B91" s="118">
        <v>6940</v>
      </c>
      <c r="C91" s="118">
        <v>5292</v>
      </c>
      <c r="D91" s="118">
        <v>4873</v>
      </c>
      <c r="E91" s="118">
        <v>7223</v>
      </c>
      <c r="F91" s="118">
        <v>9092</v>
      </c>
      <c r="G91" s="118">
        <v>9933</v>
      </c>
      <c r="H91" s="118">
        <v>15584</v>
      </c>
      <c r="I91" s="118">
        <v>16674</v>
      </c>
      <c r="J91" s="118">
        <v>18351</v>
      </c>
      <c r="K91" s="118">
        <v>16851</v>
      </c>
      <c r="L91" s="118">
        <v>19217</v>
      </c>
      <c r="M91" s="118">
        <v>24015</v>
      </c>
      <c r="N91" s="118">
        <v>25083</v>
      </c>
      <c r="O91" s="118">
        <v>28473</v>
      </c>
      <c r="P91" s="118">
        <v>35058</v>
      </c>
      <c r="Q91" s="118">
        <v>43257</v>
      </c>
      <c r="R91" s="118">
        <v>37085</v>
      </c>
      <c r="S91" s="118">
        <v>26181</v>
      </c>
      <c r="T91" s="86">
        <v>24986</v>
      </c>
      <c r="U91" s="143">
        <v>25878</v>
      </c>
      <c r="V91" s="143">
        <v>30829</v>
      </c>
      <c r="W91" s="143">
        <v>29935</v>
      </c>
      <c r="X91" s="142">
        <v>31589</v>
      </c>
      <c r="Y91" s="142">
        <v>46859</v>
      </c>
      <c r="Z91" s="142">
        <v>41499</v>
      </c>
    </row>
    <row r="92" spans="1:26" x14ac:dyDescent="0.25">
      <c r="A92" s="18" t="s">
        <v>76</v>
      </c>
      <c r="B92" s="118">
        <v>3152</v>
      </c>
      <c r="C92" s="118">
        <v>2112</v>
      </c>
      <c r="D92" s="118">
        <v>2837</v>
      </c>
      <c r="E92" s="118">
        <v>3732</v>
      </c>
      <c r="F92" s="118">
        <v>6707</v>
      </c>
      <c r="G92" s="118">
        <v>9543</v>
      </c>
      <c r="H92" s="118">
        <v>12299</v>
      </c>
      <c r="I92" s="118">
        <v>14451</v>
      </c>
      <c r="J92" s="118">
        <v>13985</v>
      </c>
      <c r="K92" s="118">
        <v>7584</v>
      </c>
      <c r="L92" s="118">
        <v>9598</v>
      </c>
      <c r="M92" s="118">
        <v>10706</v>
      </c>
      <c r="N92" s="118">
        <v>10168</v>
      </c>
      <c r="O92" s="118">
        <v>12441</v>
      </c>
      <c r="P92" s="118">
        <v>13169</v>
      </c>
      <c r="Q92" s="118">
        <v>12232</v>
      </c>
      <c r="R92" s="118">
        <v>12264</v>
      </c>
      <c r="S92" s="118">
        <v>6662</v>
      </c>
      <c r="T92" s="86">
        <v>7867</v>
      </c>
      <c r="U92" s="143">
        <v>6630</v>
      </c>
      <c r="V92" s="143">
        <v>7058</v>
      </c>
      <c r="W92" s="143">
        <v>7896</v>
      </c>
      <c r="X92" s="142">
        <v>7791</v>
      </c>
      <c r="Y92" s="142">
        <v>7885.0263157894733</v>
      </c>
      <c r="Z92" s="142">
        <v>9465</v>
      </c>
    </row>
    <row r="93" spans="1:26" x14ac:dyDescent="0.25">
      <c r="A93" s="18" t="s">
        <v>77</v>
      </c>
      <c r="B93" s="118">
        <v>2609</v>
      </c>
      <c r="C93" s="118">
        <v>2911</v>
      </c>
      <c r="D93" s="118">
        <v>2936</v>
      </c>
      <c r="E93" s="118">
        <v>3563</v>
      </c>
      <c r="F93" s="118">
        <v>4535</v>
      </c>
      <c r="G93" s="118">
        <v>5244</v>
      </c>
      <c r="H93" s="118">
        <v>5749</v>
      </c>
      <c r="I93" s="118">
        <v>6330</v>
      </c>
      <c r="J93" s="118">
        <v>7429</v>
      </c>
      <c r="K93" s="118">
        <v>5932</v>
      </c>
      <c r="L93" s="118">
        <v>6238</v>
      </c>
      <c r="M93" s="118">
        <v>7471</v>
      </c>
      <c r="N93" s="118">
        <v>7809</v>
      </c>
      <c r="O93" s="118">
        <v>7948</v>
      </c>
      <c r="P93" s="118">
        <v>8149</v>
      </c>
      <c r="Q93" s="118">
        <v>10204</v>
      </c>
      <c r="R93" s="118">
        <v>7262</v>
      </c>
      <c r="S93" s="118">
        <v>7582</v>
      </c>
      <c r="T93" s="86">
        <v>6634</v>
      </c>
      <c r="U93" s="143">
        <v>6246</v>
      </c>
      <c r="V93" s="143">
        <v>6148</v>
      </c>
      <c r="W93" s="143">
        <v>5956</v>
      </c>
      <c r="X93" s="142">
        <v>3881</v>
      </c>
      <c r="Y93" s="142">
        <v>6554</v>
      </c>
      <c r="Z93" s="142">
        <v>7239</v>
      </c>
    </row>
    <row r="94" spans="1:26" ht="22.5" customHeight="1" x14ac:dyDescent="0.25">
      <c r="A94" s="17" t="s">
        <v>144</v>
      </c>
      <c r="B94" s="120">
        <v>14234</v>
      </c>
      <c r="C94" s="120">
        <v>16343</v>
      </c>
      <c r="D94" s="120">
        <v>13453</v>
      </c>
      <c r="E94" s="120">
        <v>15017</v>
      </c>
      <c r="F94" s="120">
        <v>14695</v>
      </c>
      <c r="G94" s="120">
        <v>17064</v>
      </c>
      <c r="H94" s="120">
        <v>19102</v>
      </c>
      <c r="I94" s="120">
        <v>23520</v>
      </c>
      <c r="J94" s="120">
        <v>26839</v>
      </c>
      <c r="K94" s="120">
        <v>27270</v>
      </c>
      <c r="L94" s="120">
        <v>31445</v>
      </c>
      <c r="M94" s="120">
        <v>36442</v>
      </c>
      <c r="N94" s="120">
        <v>38653</v>
      </c>
      <c r="O94" s="120">
        <v>41785</v>
      </c>
      <c r="P94" s="120">
        <v>46748</v>
      </c>
      <c r="Q94" s="120">
        <v>43248</v>
      </c>
      <c r="R94" s="120">
        <v>41969</v>
      </c>
      <c r="S94" s="120">
        <v>38873</v>
      </c>
      <c r="T94" s="121">
        <v>33405</v>
      </c>
      <c r="U94" s="121">
        <v>35452</v>
      </c>
      <c r="V94" s="121">
        <v>37278</v>
      </c>
      <c r="W94" s="121">
        <v>41928</v>
      </c>
      <c r="X94" s="26">
        <v>48139</v>
      </c>
      <c r="Y94" s="26">
        <v>62852.76315789474</v>
      </c>
      <c r="Z94" s="26">
        <v>68157.394736842107</v>
      </c>
    </row>
    <row r="95" spans="1:26" x14ac:dyDescent="0.25">
      <c r="A95" s="18" t="s">
        <v>67</v>
      </c>
      <c r="B95" s="118">
        <v>2086</v>
      </c>
      <c r="C95" s="118">
        <v>2396</v>
      </c>
      <c r="D95" s="118">
        <v>2290</v>
      </c>
      <c r="E95" s="118">
        <v>2296</v>
      </c>
      <c r="F95" s="118">
        <v>2308</v>
      </c>
      <c r="G95" s="118">
        <v>2377</v>
      </c>
      <c r="H95" s="118">
        <v>2932</v>
      </c>
      <c r="I95" s="118">
        <v>3443</v>
      </c>
      <c r="J95" s="118">
        <v>4076</v>
      </c>
      <c r="K95" s="118">
        <v>3463</v>
      </c>
      <c r="L95" s="118">
        <v>3922</v>
      </c>
      <c r="M95" s="118">
        <v>4718</v>
      </c>
      <c r="N95" s="118">
        <v>5429</v>
      </c>
      <c r="O95" s="118">
        <v>6083</v>
      </c>
      <c r="P95" s="118">
        <v>6526</v>
      </c>
      <c r="Q95" s="118">
        <v>7045</v>
      </c>
      <c r="R95" s="118">
        <v>5707</v>
      </c>
      <c r="S95" s="118">
        <v>4895</v>
      </c>
      <c r="T95" s="86">
        <v>4191</v>
      </c>
      <c r="U95" s="143">
        <v>3540</v>
      </c>
      <c r="V95" s="143">
        <v>4226</v>
      </c>
      <c r="W95" s="143">
        <v>3685</v>
      </c>
      <c r="X95" s="142">
        <v>3401</v>
      </c>
      <c r="Y95" s="142">
        <v>5950.8157894736842</v>
      </c>
      <c r="Z95" s="142">
        <v>6140</v>
      </c>
    </row>
    <row r="96" spans="1:26" x14ac:dyDescent="0.25">
      <c r="A96" s="18" t="s">
        <v>78</v>
      </c>
      <c r="B96" s="118">
        <v>3409</v>
      </c>
      <c r="C96" s="118">
        <v>5468</v>
      </c>
      <c r="D96" s="118">
        <v>3811</v>
      </c>
      <c r="E96" s="118">
        <v>3756</v>
      </c>
      <c r="F96" s="118">
        <v>3394</v>
      </c>
      <c r="G96" s="118">
        <v>3834</v>
      </c>
      <c r="H96" s="118">
        <v>3668</v>
      </c>
      <c r="I96" s="118">
        <v>4888</v>
      </c>
      <c r="J96" s="118">
        <v>4196</v>
      </c>
      <c r="K96" s="118">
        <v>4613</v>
      </c>
      <c r="L96" s="118">
        <v>4842</v>
      </c>
      <c r="M96" s="118">
        <v>4659</v>
      </c>
      <c r="N96" s="118">
        <v>5520</v>
      </c>
      <c r="O96" s="118">
        <v>6452</v>
      </c>
      <c r="P96" s="118">
        <v>7257</v>
      </c>
      <c r="Q96" s="118">
        <v>8746</v>
      </c>
      <c r="R96" s="118">
        <v>9696</v>
      </c>
      <c r="S96" s="118">
        <v>10870</v>
      </c>
      <c r="T96" s="86">
        <v>8372</v>
      </c>
      <c r="U96" s="143">
        <v>9494</v>
      </c>
      <c r="V96" s="143">
        <v>8838</v>
      </c>
      <c r="W96" s="143">
        <v>8538</v>
      </c>
      <c r="X96" s="142">
        <v>8732.605263157895</v>
      </c>
      <c r="Y96" s="142">
        <v>11267.394736842105</v>
      </c>
      <c r="Z96" s="142">
        <v>11468.342105263158</v>
      </c>
    </row>
    <row r="97" spans="1:26" x14ac:dyDescent="0.25">
      <c r="A97" s="18" t="s">
        <v>71</v>
      </c>
      <c r="B97" s="118">
        <v>902</v>
      </c>
      <c r="C97" s="118">
        <v>1119</v>
      </c>
      <c r="D97" s="118">
        <v>1020</v>
      </c>
      <c r="E97" s="118">
        <v>1532</v>
      </c>
      <c r="F97" s="118">
        <v>1962</v>
      </c>
      <c r="G97" s="118">
        <v>1805</v>
      </c>
      <c r="H97" s="118">
        <v>2505</v>
      </c>
      <c r="I97" s="118">
        <v>3203</v>
      </c>
      <c r="J97" s="118">
        <v>3657</v>
      </c>
      <c r="K97" s="118">
        <v>3821</v>
      </c>
      <c r="L97" s="118">
        <v>4224</v>
      </c>
      <c r="M97" s="118">
        <v>4294</v>
      </c>
      <c r="N97" s="118">
        <v>4508</v>
      </c>
      <c r="O97" s="118">
        <v>4412</v>
      </c>
      <c r="P97" s="118">
        <v>4940</v>
      </c>
      <c r="Q97" s="118">
        <v>3863</v>
      </c>
      <c r="R97" s="118">
        <v>4306</v>
      </c>
      <c r="S97" s="118">
        <v>4176</v>
      </c>
      <c r="T97" s="86">
        <v>2556</v>
      </c>
      <c r="U97" s="143">
        <v>2734</v>
      </c>
      <c r="V97" s="143">
        <v>2171</v>
      </c>
      <c r="W97" s="143">
        <v>2563</v>
      </c>
      <c r="X97" s="142">
        <v>3114</v>
      </c>
      <c r="Y97" s="142">
        <v>4794</v>
      </c>
      <c r="Z97" s="142">
        <v>5826</v>
      </c>
    </row>
    <row r="98" spans="1:26" x14ac:dyDescent="0.25">
      <c r="A98" s="18" t="s">
        <v>79</v>
      </c>
      <c r="B98" s="118">
        <v>107</v>
      </c>
      <c r="C98" s="118">
        <v>170</v>
      </c>
      <c r="D98" s="118">
        <v>156</v>
      </c>
      <c r="E98" s="118">
        <v>182</v>
      </c>
      <c r="F98" s="118">
        <v>146</v>
      </c>
      <c r="G98" s="118">
        <v>185</v>
      </c>
      <c r="H98" s="118">
        <v>355</v>
      </c>
      <c r="I98" s="118">
        <v>305</v>
      </c>
      <c r="J98" s="118">
        <v>874</v>
      </c>
      <c r="K98" s="118">
        <v>901</v>
      </c>
      <c r="L98" s="118">
        <v>783</v>
      </c>
      <c r="M98" s="118">
        <v>1196</v>
      </c>
      <c r="N98" s="118">
        <v>1010</v>
      </c>
      <c r="O98" s="118">
        <v>1121</v>
      </c>
      <c r="P98" s="118">
        <v>1211</v>
      </c>
      <c r="Q98" s="118">
        <v>883</v>
      </c>
      <c r="R98" s="118">
        <v>897</v>
      </c>
      <c r="S98" s="118">
        <v>828</v>
      </c>
      <c r="T98" s="86">
        <v>339</v>
      </c>
      <c r="U98" s="143">
        <v>592</v>
      </c>
      <c r="V98" s="143">
        <v>905</v>
      </c>
      <c r="W98" s="143">
        <v>737</v>
      </c>
      <c r="X98" s="142">
        <v>682.36842105263156</v>
      </c>
      <c r="Y98" s="142">
        <v>947.26315789473688</v>
      </c>
      <c r="Z98" s="142">
        <v>906</v>
      </c>
    </row>
    <row r="99" spans="1:26" x14ac:dyDescent="0.25">
      <c r="A99" s="18" t="s">
        <v>80</v>
      </c>
      <c r="B99" s="118">
        <v>2596</v>
      </c>
      <c r="C99" s="118">
        <v>2933</v>
      </c>
      <c r="D99" s="118">
        <v>1994</v>
      </c>
      <c r="E99" s="118">
        <v>2524</v>
      </c>
      <c r="F99" s="118">
        <v>2284</v>
      </c>
      <c r="G99" s="118">
        <v>2894</v>
      </c>
      <c r="H99" s="118">
        <v>3562</v>
      </c>
      <c r="I99" s="118">
        <v>3595</v>
      </c>
      <c r="J99" s="118">
        <v>4033</v>
      </c>
      <c r="K99" s="118">
        <v>3705</v>
      </c>
      <c r="L99" s="118">
        <v>6647</v>
      </c>
      <c r="M99" s="118">
        <v>7778</v>
      </c>
      <c r="N99" s="118">
        <v>7808</v>
      </c>
      <c r="O99" s="118">
        <v>7807</v>
      </c>
      <c r="P99" s="118">
        <v>7650</v>
      </c>
      <c r="Q99" s="118">
        <v>6215</v>
      </c>
      <c r="R99" s="118">
        <v>6748</v>
      </c>
      <c r="S99" s="118">
        <v>5419</v>
      </c>
      <c r="T99" s="86">
        <v>7135</v>
      </c>
      <c r="U99" s="143">
        <v>7001</v>
      </c>
      <c r="V99" s="143">
        <v>9458</v>
      </c>
      <c r="W99" s="143">
        <v>11930</v>
      </c>
      <c r="X99" s="142">
        <v>14244.578947368422</v>
      </c>
      <c r="Y99" s="142">
        <v>16953.21052631579</v>
      </c>
      <c r="Z99" s="142">
        <v>18002.947368421053</v>
      </c>
    </row>
    <row r="100" spans="1:26" x14ac:dyDescent="0.25">
      <c r="A100" s="18" t="s">
        <v>81</v>
      </c>
      <c r="B100" s="118">
        <v>2317</v>
      </c>
      <c r="C100" s="118">
        <v>2182</v>
      </c>
      <c r="D100" s="118">
        <v>1748</v>
      </c>
      <c r="E100" s="118">
        <v>2139</v>
      </c>
      <c r="F100" s="118">
        <v>2402</v>
      </c>
      <c r="G100" s="118">
        <v>2955</v>
      </c>
      <c r="H100" s="118">
        <v>3005</v>
      </c>
      <c r="I100" s="118">
        <v>3454</v>
      </c>
      <c r="J100" s="118">
        <v>4242</v>
      </c>
      <c r="K100" s="118">
        <v>5525</v>
      </c>
      <c r="L100" s="118">
        <v>4602</v>
      </c>
      <c r="M100" s="118">
        <v>5625</v>
      </c>
      <c r="N100" s="118">
        <v>4756</v>
      </c>
      <c r="O100" s="118">
        <v>4537</v>
      </c>
      <c r="P100" s="118">
        <v>6750</v>
      </c>
      <c r="Q100" s="118">
        <v>6239</v>
      </c>
      <c r="R100" s="118">
        <v>5014</v>
      </c>
      <c r="S100" s="118">
        <v>3766</v>
      </c>
      <c r="T100" s="86">
        <v>3903</v>
      </c>
      <c r="U100" s="143">
        <v>4018</v>
      </c>
      <c r="V100" s="143">
        <v>3052</v>
      </c>
      <c r="W100" s="143">
        <v>4211</v>
      </c>
      <c r="X100" s="142">
        <v>5048</v>
      </c>
      <c r="Y100" s="142">
        <v>7887</v>
      </c>
      <c r="Z100" s="142">
        <v>7807</v>
      </c>
    </row>
    <row r="101" spans="1:26" x14ac:dyDescent="0.25">
      <c r="A101" s="18" t="s">
        <v>82</v>
      </c>
      <c r="B101" s="118">
        <v>1676</v>
      </c>
      <c r="C101" s="118">
        <v>1275</v>
      </c>
      <c r="D101" s="118">
        <v>1403</v>
      </c>
      <c r="E101" s="118">
        <v>1544</v>
      </c>
      <c r="F101" s="118">
        <v>1058</v>
      </c>
      <c r="G101" s="118">
        <v>1815</v>
      </c>
      <c r="H101" s="118">
        <v>1847</v>
      </c>
      <c r="I101" s="118">
        <v>2631</v>
      </c>
      <c r="J101" s="118">
        <v>2815</v>
      </c>
      <c r="K101" s="118">
        <v>2348</v>
      </c>
      <c r="L101" s="118">
        <v>2780</v>
      </c>
      <c r="M101" s="118">
        <v>3836</v>
      </c>
      <c r="N101" s="118">
        <v>5629</v>
      </c>
      <c r="O101" s="118">
        <v>6429</v>
      </c>
      <c r="P101" s="118">
        <v>6244</v>
      </c>
      <c r="Q101" s="118">
        <v>4588</v>
      </c>
      <c r="R101" s="118">
        <v>3901</v>
      </c>
      <c r="S101" s="118">
        <v>3357</v>
      </c>
      <c r="T101" s="117">
        <v>2784</v>
      </c>
      <c r="U101" s="143">
        <v>3231</v>
      </c>
      <c r="V101" s="143">
        <v>2183</v>
      </c>
      <c r="W101" s="143">
        <v>2754</v>
      </c>
      <c r="X101" s="142">
        <v>5270.3421052631575</v>
      </c>
      <c r="Y101" s="142">
        <v>6913.0789473684208</v>
      </c>
      <c r="Z101" s="142">
        <v>10386</v>
      </c>
    </row>
    <row r="102" spans="1:26" x14ac:dyDescent="0.25">
      <c r="A102" s="18" t="s">
        <v>83</v>
      </c>
      <c r="B102" s="118">
        <v>99</v>
      </c>
      <c r="C102" s="118">
        <v>105</v>
      </c>
      <c r="D102" s="118">
        <v>37</v>
      </c>
      <c r="E102" s="118">
        <v>125</v>
      </c>
      <c r="F102" s="118">
        <v>69</v>
      </c>
      <c r="G102" s="118">
        <v>155</v>
      </c>
      <c r="H102" s="118">
        <v>194</v>
      </c>
      <c r="I102" s="118">
        <v>322</v>
      </c>
      <c r="J102" s="118">
        <v>259</v>
      </c>
      <c r="K102" s="118">
        <v>271</v>
      </c>
      <c r="L102" s="118">
        <v>262</v>
      </c>
      <c r="M102" s="118">
        <v>258</v>
      </c>
      <c r="N102" s="118">
        <v>384</v>
      </c>
      <c r="O102" s="118">
        <v>292</v>
      </c>
      <c r="P102" s="118">
        <v>209</v>
      </c>
      <c r="Q102" s="118">
        <v>378</v>
      </c>
      <c r="R102" s="118">
        <v>81</v>
      </c>
      <c r="S102" s="118">
        <v>86</v>
      </c>
      <c r="T102" s="86">
        <v>43</v>
      </c>
      <c r="U102" s="143">
        <v>98</v>
      </c>
      <c r="V102" s="143">
        <v>135</v>
      </c>
      <c r="W102" s="143">
        <v>181</v>
      </c>
      <c r="X102" s="142">
        <v>183.10526315789474</v>
      </c>
      <c r="Y102" s="142">
        <v>127</v>
      </c>
      <c r="Z102" s="142">
        <v>148.10526315789474</v>
      </c>
    </row>
    <row r="103" spans="1:26" x14ac:dyDescent="0.25">
      <c r="A103" s="18" t="s">
        <v>84</v>
      </c>
      <c r="B103" s="118">
        <v>890</v>
      </c>
      <c r="C103" s="118">
        <v>396</v>
      </c>
      <c r="D103" s="118">
        <v>530</v>
      </c>
      <c r="E103" s="118">
        <v>402</v>
      </c>
      <c r="F103" s="118">
        <v>485</v>
      </c>
      <c r="G103" s="118">
        <v>458</v>
      </c>
      <c r="H103" s="118">
        <v>576</v>
      </c>
      <c r="I103" s="118">
        <v>1150</v>
      </c>
      <c r="J103" s="118">
        <v>2011</v>
      </c>
      <c r="K103" s="118">
        <v>1780</v>
      </c>
      <c r="L103" s="118">
        <v>2563</v>
      </c>
      <c r="M103" s="118">
        <v>3235</v>
      </c>
      <c r="N103" s="118">
        <v>2692</v>
      </c>
      <c r="O103" s="118">
        <v>3803</v>
      </c>
      <c r="P103" s="118">
        <v>4413</v>
      </c>
      <c r="Q103" s="118">
        <v>4426</v>
      </c>
      <c r="R103" s="118">
        <v>4335</v>
      </c>
      <c r="S103" s="118">
        <v>4596</v>
      </c>
      <c r="T103" s="86">
        <v>3690</v>
      </c>
      <c r="U103" s="143">
        <v>4431</v>
      </c>
      <c r="V103" s="143">
        <v>6100</v>
      </c>
      <c r="W103" s="143">
        <v>6906</v>
      </c>
      <c r="X103" s="142">
        <v>7155</v>
      </c>
      <c r="Y103" s="142">
        <v>7632</v>
      </c>
      <c r="Z103" s="142">
        <v>6902</v>
      </c>
    </row>
    <row r="104" spans="1:26" ht="15.75" customHeight="1" x14ac:dyDescent="0.25">
      <c r="A104" s="18" t="s">
        <v>85</v>
      </c>
      <c r="B104" s="118">
        <v>144</v>
      </c>
      <c r="C104" s="118">
        <v>127</v>
      </c>
      <c r="D104" s="118">
        <v>259</v>
      </c>
      <c r="E104" s="118">
        <v>188</v>
      </c>
      <c r="F104" s="118">
        <v>191</v>
      </c>
      <c r="G104" s="118">
        <v>231</v>
      </c>
      <c r="H104" s="118">
        <v>309</v>
      </c>
      <c r="I104" s="118">
        <v>382</v>
      </c>
      <c r="J104" s="118">
        <v>648</v>
      </c>
      <c r="K104" s="118">
        <v>752</v>
      </c>
      <c r="L104" s="118">
        <v>812</v>
      </c>
      <c r="M104" s="118">
        <v>799</v>
      </c>
      <c r="N104" s="118">
        <v>891</v>
      </c>
      <c r="O104" s="118">
        <v>840</v>
      </c>
      <c r="P104" s="118">
        <v>1516</v>
      </c>
      <c r="Q104" s="118">
        <v>821</v>
      </c>
      <c r="R104" s="118">
        <v>1231</v>
      </c>
      <c r="S104" s="118">
        <v>806</v>
      </c>
      <c r="T104" s="86">
        <v>359</v>
      </c>
      <c r="U104" s="143">
        <v>292</v>
      </c>
      <c r="V104" s="143">
        <v>179</v>
      </c>
      <c r="W104" s="143">
        <v>372</v>
      </c>
      <c r="X104" s="142">
        <v>250</v>
      </c>
      <c r="Y104" s="142">
        <v>251</v>
      </c>
      <c r="Z104" s="142">
        <v>461</v>
      </c>
    </row>
    <row r="105" spans="1:26" ht="16.5" customHeight="1" thickBot="1" x14ac:dyDescent="0.3">
      <c r="A105" s="41" t="s">
        <v>86</v>
      </c>
      <c r="B105" s="127">
        <v>8</v>
      </c>
      <c r="C105" s="127">
        <v>172</v>
      </c>
      <c r="D105" s="127">
        <v>205</v>
      </c>
      <c r="E105" s="127">
        <v>329</v>
      </c>
      <c r="F105" s="127">
        <v>396</v>
      </c>
      <c r="G105" s="127">
        <v>355</v>
      </c>
      <c r="H105" s="127">
        <v>149</v>
      </c>
      <c r="I105" s="127">
        <v>147</v>
      </c>
      <c r="J105" s="127">
        <v>28</v>
      </c>
      <c r="K105" s="127">
        <v>91</v>
      </c>
      <c r="L105" s="127">
        <v>8</v>
      </c>
      <c r="M105" s="127">
        <v>44</v>
      </c>
      <c r="N105" s="127">
        <v>26</v>
      </c>
      <c r="O105" s="127">
        <v>9</v>
      </c>
      <c r="P105" s="127">
        <v>32</v>
      </c>
      <c r="Q105" s="127">
        <v>44</v>
      </c>
      <c r="R105" s="127">
        <v>53</v>
      </c>
      <c r="S105" s="127">
        <v>74</v>
      </c>
      <c r="T105" s="87">
        <v>34</v>
      </c>
      <c r="U105" s="135">
        <v>21</v>
      </c>
      <c r="V105" s="135">
        <v>31</v>
      </c>
      <c r="W105" s="135">
        <v>52</v>
      </c>
      <c r="X105" s="144">
        <v>58</v>
      </c>
      <c r="Y105" s="144">
        <v>130</v>
      </c>
      <c r="Z105" s="144">
        <v>110</v>
      </c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4">
    <tabColor rgb="FFC7E6A4"/>
  </sheetPr>
  <dimension ref="A1:Z106"/>
  <sheetViews>
    <sheetView topLeftCell="A91" zoomScale="80" zoomScaleNormal="80" workbookViewId="0">
      <pane xSplit="1" topLeftCell="B1" activePane="topRight" state="frozen"/>
      <selection pane="topRight" activeCell="AB17" sqref="AB17"/>
    </sheetView>
  </sheetViews>
  <sheetFormatPr defaultRowHeight="15" x14ac:dyDescent="0.25"/>
  <cols>
    <col min="1" max="1" width="18.140625" customWidth="1"/>
    <col min="13" max="25" width="9.140625" style="12"/>
    <col min="26" max="26" width="9.140625" style="1"/>
  </cols>
  <sheetData>
    <row r="1" spans="1:26" ht="30.75" customHeight="1" x14ac:dyDescent="0.25"/>
    <row r="2" spans="1:26" x14ac:dyDescent="0.25">
      <c r="A2" s="200" t="s">
        <v>180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spans="1:26" x14ac:dyDescent="0.25">
      <c r="A3" s="201" t="s">
        <v>191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6" x14ac:dyDescent="0.25">
      <c r="A4" s="202" t="s">
        <v>119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ht="13.5" customHeight="1" x14ac:dyDescent="0.25">
      <c r="A5" s="11" t="s">
        <v>215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Z5" s="12"/>
    </row>
    <row r="6" spans="1:26" ht="15.75" thickBot="1" x14ac:dyDescent="0.3">
      <c r="A6" s="45" t="s">
        <v>268</v>
      </c>
      <c r="B6" s="45"/>
      <c r="C6" s="45"/>
      <c r="D6" s="45"/>
      <c r="E6" s="45"/>
      <c r="F6" s="4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Z6" s="12"/>
    </row>
    <row r="7" spans="1:26" ht="15.75" thickBot="1" x14ac:dyDescent="0.3">
      <c r="A7" s="28"/>
      <c r="B7" s="167">
        <v>2000</v>
      </c>
      <c r="C7" s="167">
        <v>2001</v>
      </c>
      <c r="D7" s="2">
        <v>2002</v>
      </c>
      <c r="E7" s="167">
        <v>2003</v>
      </c>
      <c r="F7" s="2">
        <v>2004</v>
      </c>
      <c r="G7" s="2">
        <v>2005</v>
      </c>
      <c r="H7" s="2">
        <v>2006</v>
      </c>
      <c r="I7" s="2">
        <v>2007</v>
      </c>
      <c r="J7" s="2">
        <v>2008</v>
      </c>
      <c r="K7" s="2">
        <v>2009</v>
      </c>
      <c r="L7" s="2">
        <v>2010</v>
      </c>
      <c r="M7" s="2">
        <v>2011</v>
      </c>
      <c r="N7" s="2">
        <v>2012</v>
      </c>
      <c r="O7" s="2">
        <v>2013</v>
      </c>
      <c r="P7" s="2">
        <v>2014</v>
      </c>
      <c r="Q7" s="2">
        <v>2015</v>
      </c>
      <c r="R7" s="2">
        <v>2016</v>
      </c>
      <c r="S7" s="2">
        <v>2017</v>
      </c>
      <c r="T7" s="2">
        <v>2018</v>
      </c>
      <c r="U7" s="2">
        <v>2019</v>
      </c>
      <c r="V7" s="2">
        <v>2020</v>
      </c>
      <c r="W7" s="2">
        <v>2021</v>
      </c>
      <c r="X7" s="2">
        <v>2022</v>
      </c>
      <c r="Y7" s="2">
        <v>2023</v>
      </c>
      <c r="Z7" s="2">
        <v>2024</v>
      </c>
    </row>
    <row r="8" spans="1:26" x14ac:dyDescent="0.25">
      <c r="A8" s="29" t="s">
        <v>0</v>
      </c>
      <c r="B8" s="46">
        <v>2.5443921392607893</v>
      </c>
      <c r="C8" s="46">
        <v>2.6137905758803646</v>
      </c>
      <c r="D8" s="46">
        <v>2.7252738177576368</v>
      </c>
      <c r="E8" s="46">
        <v>2.9519811934877942</v>
      </c>
      <c r="F8" s="46">
        <v>3.3109522218072005</v>
      </c>
      <c r="G8" s="123">
        <v>3.6</v>
      </c>
      <c r="H8" s="123">
        <v>4.254152703652089</v>
      </c>
      <c r="I8" s="123">
        <v>5.0558413475304533</v>
      </c>
      <c r="J8" s="123">
        <v>5.3803227557542375</v>
      </c>
      <c r="K8" s="123">
        <v>4.9164708068192624</v>
      </c>
      <c r="L8" s="123">
        <v>5</v>
      </c>
      <c r="M8" s="123">
        <v>5.5</v>
      </c>
      <c r="N8" s="123">
        <v>5.8</v>
      </c>
      <c r="O8" s="123">
        <v>6.5</v>
      </c>
      <c r="P8" s="123">
        <v>7.7</v>
      </c>
      <c r="Q8" s="123">
        <v>8.1</v>
      </c>
      <c r="R8" s="123">
        <v>7.9</v>
      </c>
      <c r="S8" s="123">
        <v>7.7</v>
      </c>
      <c r="T8" s="123">
        <v>7.3</v>
      </c>
      <c r="U8" s="130">
        <v>7.6</v>
      </c>
      <c r="V8" s="130">
        <v>7.6</v>
      </c>
      <c r="W8" s="130">
        <v>8.1999999999999993</v>
      </c>
      <c r="X8" s="146">
        <v>8.7926748405710367</v>
      </c>
      <c r="Y8" s="146">
        <v>9.9071267022408023</v>
      </c>
      <c r="Z8" s="146">
        <v>9.2986402529653844</v>
      </c>
    </row>
    <row r="9" spans="1:26" ht="18" x14ac:dyDescent="0.25">
      <c r="A9" s="8" t="s">
        <v>109</v>
      </c>
      <c r="B9" s="46">
        <v>3.3631751715905698</v>
      </c>
      <c r="C9" s="46">
        <v>3.4171523904957266</v>
      </c>
      <c r="D9" s="46">
        <v>3.7904261253012557</v>
      </c>
      <c r="E9" s="46">
        <v>4.1892783003324832</v>
      </c>
      <c r="F9" s="123">
        <v>4.7140382139822075</v>
      </c>
      <c r="G9" s="123">
        <v>4.5999999999999996</v>
      </c>
      <c r="H9" s="123">
        <v>5.4968805396272833</v>
      </c>
      <c r="I9" s="123">
        <v>6.115970006954262</v>
      </c>
      <c r="J9" s="123">
        <v>5.8632977822102879</v>
      </c>
      <c r="K9" s="123">
        <v>5.63789662063287</v>
      </c>
      <c r="L9" s="123">
        <v>5.3</v>
      </c>
      <c r="M9" s="123">
        <v>5.6</v>
      </c>
      <c r="N9" s="123">
        <v>5.7</v>
      </c>
      <c r="O9" s="123">
        <v>6.8</v>
      </c>
      <c r="P9" s="123">
        <v>8.4</v>
      </c>
      <c r="Q9" s="123">
        <v>8.6999999999999993</v>
      </c>
      <c r="R9" s="123">
        <v>8.4</v>
      </c>
      <c r="S9" s="123">
        <v>8.3000000000000007</v>
      </c>
      <c r="T9" s="123">
        <v>8</v>
      </c>
      <c r="U9" s="130">
        <v>8.1999999999999993</v>
      </c>
      <c r="V9" s="130">
        <v>8.1999999999999993</v>
      </c>
      <c r="W9" s="130">
        <v>9.4</v>
      </c>
      <c r="X9" s="146">
        <v>10.180381208056106</v>
      </c>
      <c r="Y9" s="146">
        <v>10.586950359296051</v>
      </c>
      <c r="Z9" s="146">
        <v>9.132048477056987</v>
      </c>
    </row>
    <row r="10" spans="1:26" x14ac:dyDescent="0.25">
      <c r="A10" s="9" t="s">
        <v>1</v>
      </c>
      <c r="B10" s="47">
        <v>5.7834208602007582</v>
      </c>
      <c r="C10" s="47">
        <v>4.3937383921464583</v>
      </c>
      <c r="D10" s="47">
        <v>5.2052980132450335</v>
      </c>
      <c r="E10" s="47">
        <v>5.5053973252322228</v>
      </c>
      <c r="F10" s="129">
        <v>6.6514142022434477</v>
      </c>
      <c r="G10" s="129">
        <v>6.4</v>
      </c>
      <c r="H10" s="129">
        <v>6.5812520572609241</v>
      </c>
      <c r="I10" s="129">
        <v>7.8154300859453425</v>
      </c>
      <c r="J10" s="129">
        <v>8.0430415315327153</v>
      </c>
      <c r="K10" s="129">
        <v>7.1915391502656272</v>
      </c>
      <c r="L10" s="129">
        <v>7.1</v>
      </c>
      <c r="M10" s="129">
        <v>6.9</v>
      </c>
      <c r="N10" s="129">
        <v>7.2</v>
      </c>
      <c r="O10" s="129">
        <v>8.1999999999999993</v>
      </c>
      <c r="P10" s="129">
        <v>9.6</v>
      </c>
      <c r="Q10" s="129">
        <v>9.9</v>
      </c>
      <c r="R10" s="129">
        <v>8.4</v>
      </c>
      <c r="S10" s="129">
        <v>8.1999999999999993</v>
      </c>
      <c r="T10" s="129">
        <v>7.7</v>
      </c>
      <c r="U10" s="131">
        <v>8.1</v>
      </c>
      <c r="V10" s="131">
        <v>7.2</v>
      </c>
      <c r="W10" s="131">
        <v>7.1</v>
      </c>
      <c r="X10" s="147">
        <v>5.875379824694809</v>
      </c>
      <c r="Y10" s="147">
        <v>6.6815115220089245</v>
      </c>
      <c r="Z10" s="147">
        <v>5.6848127391302592</v>
      </c>
    </row>
    <row r="11" spans="1:26" x14ac:dyDescent="0.25">
      <c r="A11" s="9" t="s">
        <v>2</v>
      </c>
      <c r="B11" s="47">
        <v>2.0316473580107375</v>
      </c>
      <c r="C11" s="47">
        <v>1.9554190183610773</v>
      </c>
      <c r="D11" s="47">
        <v>1.9780219780219779</v>
      </c>
      <c r="E11" s="47">
        <v>1.82652274817823</v>
      </c>
      <c r="F11" s="129">
        <v>1.9124531315865374</v>
      </c>
      <c r="G11" s="129">
        <v>1.6</v>
      </c>
      <c r="H11" s="129">
        <v>2.1799727314043325</v>
      </c>
      <c r="I11" s="129">
        <v>2.7911862426856549</v>
      </c>
      <c r="J11" s="129">
        <v>3.032806512488095</v>
      </c>
      <c r="K11" s="129">
        <v>3.6926677490225863</v>
      </c>
      <c r="L11" s="129">
        <v>3.9</v>
      </c>
      <c r="M11" s="129">
        <v>4.4000000000000004</v>
      </c>
      <c r="N11" s="129">
        <v>4.8</v>
      </c>
      <c r="O11" s="129">
        <v>5.9</v>
      </c>
      <c r="P11" s="129">
        <v>6.3</v>
      </c>
      <c r="Q11" s="129">
        <v>7.6</v>
      </c>
      <c r="R11" s="129">
        <v>9.1</v>
      </c>
      <c r="S11" s="129">
        <v>7.5</v>
      </c>
      <c r="T11" s="129">
        <v>5.0999999999999996</v>
      </c>
      <c r="U11" s="131">
        <v>4.8</v>
      </c>
      <c r="V11" s="131">
        <v>4.5999999999999996</v>
      </c>
      <c r="W11" s="131">
        <v>4.8</v>
      </c>
      <c r="X11" s="147">
        <v>4.194826380797017</v>
      </c>
      <c r="Y11" s="147">
        <v>5.9862966184265343</v>
      </c>
      <c r="Z11" s="147">
        <v>5.2153656821378336</v>
      </c>
    </row>
    <row r="12" spans="1:26" x14ac:dyDescent="0.25">
      <c r="A12" s="9" t="s">
        <v>3</v>
      </c>
      <c r="B12" s="47">
        <v>2.422772529997447</v>
      </c>
      <c r="C12" s="47">
        <v>2.1393516724783677</v>
      </c>
      <c r="D12" s="47">
        <v>2.1705020920502092</v>
      </c>
      <c r="E12" s="47">
        <v>2.2834486610237295</v>
      </c>
      <c r="F12" s="129">
        <v>2.4787424721582085</v>
      </c>
      <c r="G12" s="129">
        <v>2.9</v>
      </c>
      <c r="H12" s="129">
        <v>2.801188530317853</v>
      </c>
      <c r="I12" s="129">
        <v>3.1176468189399591</v>
      </c>
      <c r="J12" s="129">
        <v>3.2078723142360874</v>
      </c>
      <c r="K12" s="129">
        <v>3.9309284626045931</v>
      </c>
      <c r="L12" s="129">
        <v>4.0999999999999996</v>
      </c>
      <c r="M12" s="129">
        <v>3.5</v>
      </c>
      <c r="N12" s="129">
        <v>3.9</v>
      </c>
      <c r="O12" s="129">
        <v>4.5</v>
      </c>
      <c r="P12" s="129">
        <v>5.2</v>
      </c>
      <c r="Q12" s="129">
        <v>5.8</v>
      </c>
      <c r="R12" s="129">
        <v>6</v>
      </c>
      <c r="S12" s="129">
        <v>5.9</v>
      </c>
      <c r="T12" s="129">
        <v>5.5</v>
      </c>
      <c r="U12" s="131">
        <v>5.4</v>
      </c>
      <c r="V12" s="131">
        <v>5.6</v>
      </c>
      <c r="W12" s="131">
        <v>5.9</v>
      </c>
      <c r="X12" s="147">
        <v>9.1268127676418729</v>
      </c>
      <c r="Y12" s="147">
        <v>8.3616336820121617</v>
      </c>
      <c r="Z12" s="147">
        <v>6.8676525512313074</v>
      </c>
    </row>
    <row r="13" spans="1:26" x14ac:dyDescent="0.25">
      <c r="A13" s="9" t="s">
        <v>4</v>
      </c>
      <c r="B13" s="47">
        <v>2.964059544370425</v>
      </c>
      <c r="C13" s="47">
        <v>2.9393700460638255</v>
      </c>
      <c r="D13" s="47">
        <v>3.1507251236482521</v>
      </c>
      <c r="E13" s="47">
        <v>3.8967354559905925</v>
      </c>
      <c r="F13" s="129">
        <v>3.4566058404340474</v>
      </c>
      <c r="G13" s="129">
        <v>4.2</v>
      </c>
      <c r="H13" s="129">
        <v>4.9568203047649098</v>
      </c>
      <c r="I13" s="129">
        <v>5.2624207731527148</v>
      </c>
      <c r="J13" s="129">
        <v>6.620389844152017</v>
      </c>
      <c r="K13" s="129">
        <v>4.9355012910011613</v>
      </c>
      <c r="L13" s="129">
        <v>6.2</v>
      </c>
      <c r="M13" s="129">
        <v>5.4</v>
      </c>
      <c r="N13" s="129">
        <v>6.7</v>
      </c>
      <c r="O13" s="129">
        <v>8.3000000000000007</v>
      </c>
      <c r="P13" s="129">
        <v>9.9</v>
      </c>
      <c r="Q13" s="129">
        <v>10.4</v>
      </c>
      <c r="R13" s="129">
        <v>11.5</v>
      </c>
      <c r="S13" s="129">
        <v>10.4</v>
      </c>
      <c r="T13" s="129">
        <v>9.4</v>
      </c>
      <c r="U13" s="131">
        <v>10.8</v>
      </c>
      <c r="V13" s="131">
        <v>9.1999999999999993</v>
      </c>
      <c r="W13" s="131">
        <v>10.1</v>
      </c>
      <c r="X13" s="147">
        <v>10.789530010888372</v>
      </c>
      <c r="Y13" s="147">
        <v>10.994805973108988</v>
      </c>
      <c r="Z13" s="147">
        <v>10.708268055580806</v>
      </c>
    </row>
    <row r="14" spans="1:26" x14ac:dyDescent="0.25">
      <c r="A14" s="9" t="s">
        <v>5</v>
      </c>
      <c r="B14" s="47">
        <v>1.0928547354229863</v>
      </c>
      <c r="C14" s="47">
        <v>0.97402597402597391</v>
      </c>
      <c r="D14" s="47">
        <v>1.0006937218175511</v>
      </c>
      <c r="E14" s="47">
        <v>1.0617138768991978</v>
      </c>
      <c r="F14" s="129">
        <v>0.71893604583395254</v>
      </c>
      <c r="G14" s="129">
        <v>1.1000000000000001</v>
      </c>
      <c r="H14" s="129">
        <v>1.8980717233852473</v>
      </c>
      <c r="I14" s="129">
        <v>1.5421819940579009</v>
      </c>
      <c r="J14" s="129">
        <v>2.0320865538966881</v>
      </c>
      <c r="K14" s="129">
        <v>2.0512619415749809</v>
      </c>
      <c r="L14" s="129">
        <v>2.1</v>
      </c>
      <c r="M14" s="129">
        <v>2.2000000000000002</v>
      </c>
      <c r="N14" s="129">
        <v>2.2999999999999998</v>
      </c>
      <c r="O14" s="129">
        <v>2.7</v>
      </c>
      <c r="P14" s="129">
        <v>3.5</v>
      </c>
      <c r="Q14" s="129">
        <v>3.8</v>
      </c>
      <c r="R14" s="129">
        <v>2.8</v>
      </c>
      <c r="S14" s="129">
        <v>4.2</v>
      </c>
      <c r="T14" s="129">
        <v>4.7</v>
      </c>
      <c r="U14" s="131">
        <v>3.7</v>
      </c>
      <c r="V14" s="131">
        <v>3.7</v>
      </c>
      <c r="W14" s="131">
        <v>3.2</v>
      </c>
      <c r="X14" s="147">
        <v>3.7512779795958324</v>
      </c>
      <c r="Y14" s="147">
        <v>5.5332616363822114</v>
      </c>
      <c r="Z14" s="147">
        <v>4.9645586597132549</v>
      </c>
    </row>
    <row r="15" spans="1:26" x14ac:dyDescent="0.25">
      <c r="A15" s="9" t="s">
        <v>6</v>
      </c>
      <c r="B15" s="47">
        <v>2.7090960292875246</v>
      </c>
      <c r="C15" s="47">
        <v>2.3765285809081429</v>
      </c>
      <c r="D15" s="47">
        <v>2.4355904606838426</v>
      </c>
      <c r="E15" s="47">
        <v>2.2905224922353122</v>
      </c>
      <c r="F15" s="129">
        <v>2.340673919842116</v>
      </c>
      <c r="G15" s="129">
        <v>3</v>
      </c>
      <c r="H15" s="129">
        <v>3.2415259835907535</v>
      </c>
      <c r="I15" s="129">
        <v>5.5685647941868659</v>
      </c>
      <c r="J15" s="129">
        <v>7.3701977648421995</v>
      </c>
      <c r="K15" s="129">
        <v>4.9522455005776633</v>
      </c>
      <c r="L15" s="129">
        <v>5.7</v>
      </c>
      <c r="M15" s="129">
        <v>7.4</v>
      </c>
      <c r="N15" s="129">
        <v>7.7</v>
      </c>
      <c r="O15" s="129">
        <v>8.1</v>
      </c>
      <c r="P15" s="129">
        <v>9.8000000000000007</v>
      </c>
      <c r="Q15" s="129">
        <v>10.3</v>
      </c>
      <c r="R15" s="129">
        <v>9.8000000000000007</v>
      </c>
      <c r="S15" s="129">
        <v>11</v>
      </c>
      <c r="T15" s="129">
        <v>10.199999999999999</v>
      </c>
      <c r="U15" s="131">
        <v>8.6999999999999993</v>
      </c>
      <c r="V15" s="131">
        <v>8.9</v>
      </c>
      <c r="W15" s="131">
        <v>9.4</v>
      </c>
      <c r="X15" s="147">
        <v>8.1945575451959929</v>
      </c>
      <c r="Y15" s="147">
        <v>10.991138713324327</v>
      </c>
      <c r="Z15" s="147">
        <v>9.1260511783625322</v>
      </c>
    </row>
    <row r="16" spans="1:26" x14ac:dyDescent="0.25">
      <c r="A16" s="9" t="s">
        <v>7</v>
      </c>
      <c r="B16" s="47">
        <v>3.2537274046708009</v>
      </c>
      <c r="C16" s="47">
        <v>3.4953271028037385</v>
      </c>
      <c r="D16" s="47">
        <v>2.0089285714285712</v>
      </c>
      <c r="E16" s="47">
        <v>1.6588958806143814</v>
      </c>
      <c r="F16" s="129">
        <v>1.1148893472322872</v>
      </c>
      <c r="G16" s="129">
        <v>2.1</v>
      </c>
      <c r="H16" s="129">
        <v>2.0855282474654135</v>
      </c>
      <c r="I16" s="129">
        <v>2.0797651088818205</v>
      </c>
      <c r="J16" s="129">
        <v>2.1686587668324502</v>
      </c>
      <c r="K16" s="129">
        <v>3.0827728964739118</v>
      </c>
      <c r="L16" s="129">
        <v>2.9</v>
      </c>
      <c r="M16" s="129">
        <v>3</v>
      </c>
      <c r="N16" s="129">
        <v>4.0999999999999996</v>
      </c>
      <c r="O16" s="129">
        <v>4.4000000000000004</v>
      </c>
      <c r="P16" s="129">
        <v>7.1</v>
      </c>
      <c r="Q16" s="129">
        <v>7.9</v>
      </c>
      <c r="R16" s="129">
        <v>7.1</v>
      </c>
      <c r="S16" s="129">
        <v>7.1</v>
      </c>
      <c r="T16" s="129">
        <v>4</v>
      </c>
      <c r="U16" s="131">
        <v>4.2</v>
      </c>
      <c r="V16" s="131">
        <v>5</v>
      </c>
      <c r="W16" s="131">
        <v>6.8</v>
      </c>
      <c r="X16" s="147">
        <v>6.4301467263126408</v>
      </c>
      <c r="Y16" s="147">
        <v>6.9181472649859508</v>
      </c>
      <c r="Z16" s="147">
        <v>5.8078666160348931</v>
      </c>
    </row>
    <row r="17" spans="1:26" x14ac:dyDescent="0.25">
      <c r="A17" s="9" t="s">
        <v>8</v>
      </c>
      <c r="B17" s="47">
        <v>1.725924181775371</v>
      </c>
      <c r="C17" s="47">
        <v>1.8019880715705765</v>
      </c>
      <c r="D17" s="47">
        <v>1.9188578803032748</v>
      </c>
      <c r="E17" s="47">
        <v>2.8366067082025963</v>
      </c>
      <c r="F17" s="129">
        <v>2.8466069839414505</v>
      </c>
      <c r="G17" s="129">
        <v>3.4</v>
      </c>
      <c r="H17" s="129">
        <v>3.8679725206373092</v>
      </c>
      <c r="I17" s="129">
        <v>4.5093021647416833</v>
      </c>
      <c r="J17" s="129">
        <v>4.9381618744624616</v>
      </c>
      <c r="K17" s="129">
        <v>5.7551228581787095</v>
      </c>
      <c r="L17" s="129">
        <v>4.8</v>
      </c>
      <c r="M17" s="129">
        <v>5.6</v>
      </c>
      <c r="N17" s="129">
        <v>5.7</v>
      </c>
      <c r="O17" s="129">
        <v>5.9</v>
      </c>
      <c r="P17" s="129">
        <v>7.7</v>
      </c>
      <c r="Q17" s="129">
        <v>6.7</v>
      </c>
      <c r="R17" s="129">
        <v>7.1</v>
      </c>
      <c r="S17" s="129">
        <v>7.3</v>
      </c>
      <c r="T17" s="129">
        <v>6.4</v>
      </c>
      <c r="U17" s="131">
        <v>5.5</v>
      </c>
      <c r="V17" s="131">
        <v>5.2</v>
      </c>
      <c r="W17" s="131">
        <v>6.1</v>
      </c>
      <c r="X17" s="147">
        <v>4.7227322030854335</v>
      </c>
      <c r="Y17" s="147">
        <v>6.0109678329237504</v>
      </c>
      <c r="Z17" s="147">
        <v>6.6253718006665174</v>
      </c>
    </row>
    <row r="18" spans="1:26" x14ac:dyDescent="0.25">
      <c r="A18" s="9" t="s">
        <v>9</v>
      </c>
      <c r="B18" s="47">
        <v>3.3601429848078639</v>
      </c>
      <c r="C18" s="47">
        <v>3.5759209344115006</v>
      </c>
      <c r="D18" s="47">
        <v>2.7556140495187957</v>
      </c>
      <c r="E18" s="47">
        <v>3.2140314864171371</v>
      </c>
      <c r="F18" s="129">
        <v>4.0709660994104464</v>
      </c>
      <c r="G18" s="129">
        <v>4.8</v>
      </c>
      <c r="H18" s="129">
        <v>5.270314365066783</v>
      </c>
      <c r="I18" s="129">
        <v>5.8070416479815439</v>
      </c>
      <c r="J18" s="129">
        <v>5.6579845045020702</v>
      </c>
      <c r="K18" s="129">
        <v>4.7239715273044203</v>
      </c>
      <c r="L18" s="129">
        <v>4.4000000000000004</v>
      </c>
      <c r="M18" s="129">
        <v>5</v>
      </c>
      <c r="N18" s="129">
        <v>4.5999999999999996</v>
      </c>
      <c r="O18" s="129">
        <v>5.0999999999999996</v>
      </c>
      <c r="P18" s="129">
        <v>6.1</v>
      </c>
      <c r="Q18" s="129">
        <v>8.4</v>
      </c>
      <c r="R18" s="129">
        <v>8.6</v>
      </c>
      <c r="S18" s="129">
        <v>7.3</v>
      </c>
      <c r="T18" s="129">
        <v>6.7</v>
      </c>
      <c r="U18" s="131">
        <v>8.9</v>
      </c>
      <c r="V18" s="131">
        <v>8.4</v>
      </c>
      <c r="W18" s="131">
        <v>10</v>
      </c>
      <c r="X18" s="147">
        <v>6.1137500198727794</v>
      </c>
      <c r="Y18" s="147">
        <v>5.9914525036030764</v>
      </c>
      <c r="Z18" s="147">
        <v>7.0402804670539219</v>
      </c>
    </row>
    <row r="19" spans="1:26" x14ac:dyDescent="0.25">
      <c r="A19" s="9" t="s">
        <v>10</v>
      </c>
      <c r="B19" s="47">
        <v>3.7592133881101981</v>
      </c>
      <c r="C19" s="47">
        <v>4.4110840530606685</v>
      </c>
      <c r="D19" s="47">
        <v>4.9685468017541208</v>
      </c>
      <c r="E19" s="47">
        <v>5.8778447410951848</v>
      </c>
      <c r="F19" s="129">
        <v>8.6263000197045567</v>
      </c>
      <c r="G19" s="129">
        <v>7.3</v>
      </c>
      <c r="H19" s="129">
        <v>10.468594583070507</v>
      </c>
      <c r="I19" s="129">
        <v>11.820386706922259</v>
      </c>
      <c r="J19" s="129">
        <v>11.986385420342062</v>
      </c>
      <c r="K19" s="129">
        <v>13.308471285894331</v>
      </c>
      <c r="L19" s="129">
        <v>12.6</v>
      </c>
      <c r="M19" s="129">
        <v>13.6</v>
      </c>
      <c r="N19" s="129">
        <v>11</v>
      </c>
      <c r="O19" s="129">
        <v>14</v>
      </c>
      <c r="P19" s="129">
        <v>19.399999999999999</v>
      </c>
      <c r="Q19" s="129">
        <v>17.5</v>
      </c>
      <c r="R19" s="129">
        <v>16.100000000000001</v>
      </c>
      <c r="S19" s="129">
        <v>16.100000000000001</v>
      </c>
      <c r="T19" s="129">
        <v>15.6</v>
      </c>
      <c r="U19" s="131">
        <v>13.9</v>
      </c>
      <c r="V19" s="131">
        <v>14.8</v>
      </c>
      <c r="W19" s="131">
        <v>13.3</v>
      </c>
      <c r="X19" s="147">
        <v>18.948501533338554</v>
      </c>
      <c r="Y19" s="147">
        <v>17.656560379646322</v>
      </c>
      <c r="Z19" s="147">
        <v>13.132959132251953</v>
      </c>
    </row>
    <row r="20" spans="1:26" x14ac:dyDescent="0.25">
      <c r="A20" s="9" t="s">
        <v>11</v>
      </c>
      <c r="B20" s="47">
        <v>3.2572402044293014</v>
      </c>
      <c r="C20" s="47">
        <v>3.12120169705309</v>
      </c>
      <c r="D20" s="47">
        <v>3.0432263298180553</v>
      </c>
      <c r="E20" s="47">
        <v>3.3588137195343637</v>
      </c>
      <c r="F20" s="129">
        <v>3.6689699776960865</v>
      </c>
      <c r="G20" s="129">
        <v>4</v>
      </c>
      <c r="H20" s="129">
        <v>4.5301888109233879</v>
      </c>
      <c r="I20" s="129">
        <v>5.5326129719484642</v>
      </c>
      <c r="J20" s="129">
        <v>5.4860722341156389</v>
      </c>
      <c r="K20" s="129">
        <v>5.2022613065326633</v>
      </c>
      <c r="L20" s="129">
        <v>4.4000000000000004</v>
      </c>
      <c r="M20" s="129">
        <v>6</v>
      </c>
      <c r="N20" s="129">
        <v>6</v>
      </c>
      <c r="O20" s="129">
        <v>7</v>
      </c>
      <c r="P20" s="129">
        <v>8.1999999999999993</v>
      </c>
      <c r="Q20" s="129">
        <v>8.6</v>
      </c>
      <c r="R20" s="129">
        <v>7</v>
      </c>
      <c r="S20" s="129">
        <v>5.0999999999999996</v>
      </c>
      <c r="T20" s="129">
        <v>5.5</v>
      </c>
      <c r="U20" s="131">
        <v>5.0999999999999996</v>
      </c>
      <c r="V20" s="131">
        <v>7.9</v>
      </c>
      <c r="W20" s="131">
        <v>4.5999999999999996</v>
      </c>
      <c r="X20" s="147">
        <v>6.6283769410763673</v>
      </c>
      <c r="Y20" s="147">
        <v>6.8410826831863591</v>
      </c>
      <c r="Z20" s="147">
        <v>7.2200123597559385</v>
      </c>
    </row>
    <row r="21" spans="1:26" x14ac:dyDescent="0.25">
      <c r="A21" s="9" t="s">
        <v>12</v>
      </c>
      <c r="B21" s="47">
        <v>2.5499328965027237</v>
      </c>
      <c r="C21" s="47">
        <v>1.5257220577646211</v>
      </c>
      <c r="D21" s="47">
        <v>2.0693013065000407</v>
      </c>
      <c r="E21" s="47">
        <v>2.4428301333326758</v>
      </c>
      <c r="F21" s="129">
        <v>2.5753922638635864</v>
      </c>
      <c r="G21" s="129">
        <v>3.2</v>
      </c>
      <c r="H21" s="129">
        <v>3.9614971168401181</v>
      </c>
      <c r="I21" s="129">
        <v>5.161636476469984</v>
      </c>
      <c r="J21" s="129">
        <v>5.7893249288502213</v>
      </c>
      <c r="K21" s="129">
        <v>6.3080812633332046</v>
      </c>
      <c r="L21" s="129">
        <v>5.4</v>
      </c>
      <c r="M21" s="129">
        <v>5.6</v>
      </c>
      <c r="N21" s="129">
        <v>6.4</v>
      </c>
      <c r="O21" s="129">
        <v>6.4</v>
      </c>
      <c r="P21" s="129">
        <v>7.6</v>
      </c>
      <c r="Q21" s="129">
        <v>8.1999999999999993</v>
      </c>
      <c r="R21" s="129">
        <v>9.6999999999999993</v>
      </c>
      <c r="S21" s="129">
        <v>8.6</v>
      </c>
      <c r="T21" s="129">
        <v>10.7</v>
      </c>
      <c r="U21" s="131">
        <v>10.4</v>
      </c>
      <c r="V21" s="131">
        <v>8</v>
      </c>
      <c r="W21" s="131">
        <v>9.6999999999999993</v>
      </c>
      <c r="X21" s="147">
        <v>9.435445824815222</v>
      </c>
      <c r="Y21" s="147">
        <v>9.2577666213757688</v>
      </c>
      <c r="Z21" s="147">
        <v>7.3234562039327988</v>
      </c>
    </row>
    <row r="22" spans="1:26" x14ac:dyDescent="0.25">
      <c r="A22" s="9" t="s">
        <v>13</v>
      </c>
      <c r="B22" s="47">
        <v>1.9893656032269895</v>
      </c>
      <c r="C22" s="47">
        <v>1.9101333084739442</v>
      </c>
      <c r="D22" s="47">
        <v>2.2880713066565526</v>
      </c>
      <c r="E22" s="47">
        <v>2.8671325317384566</v>
      </c>
      <c r="F22" s="129">
        <v>3.329101152344033</v>
      </c>
      <c r="G22" s="129">
        <v>3.6</v>
      </c>
      <c r="H22" s="129">
        <v>3.8985152754653898</v>
      </c>
      <c r="I22" s="129">
        <v>3.9449055166513887</v>
      </c>
      <c r="J22" s="129">
        <v>4.3379004522004969</v>
      </c>
      <c r="K22" s="129">
        <v>4.5913940202534942</v>
      </c>
      <c r="L22" s="129">
        <v>4.3</v>
      </c>
      <c r="M22" s="129">
        <v>4.4000000000000004</v>
      </c>
      <c r="N22" s="129">
        <v>3.1</v>
      </c>
      <c r="O22" s="129">
        <v>5.5</v>
      </c>
      <c r="P22" s="129">
        <v>6</v>
      </c>
      <c r="Q22" s="129">
        <v>5.9</v>
      </c>
      <c r="R22" s="129">
        <v>8.3000000000000007</v>
      </c>
      <c r="S22" s="129">
        <v>6.7</v>
      </c>
      <c r="T22" s="129">
        <v>4.2</v>
      </c>
      <c r="U22" s="131">
        <v>5.2</v>
      </c>
      <c r="V22" s="131">
        <v>5.9</v>
      </c>
      <c r="W22" s="131">
        <v>6.1</v>
      </c>
      <c r="X22" s="147">
        <v>6.3843013008383229</v>
      </c>
      <c r="Y22" s="147">
        <v>6.531846349051369</v>
      </c>
      <c r="Z22" s="147">
        <v>6.7358099528216551</v>
      </c>
    </row>
    <row r="23" spans="1:26" x14ac:dyDescent="0.25">
      <c r="A23" s="9" t="s">
        <v>14</v>
      </c>
      <c r="B23" s="47">
        <v>2.3283972838092124</v>
      </c>
      <c r="C23" s="47">
        <v>1.9451599501454093</v>
      </c>
      <c r="D23" s="47">
        <v>2.0653826659908767</v>
      </c>
      <c r="E23" s="47">
        <v>2.344089777439891</v>
      </c>
      <c r="F23" s="129">
        <v>2.8979340869172678</v>
      </c>
      <c r="G23" s="129">
        <v>3.1</v>
      </c>
      <c r="H23" s="129">
        <v>3.7262244633124468</v>
      </c>
      <c r="I23" s="129">
        <v>3.952836967316439</v>
      </c>
      <c r="J23" s="129">
        <v>4.6694433354553997</v>
      </c>
      <c r="K23" s="129">
        <v>4.2274831707029801</v>
      </c>
      <c r="L23" s="129">
        <v>4.9000000000000004</v>
      </c>
      <c r="M23" s="129">
        <v>5.4</v>
      </c>
      <c r="N23" s="129">
        <v>4.8</v>
      </c>
      <c r="O23" s="129">
        <v>6</v>
      </c>
      <c r="P23" s="129">
        <v>6.6</v>
      </c>
      <c r="Q23" s="129">
        <v>8.1999999999999993</v>
      </c>
      <c r="R23" s="129">
        <v>7.1</v>
      </c>
      <c r="S23" s="129">
        <v>6.6</v>
      </c>
      <c r="T23" s="129">
        <v>7.5</v>
      </c>
      <c r="U23" s="131">
        <v>6.8</v>
      </c>
      <c r="V23" s="131">
        <v>5.4</v>
      </c>
      <c r="W23" s="131">
        <v>5.9</v>
      </c>
      <c r="X23" s="147">
        <v>4.7897062950866189</v>
      </c>
      <c r="Y23" s="147">
        <v>5.6009179513373439</v>
      </c>
      <c r="Z23" s="147">
        <v>4.9113218949525734</v>
      </c>
    </row>
    <row r="24" spans="1:26" x14ac:dyDescent="0.25">
      <c r="A24" s="9" t="s">
        <v>15</v>
      </c>
      <c r="B24" s="47">
        <v>1.8208526473852582</v>
      </c>
      <c r="C24" s="47">
        <v>2.2597143806044504</v>
      </c>
      <c r="D24" s="47">
        <v>2.0568143388569498</v>
      </c>
      <c r="E24" s="47">
        <v>2.2173466529735788</v>
      </c>
      <c r="F24" s="129">
        <v>2.5315611942080993</v>
      </c>
      <c r="G24" s="129">
        <v>2.2999999999999998</v>
      </c>
      <c r="H24" s="129">
        <v>3.1768390664499502</v>
      </c>
      <c r="I24" s="129">
        <v>3.5781488822951268</v>
      </c>
      <c r="J24" s="129">
        <v>2.7592288639521336</v>
      </c>
      <c r="K24" s="129">
        <v>3.7055631609519164</v>
      </c>
      <c r="L24" s="129">
        <v>3.9</v>
      </c>
      <c r="M24" s="129">
        <v>3.4</v>
      </c>
      <c r="N24" s="129">
        <v>3.6</v>
      </c>
      <c r="O24" s="129">
        <v>4.5</v>
      </c>
      <c r="P24" s="129">
        <v>4.7</v>
      </c>
      <c r="Q24" s="129">
        <v>6.1</v>
      </c>
      <c r="R24" s="129">
        <v>6.1</v>
      </c>
      <c r="S24" s="129">
        <v>7.1</v>
      </c>
      <c r="T24" s="129">
        <v>5</v>
      </c>
      <c r="U24" s="131">
        <v>5.9</v>
      </c>
      <c r="V24" s="131">
        <v>6.4</v>
      </c>
      <c r="W24" s="131">
        <v>6.7</v>
      </c>
      <c r="X24" s="147">
        <v>7.2582637117176851</v>
      </c>
      <c r="Y24" s="147">
        <v>8.2590535602443857</v>
      </c>
      <c r="Z24" s="147">
        <v>7.3529903945915196</v>
      </c>
    </row>
    <row r="25" spans="1:26" x14ac:dyDescent="0.25">
      <c r="A25" s="9" t="s">
        <v>16</v>
      </c>
      <c r="B25" s="47">
        <v>1.7522379439792088</v>
      </c>
      <c r="C25" s="47">
        <v>0.85012889617998599</v>
      </c>
      <c r="D25" s="47">
        <v>1.2361020274689338</v>
      </c>
      <c r="E25" s="47">
        <v>1.5432303348104797</v>
      </c>
      <c r="F25" s="129">
        <v>1.600731484303566</v>
      </c>
      <c r="G25" s="129">
        <v>1.3</v>
      </c>
      <c r="H25" s="129">
        <v>1.8536188486912082</v>
      </c>
      <c r="I25" s="129">
        <v>2.1893945477175092</v>
      </c>
      <c r="J25" s="129">
        <v>2.9662131072109381</v>
      </c>
      <c r="K25" s="129">
        <v>2.6711238459089461</v>
      </c>
      <c r="L25" s="129">
        <v>3.1</v>
      </c>
      <c r="M25" s="129">
        <v>1.5</v>
      </c>
      <c r="N25" s="129">
        <v>1.9</v>
      </c>
      <c r="O25" s="129">
        <v>3.4</v>
      </c>
      <c r="P25" s="129">
        <v>4.0999999999999996</v>
      </c>
      <c r="Q25" s="129">
        <v>5.7</v>
      </c>
      <c r="R25" s="129">
        <v>5.9</v>
      </c>
      <c r="S25" s="129">
        <v>6.3</v>
      </c>
      <c r="T25" s="129">
        <v>6.2</v>
      </c>
      <c r="U25" s="131">
        <v>5</v>
      </c>
      <c r="V25" s="131">
        <v>6</v>
      </c>
      <c r="W25" s="131">
        <v>6.3</v>
      </c>
      <c r="X25" s="147">
        <v>7.2054027000776166</v>
      </c>
      <c r="Y25" s="147">
        <v>9.7361852377174234</v>
      </c>
      <c r="Z25" s="147">
        <v>7.7206512163164671</v>
      </c>
    </row>
    <row r="26" spans="1:26" x14ac:dyDescent="0.25">
      <c r="A26" s="9" t="s">
        <v>17</v>
      </c>
      <c r="B26" s="47">
        <v>1.3250946496178297</v>
      </c>
      <c r="C26" s="47">
        <v>1.7055046533439147</v>
      </c>
      <c r="D26" s="47">
        <v>1.7733702785474696</v>
      </c>
      <c r="E26" s="47">
        <v>2.1405694711421437</v>
      </c>
      <c r="F26" s="129">
        <v>1.9724646917612989</v>
      </c>
      <c r="G26" s="129">
        <v>2.2000000000000002</v>
      </c>
      <c r="H26" s="129">
        <v>2.6508184009510187</v>
      </c>
      <c r="I26" s="129">
        <v>4.2198649951783995</v>
      </c>
      <c r="J26" s="129">
        <v>4.2487216218668777</v>
      </c>
      <c r="K26" s="129">
        <v>4.1648968712615106</v>
      </c>
      <c r="L26" s="129">
        <v>3.3</v>
      </c>
      <c r="M26" s="129">
        <v>5.5</v>
      </c>
      <c r="N26" s="129">
        <v>5.7</v>
      </c>
      <c r="O26" s="129">
        <v>5.0999999999999996</v>
      </c>
      <c r="P26" s="129">
        <v>8.3000000000000007</v>
      </c>
      <c r="Q26" s="129">
        <v>8.6</v>
      </c>
      <c r="R26" s="129">
        <v>9.8000000000000007</v>
      </c>
      <c r="S26" s="129">
        <v>8.8000000000000007</v>
      </c>
      <c r="T26" s="129">
        <v>8.3000000000000007</v>
      </c>
      <c r="U26" s="131">
        <v>8.4</v>
      </c>
      <c r="V26" s="131">
        <v>8.1</v>
      </c>
      <c r="W26" s="131">
        <v>7.9</v>
      </c>
      <c r="X26" s="147">
        <v>8.037522883109288</v>
      </c>
      <c r="Y26" s="147">
        <v>10.59504150563979</v>
      </c>
      <c r="Z26" s="147">
        <v>10.563695553381887</v>
      </c>
    </row>
    <row r="27" spans="1:26" x14ac:dyDescent="0.25">
      <c r="A27" s="9" t="s">
        <v>18</v>
      </c>
      <c r="B27" s="47">
        <v>4.9117083682509275</v>
      </c>
      <c r="C27" s="47">
        <v>5.1220062597501981</v>
      </c>
      <c r="D27" s="47">
        <v>5.9329615429301734</v>
      </c>
      <c r="E27" s="47">
        <v>6.1212324443290562</v>
      </c>
      <c r="F27" s="129">
        <v>5.8817304585480938</v>
      </c>
      <c r="G27" s="129">
        <v>5.8</v>
      </c>
      <c r="H27" s="129">
        <v>5.8604081999746542</v>
      </c>
      <c r="I27" s="129">
        <v>5.9351086291319284</v>
      </c>
      <c r="J27" s="129">
        <v>4.142959012540322</v>
      </c>
      <c r="K27" s="129">
        <v>2.920164463210746</v>
      </c>
      <c r="L27" s="129">
        <v>2</v>
      </c>
      <c r="M27" s="129">
        <v>2</v>
      </c>
      <c r="N27" s="129">
        <v>3.6</v>
      </c>
      <c r="O27" s="129">
        <v>3.9</v>
      </c>
      <c r="P27" s="129">
        <v>3.8</v>
      </c>
      <c r="Q27" s="129">
        <v>4.5999999999999996</v>
      </c>
      <c r="R27" s="129">
        <v>4.0999999999999996</v>
      </c>
      <c r="S27" s="129">
        <v>4.3</v>
      </c>
      <c r="T27" s="129">
        <v>4.5999999999999996</v>
      </c>
      <c r="U27" s="131">
        <v>6.2</v>
      </c>
      <c r="V27" s="131">
        <v>6.1</v>
      </c>
      <c r="W27" s="131">
        <v>9.9</v>
      </c>
      <c r="X27" s="147">
        <v>8.7648590303064005</v>
      </c>
      <c r="Y27" s="147">
        <v>9.4378071439073228</v>
      </c>
      <c r="Z27" s="147">
        <v>8.872434878357959</v>
      </c>
    </row>
    <row r="28" spans="1:26" ht="18" x14ac:dyDescent="0.25">
      <c r="A28" s="8" t="s">
        <v>95</v>
      </c>
      <c r="B28" s="46">
        <v>2.3755364204975735</v>
      </c>
      <c r="C28" s="46">
        <v>2.2897021059854699</v>
      </c>
      <c r="D28" s="46">
        <v>2.3657464241870558</v>
      </c>
      <c r="E28" s="46">
        <v>2.9746711722927297</v>
      </c>
      <c r="F28" s="123">
        <v>3.5024559790072507</v>
      </c>
      <c r="G28" s="123">
        <v>4</v>
      </c>
      <c r="H28" s="123">
        <v>4.6773964526085381</v>
      </c>
      <c r="I28" s="123">
        <v>5.5877133465904851</v>
      </c>
      <c r="J28" s="123">
        <v>6.8367451965635819</v>
      </c>
      <c r="K28" s="123">
        <v>5.9203166124536812</v>
      </c>
      <c r="L28" s="123">
        <v>6</v>
      </c>
      <c r="M28" s="123">
        <v>6.6</v>
      </c>
      <c r="N28" s="123">
        <v>6.4</v>
      </c>
      <c r="O28" s="123">
        <v>7.3</v>
      </c>
      <c r="P28" s="123">
        <v>9.1999999999999993</v>
      </c>
      <c r="Q28" s="123">
        <v>10.8</v>
      </c>
      <c r="R28" s="123">
        <v>11.3</v>
      </c>
      <c r="S28" s="123">
        <v>12</v>
      </c>
      <c r="T28" s="123">
        <v>12.4</v>
      </c>
      <c r="U28" s="130">
        <v>11.9</v>
      </c>
      <c r="V28" s="130">
        <v>11</v>
      </c>
      <c r="W28" s="130">
        <v>11.5</v>
      </c>
      <c r="X28" s="146">
        <v>12.480912532717264</v>
      </c>
      <c r="Y28" s="146">
        <v>13.660960291676473</v>
      </c>
      <c r="Z28" s="146">
        <v>11.697261608399177</v>
      </c>
    </row>
    <row r="29" spans="1:26" x14ac:dyDescent="0.25">
      <c r="A29" s="9" t="s">
        <v>19</v>
      </c>
      <c r="B29" s="47">
        <v>1.139188635432318</v>
      </c>
      <c r="C29" s="47">
        <v>1.4092664092664091</v>
      </c>
      <c r="D29" s="47">
        <v>1.0356347438752784</v>
      </c>
      <c r="E29" s="47">
        <v>1.4061464253980791</v>
      </c>
      <c r="F29" s="129">
        <v>1.6833662729236567</v>
      </c>
      <c r="G29" s="129">
        <v>1.6</v>
      </c>
      <c r="H29" s="129">
        <v>2.1534978681265908</v>
      </c>
      <c r="I29" s="129">
        <v>2.467465396591455</v>
      </c>
      <c r="J29" s="129">
        <v>3.2318740147886413</v>
      </c>
      <c r="K29" s="129">
        <v>3.4810408419604388</v>
      </c>
      <c r="L29" s="129">
        <v>3.3</v>
      </c>
      <c r="M29" s="129">
        <v>3.9</v>
      </c>
      <c r="N29" s="129">
        <v>4.4000000000000004</v>
      </c>
      <c r="O29" s="129">
        <v>5.7</v>
      </c>
      <c r="P29" s="129">
        <v>6.1</v>
      </c>
      <c r="Q29" s="129">
        <v>8.1</v>
      </c>
      <c r="R29" s="129">
        <v>8.6</v>
      </c>
      <c r="S29" s="129">
        <v>6.5</v>
      </c>
      <c r="T29" s="129">
        <v>7.9</v>
      </c>
      <c r="U29" s="131">
        <v>7.5</v>
      </c>
      <c r="V29" s="131">
        <v>7.7</v>
      </c>
      <c r="W29" s="131">
        <v>8</v>
      </c>
      <c r="X29" s="147">
        <v>7.9168961692559598</v>
      </c>
      <c r="Y29" s="147">
        <v>8.6314436322423109</v>
      </c>
      <c r="Z29" s="147">
        <v>8.5826126815534245</v>
      </c>
    </row>
    <row r="30" spans="1:26" x14ac:dyDescent="0.25">
      <c r="A30" s="9" t="s">
        <v>20</v>
      </c>
      <c r="B30" s="47">
        <v>3.6928789032749427</v>
      </c>
      <c r="C30" s="47">
        <v>1.496670848209978</v>
      </c>
      <c r="D30" s="47">
        <v>2.0209229565897537</v>
      </c>
      <c r="E30" s="47">
        <v>2.2649977975054272</v>
      </c>
      <c r="F30" s="129">
        <v>2.1122221404052763</v>
      </c>
      <c r="G30" s="129">
        <v>2.9</v>
      </c>
      <c r="H30" s="129">
        <v>2.8315811985524446</v>
      </c>
      <c r="I30" s="129">
        <v>3.0228485213472052</v>
      </c>
      <c r="J30" s="129">
        <v>3.0648485775268846</v>
      </c>
      <c r="K30" s="129">
        <v>2.0247527937118179</v>
      </c>
      <c r="L30" s="129">
        <v>1.4</v>
      </c>
      <c r="M30" s="129">
        <v>2.2999999999999998</v>
      </c>
      <c r="N30" s="129">
        <v>1.6</v>
      </c>
      <c r="O30" s="129">
        <v>2.9</v>
      </c>
      <c r="P30" s="129">
        <v>3.4</v>
      </c>
      <c r="Q30" s="129">
        <v>4.8</v>
      </c>
      <c r="R30" s="129">
        <v>5.9</v>
      </c>
      <c r="S30" s="129">
        <v>4.5999999999999996</v>
      </c>
      <c r="T30" s="129">
        <v>6</v>
      </c>
      <c r="U30" s="131">
        <v>4.7</v>
      </c>
      <c r="V30" s="131">
        <v>4.5999999999999996</v>
      </c>
      <c r="W30" s="131">
        <v>3.3</v>
      </c>
      <c r="X30" s="147">
        <v>3.7268382724626146</v>
      </c>
      <c r="Y30" s="147">
        <v>4.4826774990583349</v>
      </c>
      <c r="Z30" s="147">
        <v>4.2650310646414855</v>
      </c>
    </row>
    <row r="31" spans="1:26" x14ac:dyDescent="0.25">
      <c r="A31" s="9" t="s">
        <v>21</v>
      </c>
      <c r="B31" s="47">
        <v>0.75523664564760451</v>
      </c>
      <c r="C31" s="47">
        <v>0.97220179438152676</v>
      </c>
      <c r="D31" s="47">
        <v>1.0831159150204994</v>
      </c>
      <c r="E31" s="47">
        <v>0.88588341381555202</v>
      </c>
      <c r="F31" s="129">
        <v>1.1090850125135385</v>
      </c>
      <c r="G31" s="129">
        <v>1.3</v>
      </c>
      <c r="H31" s="129">
        <v>2.1392942683236909</v>
      </c>
      <c r="I31" s="129">
        <v>2.9566175217823703</v>
      </c>
      <c r="J31" s="129">
        <v>4.0121947712042338</v>
      </c>
      <c r="K31" s="129">
        <v>2.9182291888949461</v>
      </c>
      <c r="L31" s="129">
        <v>3.2</v>
      </c>
      <c r="M31" s="129">
        <v>3.3</v>
      </c>
      <c r="N31" s="129">
        <v>3.7</v>
      </c>
      <c r="O31" s="129">
        <v>4.0999999999999996</v>
      </c>
      <c r="P31" s="129">
        <v>4.5</v>
      </c>
      <c r="Q31" s="129">
        <v>4.9000000000000004</v>
      </c>
      <c r="R31" s="129">
        <v>4.7</v>
      </c>
      <c r="S31" s="129">
        <v>5.8</v>
      </c>
      <c r="T31" s="129">
        <v>4.2</v>
      </c>
      <c r="U31" s="131">
        <v>4.7</v>
      </c>
      <c r="V31" s="131">
        <v>5.7</v>
      </c>
      <c r="W31" s="131">
        <v>6.3</v>
      </c>
      <c r="X31" s="147">
        <v>6.9386531652782439</v>
      </c>
      <c r="Y31" s="147">
        <v>7.6047031580628417</v>
      </c>
      <c r="Z31" s="147">
        <v>8.4528046707783524</v>
      </c>
    </row>
    <row r="32" spans="1:26" x14ac:dyDescent="0.25">
      <c r="A32" s="4" t="s">
        <v>63</v>
      </c>
      <c r="B32" s="118"/>
      <c r="C32" s="118"/>
      <c r="D32" s="118"/>
      <c r="E32" s="118"/>
      <c r="F32" s="118"/>
      <c r="G32" s="129"/>
      <c r="H32" s="129"/>
      <c r="I32" s="129"/>
      <c r="J32" s="129"/>
      <c r="K32" s="129"/>
      <c r="L32" s="129"/>
      <c r="Z32" s="12"/>
    </row>
    <row r="33" spans="1:26" ht="19.5" x14ac:dyDescent="0.25">
      <c r="A33" s="14" t="s">
        <v>23</v>
      </c>
      <c r="B33" s="47">
        <v>4.4038929440389296</v>
      </c>
      <c r="C33" s="47">
        <v>4.4254278728606362</v>
      </c>
      <c r="D33" s="47">
        <v>1.6949152542372883</v>
      </c>
      <c r="E33" s="47">
        <v>3.1586503948312994</v>
      </c>
      <c r="F33" s="129">
        <v>2.6018045543514585</v>
      </c>
      <c r="G33" s="129">
        <v>11.1</v>
      </c>
      <c r="H33" s="129">
        <v>13.298634323369306</v>
      </c>
      <c r="I33" s="129">
        <v>14.805263032213388</v>
      </c>
      <c r="J33" s="129">
        <v>27.197402039208196</v>
      </c>
      <c r="K33" s="129">
        <v>18.148906778449959</v>
      </c>
      <c r="L33" s="129">
        <v>16.600000000000001</v>
      </c>
      <c r="M33" s="129">
        <v>11.6</v>
      </c>
      <c r="N33" s="129">
        <v>11.5</v>
      </c>
      <c r="O33" s="129">
        <v>11.5</v>
      </c>
      <c r="P33" s="129">
        <v>11.9</v>
      </c>
      <c r="Q33" s="129">
        <v>12.8</v>
      </c>
      <c r="R33" s="129">
        <v>6.7</v>
      </c>
      <c r="S33" s="129">
        <v>9</v>
      </c>
      <c r="T33" s="129">
        <v>6.1</v>
      </c>
      <c r="U33" s="131">
        <v>3.1</v>
      </c>
      <c r="V33" s="131">
        <v>7.9</v>
      </c>
      <c r="W33" s="131">
        <v>4.8</v>
      </c>
      <c r="X33" s="147">
        <v>11.013162661514309</v>
      </c>
      <c r="Y33" s="147">
        <v>4.6167830829585679</v>
      </c>
      <c r="Z33" s="147">
        <v>7.7736835849280874</v>
      </c>
    </row>
    <row r="34" spans="1:26" ht="19.5" x14ac:dyDescent="0.25">
      <c r="A34" s="14" t="s">
        <v>262</v>
      </c>
      <c r="B34" s="47">
        <v>0.6432093231734648</v>
      </c>
      <c r="C34" s="47">
        <v>0.86511486845098196</v>
      </c>
      <c r="D34" s="47">
        <v>1.0636825103830179</v>
      </c>
      <c r="E34" s="47">
        <v>0.81181490932004075</v>
      </c>
      <c r="F34" s="129">
        <v>1.0596685868714883</v>
      </c>
      <c r="G34" s="129">
        <v>1</v>
      </c>
      <c r="H34" s="129">
        <v>1.7600262259325137</v>
      </c>
      <c r="I34" s="129">
        <v>2.5499205762443462</v>
      </c>
      <c r="J34" s="129">
        <v>3.209608159992726</v>
      </c>
      <c r="K34" s="129">
        <v>2.3852723185897058</v>
      </c>
      <c r="L34" s="129">
        <v>2.8</v>
      </c>
      <c r="M34" s="129">
        <v>3</v>
      </c>
      <c r="N34" s="129">
        <v>3.4</v>
      </c>
      <c r="O34" s="129">
        <v>3.8</v>
      </c>
      <c r="P34" s="129">
        <v>4.2</v>
      </c>
      <c r="Q34" s="129">
        <v>4.5999999999999996</v>
      </c>
      <c r="R34" s="129">
        <v>4.5999999999999996</v>
      </c>
      <c r="S34" s="129">
        <v>5.7</v>
      </c>
      <c r="T34" s="129">
        <v>4.0999999999999996</v>
      </c>
      <c r="U34" s="131">
        <v>4.7</v>
      </c>
      <c r="V34" s="131">
        <v>5.6</v>
      </c>
      <c r="W34" s="131">
        <v>6.4</v>
      </c>
      <c r="X34" s="147">
        <v>6.7646324632215658</v>
      </c>
      <c r="Y34" s="147">
        <v>7.7348043279907008</v>
      </c>
      <c r="Z34" s="147">
        <v>8.4828221013609504</v>
      </c>
    </row>
    <row r="35" spans="1:26" x14ac:dyDescent="0.25">
      <c r="A35" s="9" t="s">
        <v>24</v>
      </c>
      <c r="B35" s="47">
        <v>1.9667953667953668</v>
      </c>
      <c r="C35" s="47">
        <v>2.6072401712728688</v>
      </c>
      <c r="D35" s="47">
        <v>2.3721222597627092</v>
      </c>
      <c r="E35" s="47">
        <v>2.5979359212802424</v>
      </c>
      <c r="F35" s="129">
        <v>3.4096923202376628</v>
      </c>
      <c r="G35" s="129">
        <v>3.5</v>
      </c>
      <c r="H35" s="129">
        <v>3.7972625898111123</v>
      </c>
      <c r="I35" s="129">
        <v>5.4449830181627554</v>
      </c>
      <c r="J35" s="129">
        <v>7.101330780513659</v>
      </c>
      <c r="K35" s="129">
        <v>6.2505727558908202</v>
      </c>
      <c r="L35" s="129">
        <v>5.4</v>
      </c>
      <c r="M35" s="129">
        <v>5.9</v>
      </c>
      <c r="N35" s="129">
        <v>5</v>
      </c>
      <c r="O35" s="129">
        <v>8.1</v>
      </c>
      <c r="P35" s="129">
        <v>10.7</v>
      </c>
      <c r="Q35" s="129">
        <v>12.8</v>
      </c>
      <c r="R35" s="129">
        <v>11.5</v>
      </c>
      <c r="S35" s="129">
        <v>7.7</v>
      </c>
      <c r="T35" s="129">
        <v>7.1</v>
      </c>
      <c r="U35" s="131">
        <v>7.6</v>
      </c>
      <c r="V35" s="131">
        <v>6.1</v>
      </c>
      <c r="W35" s="131">
        <v>6.9</v>
      </c>
      <c r="X35" s="147">
        <v>7.4655765731036343</v>
      </c>
      <c r="Y35" s="147">
        <v>8.7808494109657964</v>
      </c>
      <c r="Z35" s="147">
        <v>8.2674852484492867</v>
      </c>
    </row>
    <row r="36" spans="1:26" x14ac:dyDescent="0.25">
      <c r="A36" s="9" t="s">
        <v>25</v>
      </c>
      <c r="B36" s="47">
        <v>2.0958146331280658</v>
      </c>
      <c r="C36" s="47">
        <v>2.0825927861996862</v>
      </c>
      <c r="D36" s="47">
        <v>2.3167155425219943</v>
      </c>
      <c r="E36" s="47">
        <v>2.1966582193293305</v>
      </c>
      <c r="F36" s="129">
        <v>2.7460520871583176</v>
      </c>
      <c r="G36" s="129">
        <v>3</v>
      </c>
      <c r="H36" s="129">
        <v>7.0874828425189103</v>
      </c>
      <c r="I36" s="129">
        <v>9.5965614550060216</v>
      </c>
      <c r="J36" s="129">
        <v>9.995138655170388</v>
      </c>
      <c r="K36" s="129">
        <v>7.8293727862904383</v>
      </c>
      <c r="L36" s="129">
        <v>7.1</v>
      </c>
      <c r="M36" s="129">
        <v>7.7</v>
      </c>
      <c r="N36" s="129">
        <v>8.6999999999999993</v>
      </c>
      <c r="O36" s="129">
        <v>9.1</v>
      </c>
      <c r="P36" s="129">
        <v>13.4</v>
      </c>
      <c r="Q36" s="129">
        <v>16.600000000000001</v>
      </c>
      <c r="R36" s="129">
        <v>17.600000000000001</v>
      </c>
      <c r="S36" s="129">
        <v>13</v>
      </c>
      <c r="T36" s="129">
        <v>13.5</v>
      </c>
      <c r="U36" s="131">
        <v>14.7</v>
      </c>
      <c r="V36" s="131">
        <v>16.2</v>
      </c>
      <c r="W36" s="131">
        <v>16.3</v>
      </c>
      <c r="X36" s="147">
        <v>15.868890836693142</v>
      </c>
      <c r="Y36" s="147">
        <v>14.054392045911014</v>
      </c>
      <c r="Z36" s="147">
        <v>15.010513746251483</v>
      </c>
    </row>
    <row r="37" spans="1:26" x14ac:dyDescent="0.25">
      <c r="A37" s="9" t="s">
        <v>26</v>
      </c>
      <c r="B37" s="47">
        <v>3.2135432135432134</v>
      </c>
      <c r="C37" s="47">
        <v>3.1005070086489712</v>
      </c>
      <c r="D37" s="47">
        <v>2.8917899275405712</v>
      </c>
      <c r="E37" s="47">
        <v>2.7978366908770647</v>
      </c>
      <c r="F37" s="129">
        <v>3.0690976209127885</v>
      </c>
      <c r="G37" s="129">
        <v>3.2</v>
      </c>
      <c r="H37" s="129">
        <v>4.3394201312132612</v>
      </c>
      <c r="I37" s="129">
        <v>5.3817018590366494</v>
      </c>
      <c r="J37" s="129">
        <v>6.4255209236332504</v>
      </c>
      <c r="K37" s="129">
        <v>7.1355459950102889</v>
      </c>
      <c r="L37" s="129">
        <v>7.1</v>
      </c>
      <c r="M37" s="129">
        <v>8.6</v>
      </c>
      <c r="N37" s="129">
        <v>8.4</v>
      </c>
      <c r="O37" s="129">
        <v>11.9</v>
      </c>
      <c r="P37" s="129">
        <v>14.5</v>
      </c>
      <c r="Q37" s="129">
        <v>21.9</v>
      </c>
      <c r="R37" s="129">
        <v>23.3</v>
      </c>
      <c r="S37" s="129">
        <v>29.1</v>
      </c>
      <c r="T37" s="129">
        <v>26.9</v>
      </c>
      <c r="U37" s="131">
        <v>25.8</v>
      </c>
      <c r="V37" s="131">
        <v>18.600000000000001</v>
      </c>
      <c r="W37" s="131">
        <v>21.3</v>
      </c>
      <c r="X37" s="147">
        <v>25.941171360039679</v>
      </c>
      <c r="Y37" s="147">
        <v>29.995760979834937</v>
      </c>
      <c r="Z37" s="147">
        <v>27.060325235099647</v>
      </c>
    </row>
    <row r="38" spans="1:26" x14ac:dyDescent="0.25">
      <c r="A38" s="9" t="s">
        <v>27</v>
      </c>
      <c r="B38" s="47">
        <v>0.50107296137339052</v>
      </c>
      <c r="C38" s="47">
        <v>0.11702942141529039</v>
      </c>
      <c r="D38" s="47">
        <v>6.6830028959679225E-2</v>
      </c>
      <c r="E38" s="47">
        <v>0.22916082892690337</v>
      </c>
      <c r="F38" s="129">
        <v>0.15837381306341197</v>
      </c>
      <c r="G38" s="129">
        <v>0.1</v>
      </c>
      <c r="H38" s="129">
        <v>0.20800694478678083</v>
      </c>
      <c r="I38" s="129">
        <v>0.14031936687901664</v>
      </c>
      <c r="J38" s="129">
        <v>6.9106197715299744E-2</v>
      </c>
      <c r="K38" s="129">
        <v>0.36129913200998182</v>
      </c>
      <c r="L38" s="129">
        <v>0.5</v>
      </c>
      <c r="M38" s="129">
        <v>0.3</v>
      </c>
      <c r="N38" s="129">
        <v>0.6</v>
      </c>
      <c r="O38" s="129">
        <v>0.6</v>
      </c>
      <c r="P38" s="129">
        <v>0.5</v>
      </c>
      <c r="Q38" s="129">
        <v>0.8</v>
      </c>
      <c r="R38" s="129">
        <v>1.3</v>
      </c>
      <c r="S38" s="129">
        <v>1.7</v>
      </c>
      <c r="T38" s="129">
        <v>0.7</v>
      </c>
      <c r="U38" s="131">
        <v>0.6</v>
      </c>
      <c r="V38" s="131">
        <v>0.5</v>
      </c>
      <c r="W38" s="131">
        <v>1</v>
      </c>
      <c r="X38" s="147">
        <v>6.2032241770583774</v>
      </c>
      <c r="Y38" s="147">
        <v>1.0097814978831086</v>
      </c>
      <c r="Z38" s="147">
        <v>1.3824722702672116</v>
      </c>
    </row>
    <row r="39" spans="1:26" x14ac:dyDescent="0.25">
      <c r="A39" s="9" t="s">
        <v>28</v>
      </c>
      <c r="B39" s="47">
        <v>1.8337066069428891</v>
      </c>
      <c r="C39" s="47">
        <v>1.8934240362811792</v>
      </c>
      <c r="D39" s="47">
        <v>1.9942569992821249</v>
      </c>
      <c r="E39" s="47">
        <v>2.3867285674392629</v>
      </c>
      <c r="F39" s="129">
        <v>3.1514183592587464</v>
      </c>
      <c r="G39" s="129">
        <v>3.4</v>
      </c>
      <c r="H39" s="129">
        <v>3.7363966142684402</v>
      </c>
      <c r="I39" s="129">
        <v>5.3459277956178965</v>
      </c>
      <c r="J39" s="129">
        <v>6.3719203926114085</v>
      </c>
      <c r="K39" s="129">
        <v>6.0074735461058033</v>
      </c>
      <c r="L39" s="129">
        <v>5.8</v>
      </c>
      <c r="M39" s="129">
        <v>5.9</v>
      </c>
      <c r="N39" s="129">
        <v>6.9</v>
      </c>
      <c r="O39" s="129">
        <v>7.8</v>
      </c>
      <c r="P39" s="129">
        <v>7.5</v>
      </c>
      <c r="Q39" s="129">
        <v>8.4</v>
      </c>
      <c r="R39" s="129">
        <v>9.1</v>
      </c>
      <c r="S39" s="129">
        <v>5.6</v>
      </c>
      <c r="T39" s="129">
        <v>6</v>
      </c>
      <c r="U39" s="131">
        <v>5.6</v>
      </c>
      <c r="V39" s="131">
        <v>5.8</v>
      </c>
      <c r="W39" s="131">
        <v>6</v>
      </c>
      <c r="X39" s="147">
        <v>6.6211434258542514</v>
      </c>
      <c r="Y39" s="147">
        <v>7.1572129052950482</v>
      </c>
      <c r="Z39" s="147">
        <v>7.2028229314543877</v>
      </c>
    </row>
    <row r="40" spans="1:26" x14ac:dyDescent="0.25">
      <c r="A40" s="9" t="s">
        <v>29</v>
      </c>
      <c r="B40" s="47">
        <v>1.5111111111111111</v>
      </c>
      <c r="C40" s="47">
        <v>1.691375531777749</v>
      </c>
      <c r="D40" s="47">
        <v>1.7253567220840424</v>
      </c>
      <c r="E40" s="47">
        <v>2.2460441713160226</v>
      </c>
      <c r="F40" s="129">
        <v>2.3965921135242056</v>
      </c>
      <c r="G40" s="129">
        <v>2</v>
      </c>
      <c r="H40" s="129">
        <v>2.3316939630679832</v>
      </c>
      <c r="I40" s="129">
        <v>2.3497221957827175</v>
      </c>
      <c r="J40" s="129">
        <v>2.8807289021142131</v>
      </c>
      <c r="K40" s="129">
        <v>3.8186074034344148</v>
      </c>
      <c r="L40" s="129">
        <v>3.2</v>
      </c>
      <c r="M40" s="129">
        <v>4</v>
      </c>
      <c r="N40" s="129">
        <v>4.7</v>
      </c>
      <c r="O40" s="129">
        <v>4</v>
      </c>
      <c r="P40" s="129">
        <v>6.5</v>
      </c>
      <c r="Q40" s="129">
        <v>8.6</v>
      </c>
      <c r="R40" s="129">
        <v>7.1</v>
      </c>
      <c r="S40" s="129">
        <v>4.7</v>
      </c>
      <c r="T40" s="129">
        <v>6</v>
      </c>
      <c r="U40" s="131">
        <v>6.6</v>
      </c>
      <c r="V40" s="131">
        <v>5.9</v>
      </c>
      <c r="W40" s="131">
        <v>6.1</v>
      </c>
      <c r="X40" s="147">
        <v>6.9466447992615938</v>
      </c>
      <c r="Y40" s="147">
        <v>7.979920166579122</v>
      </c>
      <c r="Z40" s="147">
        <v>8.0544950451183261</v>
      </c>
    </row>
    <row r="41" spans="1:26" x14ac:dyDescent="0.25">
      <c r="A41" s="9" t="s">
        <v>30</v>
      </c>
      <c r="B41" s="47">
        <v>3.2127146603502243</v>
      </c>
      <c r="C41" s="47">
        <v>3.2284754126254889</v>
      </c>
      <c r="D41" s="47">
        <v>3.4361356048283538</v>
      </c>
      <c r="E41" s="47">
        <v>5.0083103396765489</v>
      </c>
      <c r="F41" s="129">
        <v>5.9162255276980504</v>
      </c>
      <c r="G41" s="129">
        <v>7.1</v>
      </c>
      <c r="H41" s="129">
        <v>7.2358432050047758</v>
      </c>
      <c r="I41" s="129">
        <v>8.0002825781131897</v>
      </c>
      <c r="J41" s="129">
        <v>10.048540410294139</v>
      </c>
      <c r="K41" s="129">
        <v>8.0963740537271978</v>
      </c>
      <c r="L41" s="129">
        <v>8.8000000000000007</v>
      </c>
      <c r="M41" s="129">
        <v>9.1</v>
      </c>
      <c r="N41" s="129">
        <v>8.3000000000000007</v>
      </c>
      <c r="O41" s="129">
        <v>8.3000000000000007</v>
      </c>
      <c r="P41" s="129">
        <v>10.5</v>
      </c>
      <c r="Q41" s="129">
        <v>9.8000000000000007</v>
      </c>
      <c r="R41" s="129">
        <v>10.7</v>
      </c>
      <c r="S41" s="129">
        <v>12.8</v>
      </c>
      <c r="T41" s="129">
        <v>14.2</v>
      </c>
      <c r="U41" s="131">
        <v>13.1</v>
      </c>
      <c r="V41" s="131">
        <v>12.9</v>
      </c>
      <c r="W41" s="131">
        <v>12.8</v>
      </c>
      <c r="X41" s="147">
        <v>12.53627825787725</v>
      </c>
      <c r="Y41" s="147">
        <v>14.134601574253873</v>
      </c>
      <c r="Z41" s="147">
        <v>10.016343611590019</v>
      </c>
    </row>
    <row r="42" spans="1:26" ht="18" x14ac:dyDescent="0.25">
      <c r="A42" s="8" t="s">
        <v>220</v>
      </c>
      <c r="B42" s="46">
        <v>2.3776174105747647</v>
      </c>
      <c r="C42" s="46">
        <v>2.3610972568578554</v>
      </c>
      <c r="D42" s="46">
        <v>2.5232274538133077</v>
      </c>
      <c r="E42" s="46">
        <v>2.3948922556918801</v>
      </c>
      <c r="F42" s="123">
        <v>2.6540966988065744</v>
      </c>
      <c r="G42" s="123">
        <v>3</v>
      </c>
      <c r="H42" s="123">
        <v>3.8042420683310083</v>
      </c>
      <c r="I42" s="123">
        <v>4.6664930994743292</v>
      </c>
      <c r="J42" s="123">
        <v>4.9125036183529369</v>
      </c>
      <c r="K42" s="123">
        <v>4.5030974499921799</v>
      </c>
      <c r="L42" s="123">
        <v>5.0999999999999996</v>
      </c>
      <c r="M42" s="123">
        <v>5.3</v>
      </c>
      <c r="N42" s="123">
        <v>6.3</v>
      </c>
      <c r="O42" s="123">
        <v>6.2</v>
      </c>
      <c r="P42" s="123">
        <v>7.2</v>
      </c>
      <c r="Q42" s="123">
        <v>7.2</v>
      </c>
      <c r="R42" s="123">
        <v>7.4</v>
      </c>
      <c r="S42" s="123">
        <v>7.9</v>
      </c>
      <c r="T42" s="123">
        <v>7.5</v>
      </c>
      <c r="U42" s="130">
        <v>8.1</v>
      </c>
      <c r="V42" s="130">
        <v>9.1</v>
      </c>
      <c r="W42" s="130">
        <v>9.4</v>
      </c>
      <c r="X42" s="146">
        <v>10.034305492140108</v>
      </c>
      <c r="Y42" s="146">
        <v>11.159000005040689</v>
      </c>
      <c r="Z42" s="146">
        <v>10.508333057998509</v>
      </c>
    </row>
    <row r="43" spans="1:26" x14ac:dyDescent="0.25">
      <c r="A43" s="9" t="s">
        <v>31</v>
      </c>
      <c r="B43" s="47">
        <v>1.4502454261490407</v>
      </c>
      <c r="C43" s="47">
        <v>1.8859060402684564</v>
      </c>
      <c r="D43" s="47">
        <v>3.7004701141705842</v>
      </c>
      <c r="E43" s="47">
        <v>1.469143500554013</v>
      </c>
      <c r="F43" s="129">
        <v>0.69808185122299438</v>
      </c>
      <c r="G43" s="129">
        <v>1.4</v>
      </c>
      <c r="H43" s="129">
        <v>0.64120346158918406</v>
      </c>
      <c r="I43" s="129">
        <v>1.6725536905707219</v>
      </c>
      <c r="J43" s="129">
        <v>1.7713842786795548</v>
      </c>
      <c r="K43" s="129">
        <v>2.9870100325317925</v>
      </c>
      <c r="L43" s="129">
        <v>3.7</v>
      </c>
      <c r="M43" s="129">
        <v>3.2</v>
      </c>
      <c r="N43" s="129">
        <v>2.9</v>
      </c>
      <c r="O43" s="129">
        <v>2.7</v>
      </c>
      <c r="P43" s="129">
        <v>6.6</v>
      </c>
      <c r="Q43" s="129">
        <v>9.1999999999999993</v>
      </c>
      <c r="R43" s="129">
        <v>7</v>
      </c>
      <c r="S43" s="129">
        <v>8.9</v>
      </c>
      <c r="T43" s="129">
        <v>6.1</v>
      </c>
      <c r="U43" s="131">
        <v>8.3000000000000007</v>
      </c>
      <c r="V43" s="131">
        <v>7.8</v>
      </c>
      <c r="W43" s="131">
        <v>8.1999999999999993</v>
      </c>
      <c r="X43" s="147">
        <v>10.282353177351522</v>
      </c>
      <c r="Y43" s="147">
        <v>14.905225040457612</v>
      </c>
      <c r="Z43" s="147">
        <v>13.520126392908574</v>
      </c>
    </row>
    <row r="44" spans="1:26" x14ac:dyDescent="0.25">
      <c r="A44" s="9" t="s">
        <v>32</v>
      </c>
      <c r="B44" s="47">
        <v>1.4327485380116958</v>
      </c>
      <c r="C44" s="47">
        <v>2.6917989417989419</v>
      </c>
      <c r="D44" s="47">
        <v>2.3176111299626738</v>
      </c>
      <c r="E44" s="47">
        <v>1.6335112958847158</v>
      </c>
      <c r="F44" s="129">
        <v>1.7083854390892255</v>
      </c>
      <c r="G44" s="129">
        <v>1.6</v>
      </c>
      <c r="H44" s="129">
        <v>2.3596566904109961</v>
      </c>
      <c r="I44" s="129">
        <v>2.5416220543010883</v>
      </c>
      <c r="J44" s="129">
        <v>2.3095481946344245</v>
      </c>
      <c r="K44" s="129">
        <v>2.8071385464264162</v>
      </c>
      <c r="L44" s="129">
        <v>4.2</v>
      </c>
      <c r="M44" s="129">
        <v>4.3</v>
      </c>
      <c r="N44" s="129">
        <v>3.5</v>
      </c>
      <c r="O44" s="129">
        <v>5</v>
      </c>
      <c r="P44" s="129">
        <v>5.5</v>
      </c>
      <c r="Q44" s="129">
        <v>6</v>
      </c>
      <c r="R44" s="129">
        <v>3.2</v>
      </c>
      <c r="S44" s="129">
        <v>4.3</v>
      </c>
      <c r="T44" s="129">
        <v>3.2</v>
      </c>
      <c r="U44" s="131">
        <v>4.0999999999999996</v>
      </c>
      <c r="V44" s="131">
        <v>3.6</v>
      </c>
      <c r="W44" s="131">
        <v>4.2</v>
      </c>
      <c r="X44" s="147">
        <v>4.3524577780368467</v>
      </c>
      <c r="Y44" s="147">
        <v>5.334548069285125</v>
      </c>
      <c r="Z44" s="147">
        <v>4.8207381568162173</v>
      </c>
    </row>
    <row r="45" spans="1:26" x14ac:dyDescent="0.25">
      <c r="A45" s="9" t="s">
        <v>33</v>
      </c>
      <c r="B45" s="47"/>
      <c r="C45" s="47"/>
      <c r="D45" s="47"/>
      <c r="E45" s="47"/>
      <c r="F45" s="129"/>
      <c r="G45" s="129"/>
      <c r="H45" s="129"/>
      <c r="I45" s="129"/>
      <c r="J45" s="129"/>
      <c r="K45" s="129"/>
      <c r="L45" s="129"/>
      <c r="M45" s="129">
        <v>0</v>
      </c>
      <c r="N45" s="129">
        <v>0</v>
      </c>
      <c r="O45" s="129">
        <v>0</v>
      </c>
      <c r="P45" s="129">
        <v>2.4</v>
      </c>
      <c r="Q45" s="129">
        <v>1.2</v>
      </c>
      <c r="R45" s="129">
        <v>1.7</v>
      </c>
      <c r="S45" s="129">
        <v>4.0999999999999996</v>
      </c>
      <c r="T45" s="129">
        <v>4.5999999999999996</v>
      </c>
      <c r="U45" s="131">
        <v>4.2</v>
      </c>
      <c r="V45" s="131">
        <v>4.3</v>
      </c>
      <c r="W45" s="131">
        <v>4.8</v>
      </c>
      <c r="X45" s="147">
        <v>4.6789206361086677</v>
      </c>
      <c r="Y45" s="147">
        <v>6.9246980898538117</v>
      </c>
      <c r="Z45" s="147">
        <v>7.6432125103758173</v>
      </c>
    </row>
    <row r="46" spans="1:26" x14ac:dyDescent="0.25">
      <c r="A46" s="9" t="s">
        <v>34</v>
      </c>
      <c r="B46" s="47">
        <v>2.5399855837603007</v>
      </c>
      <c r="C46" s="47">
        <v>2.5121780133276177</v>
      </c>
      <c r="D46" s="47">
        <v>2.9798856741518231</v>
      </c>
      <c r="E46" s="47">
        <v>2.7564881332853659</v>
      </c>
      <c r="F46" s="129">
        <v>3.0510636900750923</v>
      </c>
      <c r="G46" s="129">
        <v>3.4</v>
      </c>
      <c r="H46" s="129">
        <v>4.7286498499244711</v>
      </c>
      <c r="I46" s="129">
        <v>6.1840700372595556</v>
      </c>
      <c r="J46" s="129">
        <v>6.597123198912044</v>
      </c>
      <c r="K46" s="129">
        <v>5.852434415188891</v>
      </c>
      <c r="L46" s="129">
        <v>7.1</v>
      </c>
      <c r="M46" s="129">
        <v>7.4</v>
      </c>
      <c r="N46" s="129">
        <v>9.1999999999999993</v>
      </c>
      <c r="O46" s="129">
        <v>8.4</v>
      </c>
      <c r="P46" s="129">
        <v>10.4</v>
      </c>
      <c r="Q46" s="129">
        <v>10.7</v>
      </c>
      <c r="R46" s="129">
        <v>11.4</v>
      </c>
      <c r="S46" s="129">
        <v>12.3</v>
      </c>
      <c r="T46" s="129">
        <v>11.5</v>
      </c>
      <c r="U46" s="131">
        <v>11.8</v>
      </c>
      <c r="V46" s="131">
        <v>14.2</v>
      </c>
      <c r="W46" s="131">
        <v>14.8</v>
      </c>
      <c r="X46" s="147">
        <v>16.681638607313822</v>
      </c>
      <c r="Y46" s="147">
        <v>17.789446818150115</v>
      </c>
      <c r="Z46" s="147">
        <v>15.52865632515342</v>
      </c>
    </row>
    <row r="47" spans="1:26" x14ac:dyDescent="0.25">
      <c r="A47" s="9" t="s">
        <v>35</v>
      </c>
      <c r="B47" s="47">
        <v>3.3280569845666799</v>
      </c>
      <c r="C47" s="47">
        <v>3.540798094103633</v>
      </c>
      <c r="D47" s="47">
        <v>3.053427519649786</v>
      </c>
      <c r="E47" s="47">
        <v>3.4801134244455341</v>
      </c>
      <c r="F47" s="129">
        <v>3.1581980979260038</v>
      </c>
      <c r="G47" s="129">
        <v>4.5999999999999996</v>
      </c>
      <c r="H47" s="129">
        <v>4.3437121971278803</v>
      </c>
      <c r="I47" s="129">
        <v>4.329422736992302</v>
      </c>
      <c r="J47" s="129">
        <v>2.9585945584481168</v>
      </c>
      <c r="K47" s="129">
        <v>4.4036602828436369</v>
      </c>
      <c r="L47" s="129">
        <v>4.9000000000000004</v>
      </c>
      <c r="M47" s="129">
        <v>4</v>
      </c>
      <c r="N47" s="129">
        <v>3.7</v>
      </c>
      <c r="O47" s="129">
        <v>5.3</v>
      </c>
      <c r="P47" s="129">
        <v>6.3</v>
      </c>
      <c r="Q47" s="129">
        <v>6.3</v>
      </c>
      <c r="R47" s="129">
        <v>6.7</v>
      </c>
      <c r="S47" s="129">
        <v>5.4</v>
      </c>
      <c r="T47" s="129">
        <v>3.7</v>
      </c>
      <c r="U47" s="131">
        <v>3.7</v>
      </c>
      <c r="V47" s="131">
        <v>3.9</v>
      </c>
      <c r="W47" s="131">
        <v>5.4</v>
      </c>
      <c r="X47" s="147">
        <v>5.5902339639726497</v>
      </c>
      <c r="Y47" s="147">
        <v>5.6141690028286977</v>
      </c>
      <c r="Z47" s="147">
        <v>6.4976162997442941</v>
      </c>
    </row>
    <row r="48" spans="1:26" x14ac:dyDescent="0.25">
      <c r="A48" s="9" t="s">
        <v>36</v>
      </c>
      <c r="B48" s="47">
        <v>1.7349926793557833</v>
      </c>
      <c r="C48" s="47">
        <v>1.5278748850045998</v>
      </c>
      <c r="D48" s="47">
        <v>1.6044265146748584</v>
      </c>
      <c r="E48" s="47">
        <v>1.3632406518511451</v>
      </c>
      <c r="F48" s="129">
        <v>1.8954307732381688</v>
      </c>
      <c r="G48" s="129">
        <v>2.1</v>
      </c>
      <c r="H48" s="129">
        <v>2.6434666982395103</v>
      </c>
      <c r="I48" s="129">
        <v>3.0458275208791474</v>
      </c>
      <c r="J48" s="129">
        <v>3.4133469689135483</v>
      </c>
      <c r="K48" s="129">
        <v>2.7582895852397868</v>
      </c>
      <c r="L48" s="129">
        <v>2.8</v>
      </c>
      <c r="M48" s="129">
        <v>2.7</v>
      </c>
      <c r="N48" s="129">
        <v>3.9</v>
      </c>
      <c r="O48" s="129">
        <v>3.6</v>
      </c>
      <c r="P48" s="129">
        <v>5</v>
      </c>
      <c r="Q48" s="129">
        <v>4.4000000000000004</v>
      </c>
      <c r="R48" s="129">
        <v>4.0999999999999996</v>
      </c>
      <c r="S48" s="129">
        <v>4.0999999999999996</v>
      </c>
      <c r="T48" s="129">
        <v>3.1</v>
      </c>
      <c r="U48" s="131">
        <v>3.9</v>
      </c>
      <c r="V48" s="131">
        <v>4.2</v>
      </c>
      <c r="W48" s="131">
        <v>4.4000000000000004</v>
      </c>
      <c r="X48" s="147">
        <v>3.7619406858620343</v>
      </c>
      <c r="Y48" s="147">
        <v>4.9707999015425806</v>
      </c>
      <c r="Z48" s="147">
        <v>6.0082521403682199</v>
      </c>
    </row>
    <row r="49" spans="1:26" x14ac:dyDescent="0.25">
      <c r="A49" s="9" t="s">
        <v>37</v>
      </c>
      <c r="B49" s="47">
        <v>2.5278283748229105</v>
      </c>
      <c r="C49" s="47">
        <v>2.4543299085469119</v>
      </c>
      <c r="D49" s="47">
        <v>2.3289163187511348</v>
      </c>
      <c r="E49" s="47">
        <v>2.500173274821162</v>
      </c>
      <c r="F49" s="129">
        <v>2.7980459735612038</v>
      </c>
      <c r="G49" s="129">
        <v>3</v>
      </c>
      <c r="H49" s="129">
        <v>3.7085291312896564</v>
      </c>
      <c r="I49" s="129">
        <v>4.3651704127973785</v>
      </c>
      <c r="J49" s="129">
        <v>4.7501292769964243</v>
      </c>
      <c r="K49" s="129">
        <v>4.2235011619116811</v>
      </c>
      <c r="L49" s="129">
        <v>4.3</v>
      </c>
      <c r="M49" s="129">
        <v>4.8</v>
      </c>
      <c r="N49" s="129">
        <v>5.3</v>
      </c>
      <c r="O49" s="129">
        <v>5.7</v>
      </c>
      <c r="P49" s="129">
        <v>6.8</v>
      </c>
      <c r="Q49" s="129">
        <v>7.2</v>
      </c>
      <c r="R49" s="129">
        <v>7.1</v>
      </c>
      <c r="S49" s="129">
        <v>7.2</v>
      </c>
      <c r="T49" s="129">
        <v>7.5</v>
      </c>
      <c r="U49" s="131">
        <v>8.3000000000000007</v>
      </c>
      <c r="V49" s="131">
        <v>8.6</v>
      </c>
      <c r="W49" s="131">
        <v>8.4</v>
      </c>
      <c r="X49" s="147">
        <v>8.2399271497582234</v>
      </c>
      <c r="Y49" s="147">
        <v>9.0038984911021487</v>
      </c>
      <c r="Z49" s="147">
        <v>8.7601081418582627</v>
      </c>
    </row>
    <row r="50" spans="1:26" x14ac:dyDescent="0.25">
      <c r="A50" s="9" t="s">
        <v>38</v>
      </c>
      <c r="B50" s="47"/>
      <c r="C50" s="47"/>
      <c r="D50" s="47"/>
      <c r="E50" s="47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>
        <v>10.4</v>
      </c>
      <c r="Q50" s="129">
        <v>4.4000000000000004</v>
      </c>
      <c r="R50" s="129">
        <v>8.3000000000000007</v>
      </c>
      <c r="S50" s="129">
        <v>4.9000000000000004</v>
      </c>
      <c r="T50" s="129">
        <v>5.5</v>
      </c>
      <c r="U50" s="131">
        <v>12.3</v>
      </c>
      <c r="V50" s="131">
        <v>13.3</v>
      </c>
      <c r="W50" s="131">
        <v>9.1999999999999993</v>
      </c>
      <c r="X50" s="147">
        <v>10.514358891805022</v>
      </c>
      <c r="Y50" s="147">
        <v>8.6652233559118592</v>
      </c>
      <c r="Z50" s="147">
        <v>7.3038986278173326</v>
      </c>
    </row>
    <row r="51" spans="1:26" ht="18" x14ac:dyDescent="0.25">
      <c r="A51" s="8" t="s">
        <v>115</v>
      </c>
      <c r="B51" s="46">
        <v>1.5992574999423526</v>
      </c>
      <c r="C51" s="46">
        <v>1.6833669619142073</v>
      </c>
      <c r="D51" s="46">
        <v>1.5224384208750421</v>
      </c>
      <c r="E51" s="46">
        <v>1.7271433047505378</v>
      </c>
      <c r="F51" s="123">
        <v>1.7123125606221334</v>
      </c>
      <c r="G51" s="123">
        <v>1.9</v>
      </c>
      <c r="H51" s="123">
        <v>1.9819829759533965</v>
      </c>
      <c r="I51" s="123">
        <v>2.4126913539773516</v>
      </c>
      <c r="J51" s="123">
        <v>2.6850807545406377</v>
      </c>
      <c r="K51" s="123">
        <v>2.6862468030333431</v>
      </c>
      <c r="L51" s="123">
        <v>3.3</v>
      </c>
      <c r="M51" s="123">
        <v>3.5</v>
      </c>
      <c r="N51" s="123">
        <v>3.7</v>
      </c>
      <c r="O51" s="123">
        <v>3.9</v>
      </c>
      <c r="P51" s="123">
        <v>4.7</v>
      </c>
      <c r="Q51" s="123">
        <v>5</v>
      </c>
      <c r="R51" s="123">
        <v>4.9000000000000004</v>
      </c>
      <c r="S51" s="123">
        <v>4.8</v>
      </c>
      <c r="T51" s="123">
        <v>3.7</v>
      </c>
      <c r="U51" s="123">
        <v>3.9</v>
      </c>
      <c r="V51" s="123">
        <v>3.9</v>
      </c>
      <c r="W51" s="123">
        <v>4.5999999999999996</v>
      </c>
      <c r="X51" s="166">
        <v>5.2245583344274227</v>
      </c>
      <c r="Y51" s="166">
        <v>6.5610418671296387</v>
      </c>
      <c r="Z51" s="166">
        <v>7.4827285921060867</v>
      </c>
    </row>
    <row r="52" spans="1:26" x14ac:dyDescent="0.25">
      <c r="A52" s="9" t="s">
        <v>39</v>
      </c>
      <c r="B52" s="47">
        <v>1.5842227001582598</v>
      </c>
      <c r="C52" s="47">
        <v>2.1178813221823973</v>
      </c>
      <c r="D52" s="47">
        <v>1.6531186493668906</v>
      </c>
      <c r="E52" s="47">
        <v>1.8823161914199773</v>
      </c>
      <c r="F52" s="129">
        <v>2.095551374403914</v>
      </c>
      <c r="G52" s="129">
        <v>2.2000000000000002</v>
      </c>
      <c r="H52" s="129">
        <v>2.1026236557872071</v>
      </c>
      <c r="I52" s="129">
        <v>2.3423205554376954</v>
      </c>
      <c r="J52" s="129">
        <v>2.7386750497406647</v>
      </c>
      <c r="K52" s="129">
        <v>3.1917635714039898</v>
      </c>
      <c r="L52" s="129">
        <v>3.1</v>
      </c>
      <c r="M52" s="129">
        <v>3.6</v>
      </c>
      <c r="N52" s="129">
        <v>3.6</v>
      </c>
      <c r="O52" s="129">
        <v>3.5</v>
      </c>
      <c r="P52" s="129">
        <v>3.7</v>
      </c>
      <c r="Q52" s="129">
        <v>5.0999999999999996</v>
      </c>
      <c r="R52" s="129">
        <v>4.3</v>
      </c>
      <c r="S52" s="129">
        <v>5.3</v>
      </c>
      <c r="T52" s="129">
        <v>3</v>
      </c>
      <c r="U52" s="131">
        <v>3.3</v>
      </c>
      <c r="V52" s="131">
        <v>3.1</v>
      </c>
      <c r="W52" s="131">
        <v>3.4</v>
      </c>
      <c r="X52" s="147">
        <v>3.1725812936827893</v>
      </c>
      <c r="Y52" s="147">
        <v>4.6795997022044693</v>
      </c>
      <c r="Z52" s="147">
        <v>6.4241016100456649</v>
      </c>
    </row>
    <row r="53" spans="1:26" x14ac:dyDescent="0.25">
      <c r="A53" s="9" t="s">
        <v>99</v>
      </c>
      <c r="B53" s="47">
        <v>0.3590527119938885</v>
      </c>
      <c r="C53" s="47">
        <v>0.53496115427302993</v>
      </c>
      <c r="D53" s="47">
        <v>0.35490153646396883</v>
      </c>
      <c r="E53" s="47">
        <v>0.52133905937400216</v>
      </c>
      <c r="F53" s="129">
        <v>0.38391270276801059</v>
      </c>
      <c r="G53" s="129">
        <v>0.7</v>
      </c>
      <c r="H53" s="129">
        <v>0.75230849501898966</v>
      </c>
      <c r="I53" s="129">
        <v>4.2416642077308939</v>
      </c>
      <c r="J53" s="129">
        <v>1.3409656423519607</v>
      </c>
      <c r="K53" s="129">
        <v>0.83074891649389848</v>
      </c>
      <c r="L53" s="129">
        <v>3.3</v>
      </c>
      <c r="M53" s="129">
        <v>1.6</v>
      </c>
      <c r="N53" s="129">
        <v>1.6</v>
      </c>
      <c r="O53" s="129">
        <v>5.5</v>
      </c>
      <c r="P53" s="129">
        <v>5.0999999999999996</v>
      </c>
      <c r="Q53" s="129">
        <v>5.9</v>
      </c>
      <c r="R53" s="129">
        <v>5.9</v>
      </c>
      <c r="S53" s="129">
        <v>5.5</v>
      </c>
      <c r="T53" s="129">
        <v>4.4000000000000004</v>
      </c>
      <c r="U53" s="131">
        <v>5.5</v>
      </c>
      <c r="V53" s="131">
        <v>3.1</v>
      </c>
      <c r="W53" s="131">
        <v>1.9</v>
      </c>
      <c r="X53" s="147">
        <v>2.1564566563858096</v>
      </c>
      <c r="Y53" s="147">
        <v>2.5518542518479439</v>
      </c>
      <c r="Z53" s="147">
        <v>2.2171737721717379</v>
      </c>
    </row>
    <row r="54" spans="1:26" ht="19.5" x14ac:dyDescent="0.25">
      <c r="A54" s="9" t="s">
        <v>145</v>
      </c>
      <c r="B54" s="47">
        <v>1.7691697814021974</v>
      </c>
      <c r="C54" s="47">
        <v>2.0112296462661425</v>
      </c>
      <c r="D54" s="47">
        <v>1.8759050907875681</v>
      </c>
      <c r="E54" s="47">
        <v>2.2170224885379377</v>
      </c>
      <c r="F54" s="129">
        <v>1.9819485349880135</v>
      </c>
      <c r="G54" s="129">
        <v>2</v>
      </c>
      <c r="H54" s="129">
        <v>1.7696672538498379</v>
      </c>
      <c r="I54" s="129">
        <v>1.9420169232903315</v>
      </c>
      <c r="J54" s="129">
        <v>2.3422999076604514</v>
      </c>
      <c r="K54" s="129">
        <v>1.9910322046548237</v>
      </c>
      <c r="L54" s="129">
        <v>2.9</v>
      </c>
      <c r="M54" s="129">
        <v>2.2000000000000002</v>
      </c>
      <c r="N54" s="129">
        <v>2.2999999999999998</v>
      </c>
      <c r="O54" s="129">
        <v>2.6</v>
      </c>
      <c r="P54" s="129">
        <v>2.7</v>
      </c>
      <c r="Q54" s="129">
        <v>3.4</v>
      </c>
      <c r="R54" s="129">
        <v>4.3</v>
      </c>
      <c r="S54" s="129">
        <v>4.5</v>
      </c>
      <c r="T54" s="129">
        <v>4.2</v>
      </c>
      <c r="U54" s="131">
        <v>4.7</v>
      </c>
      <c r="V54" s="131">
        <v>5.6</v>
      </c>
      <c r="W54" s="131">
        <v>6</v>
      </c>
      <c r="X54" s="147">
        <v>5.8054750929960317</v>
      </c>
      <c r="Y54" s="147">
        <v>5.9854151808174798</v>
      </c>
      <c r="Z54" s="147">
        <v>7.0784339888337398</v>
      </c>
    </row>
    <row r="55" spans="1:26" ht="19.5" x14ac:dyDescent="0.25">
      <c r="A55" s="9" t="s">
        <v>143</v>
      </c>
      <c r="B55" s="47">
        <v>0.88803088803088803</v>
      </c>
      <c r="C55" s="47">
        <v>1.3630168105406633</v>
      </c>
      <c r="D55" s="47">
        <v>1.0129751877987707</v>
      </c>
      <c r="E55" s="47">
        <v>1.2771825895556357</v>
      </c>
      <c r="F55" s="129">
        <v>1.0418506486973513</v>
      </c>
      <c r="G55" s="129">
        <v>1.2</v>
      </c>
      <c r="H55" s="129">
        <v>1.3622401865221179</v>
      </c>
      <c r="I55" s="129">
        <v>1.4870433268391925</v>
      </c>
      <c r="J55" s="129">
        <v>1.2793268049934325</v>
      </c>
      <c r="K55" s="129">
        <v>1.3942804834635791</v>
      </c>
      <c r="L55" s="129">
        <v>1</v>
      </c>
      <c r="M55" s="129">
        <v>1.1000000000000001</v>
      </c>
      <c r="N55" s="129">
        <v>1.4</v>
      </c>
      <c r="O55" s="129">
        <v>1.7</v>
      </c>
      <c r="P55" s="129">
        <v>2.7</v>
      </c>
      <c r="Q55" s="129">
        <v>2.6</v>
      </c>
      <c r="R55" s="129">
        <v>2.8</v>
      </c>
      <c r="S55" s="129">
        <v>4.9000000000000004</v>
      </c>
      <c r="T55" s="129">
        <v>4.2</v>
      </c>
      <c r="U55" s="131">
        <v>4</v>
      </c>
      <c r="V55" s="131">
        <v>1.8</v>
      </c>
      <c r="W55" s="131">
        <v>3.5</v>
      </c>
      <c r="X55" s="147">
        <v>4.6714077041484821</v>
      </c>
      <c r="Y55" s="147">
        <v>6.7807755618799144</v>
      </c>
      <c r="Z55" s="147">
        <v>6.9525679887290268</v>
      </c>
    </row>
    <row r="56" spans="1:26" ht="19.5" x14ac:dyDescent="0.25">
      <c r="A56" s="9" t="s">
        <v>43</v>
      </c>
      <c r="B56" s="47">
        <v>2.0057224606580828</v>
      </c>
      <c r="C56" s="47">
        <v>2.0919377652050919</v>
      </c>
      <c r="D56" s="47">
        <v>1.6697195998309144</v>
      </c>
      <c r="E56" s="47">
        <v>1.8880304794158114</v>
      </c>
      <c r="F56" s="129">
        <v>1.8980645964279048</v>
      </c>
      <c r="G56" s="129">
        <v>1.8</v>
      </c>
      <c r="H56" s="129">
        <v>2.6474610368327665</v>
      </c>
      <c r="I56" s="129">
        <v>2.4600263322795728</v>
      </c>
      <c r="J56" s="129">
        <v>3.031261198591876</v>
      </c>
      <c r="K56" s="129">
        <v>3.1108919154747903</v>
      </c>
      <c r="L56" s="129">
        <v>3.4</v>
      </c>
      <c r="M56" s="129">
        <v>3</v>
      </c>
      <c r="N56" s="129">
        <v>2.2000000000000002</v>
      </c>
      <c r="O56" s="129">
        <v>3.9</v>
      </c>
      <c r="P56" s="129">
        <v>3.1</v>
      </c>
      <c r="Q56" s="129">
        <v>3.2</v>
      </c>
      <c r="R56" s="129">
        <v>3.3</v>
      </c>
      <c r="S56" s="129">
        <v>3.7</v>
      </c>
      <c r="T56" s="129">
        <v>4.0999999999999996</v>
      </c>
      <c r="U56" s="131">
        <v>3.9</v>
      </c>
      <c r="V56" s="131">
        <v>4.3</v>
      </c>
      <c r="W56" s="131">
        <v>4.8</v>
      </c>
      <c r="X56" s="147">
        <v>5.0507194713287493</v>
      </c>
      <c r="Y56" s="147">
        <v>7.956599829659039</v>
      </c>
      <c r="Z56" s="147">
        <v>8.8870491844331543</v>
      </c>
    </row>
    <row r="57" spans="1:26" x14ac:dyDescent="0.25">
      <c r="A57" s="9" t="s">
        <v>97</v>
      </c>
      <c r="B57" s="47" t="s">
        <v>96</v>
      </c>
      <c r="C57" s="47" t="s">
        <v>96</v>
      </c>
      <c r="D57" s="47" t="s">
        <v>96</v>
      </c>
      <c r="E57" s="47" t="s">
        <v>96</v>
      </c>
      <c r="F57" s="129" t="s">
        <v>96</v>
      </c>
      <c r="G57" s="129">
        <v>0.4</v>
      </c>
      <c r="H57" s="129">
        <v>0.52316601486032421</v>
      </c>
      <c r="I57" s="129">
        <v>0.32335737828929595</v>
      </c>
      <c r="J57" s="129">
        <v>0.36509162395562733</v>
      </c>
      <c r="K57" s="129">
        <v>0.47124667783216828</v>
      </c>
      <c r="L57" s="129">
        <v>0.8</v>
      </c>
      <c r="M57" s="129">
        <v>0.7</v>
      </c>
      <c r="N57" s="129">
        <v>2.2999999999999998</v>
      </c>
      <c r="O57" s="129">
        <v>2.1</v>
      </c>
      <c r="P57" s="129">
        <v>8.1</v>
      </c>
      <c r="Q57" s="129">
        <v>5.5</v>
      </c>
      <c r="R57" s="129">
        <v>6.2</v>
      </c>
      <c r="S57" s="129">
        <v>5.4</v>
      </c>
      <c r="T57" s="129">
        <v>3.3</v>
      </c>
      <c r="U57" s="131">
        <v>3.1</v>
      </c>
      <c r="V57" s="131">
        <v>3.2</v>
      </c>
      <c r="W57" s="131">
        <v>5.2</v>
      </c>
      <c r="X57" s="147">
        <v>8.5615516967581993</v>
      </c>
      <c r="Y57" s="147">
        <v>10.951123692352359</v>
      </c>
      <c r="Z57" s="147">
        <v>12.018209136650968</v>
      </c>
    </row>
    <row r="58" spans="1:26" x14ac:dyDescent="0.25">
      <c r="A58" s="72" t="s">
        <v>45</v>
      </c>
      <c r="B58" s="47">
        <v>2.3609033529132768</v>
      </c>
      <c r="C58" s="47">
        <v>1.9492422859229506</v>
      </c>
      <c r="D58" s="47">
        <v>2.1314413195333355</v>
      </c>
      <c r="E58" s="47">
        <v>2.3547180625371009</v>
      </c>
      <c r="F58" s="129">
        <v>2.2360579397027105</v>
      </c>
      <c r="G58" s="129">
        <v>2.5</v>
      </c>
      <c r="H58" s="129">
        <v>2.6629282527404681</v>
      </c>
      <c r="I58" s="129">
        <v>3.4023673474427949</v>
      </c>
      <c r="J58" s="129">
        <v>4.1007407964910128</v>
      </c>
      <c r="K58" s="129">
        <v>3.756324709475424</v>
      </c>
      <c r="L58" s="129">
        <v>5</v>
      </c>
      <c r="M58" s="129">
        <v>5.8</v>
      </c>
      <c r="N58" s="129">
        <v>6</v>
      </c>
      <c r="O58" s="129">
        <v>5.8</v>
      </c>
      <c r="P58" s="129">
        <v>5.4</v>
      </c>
      <c r="Q58" s="129">
        <v>6</v>
      </c>
      <c r="R58" s="129">
        <v>5.5</v>
      </c>
      <c r="S58" s="129">
        <v>4.0999999999999996</v>
      </c>
      <c r="T58" s="129">
        <v>4.4000000000000004</v>
      </c>
      <c r="U58" s="131">
        <v>4.5999999999999996</v>
      </c>
      <c r="V58" s="131">
        <v>4.9000000000000004</v>
      </c>
      <c r="W58" s="131">
        <v>5.6</v>
      </c>
      <c r="X58" s="147">
        <v>6.229570333630325</v>
      </c>
      <c r="Y58" s="147">
        <v>6.8561296326042287</v>
      </c>
      <c r="Z58" s="147">
        <v>7.0656289695640044</v>
      </c>
    </row>
    <row r="59" spans="1:26" ht="18" x14ac:dyDescent="0.25">
      <c r="A59" s="7" t="s">
        <v>141</v>
      </c>
      <c r="B59" s="46">
        <v>2.6751092752724763</v>
      </c>
      <c r="C59" s="46">
        <v>2.8523375668683189</v>
      </c>
      <c r="D59" s="46">
        <v>2.7895918975466434</v>
      </c>
      <c r="E59" s="46">
        <v>2.8332039789763659</v>
      </c>
      <c r="F59" s="123">
        <v>3.1124919577743646</v>
      </c>
      <c r="G59" s="123">
        <v>3.5</v>
      </c>
      <c r="H59" s="123">
        <v>3.8557072052618442</v>
      </c>
      <c r="I59" s="123">
        <v>4.7772496722860156</v>
      </c>
      <c r="J59" s="123">
        <v>5.3327755462825825</v>
      </c>
      <c r="K59" s="123">
        <v>4.9261787636093679</v>
      </c>
      <c r="L59" s="123">
        <v>5</v>
      </c>
      <c r="M59" s="123">
        <v>5.6</v>
      </c>
      <c r="N59" s="123">
        <v>5.9</v>
      </c>
      <c r="O59" s="123">
        <v>6.4</v>
      </c>
      <c r="P59" s="123">
        <v>7.5</v>
      </c>
      <c r="Q59" s="123">
        <v>8</v>
      </c>
      <c r="R59" s="123">
        <v>7.9</v>
      </c>
      <c r="S59" s="123">
        <v>7.5</v>
      </c>
      <c r="T59" s="123">
        <v>6.9</v>
      </c>
      <c r="U59" s="123">
        <v>7.2</v>
      </c>
      <c r="V59" s="123">
        <v>6.8</v>
      </c>
      <c r="W59" s="123">
        <v>7.3</v>
      </c>
      <c r="X59" s="166">
        <v>7.4571897308870225</v>
      </c>
      <c r="Y59" s="166">
        <v>8.8441157308126943</v>
      </c>
      <c r="Z59" s="166">
        <v>8.6280738666121692</v>
      </c>
    </row>
    <row r="60" spans="1:26" x14ac:dyDescent="0.25">
      <c r="A60" s="9" t="s">
        <v>46</v>
      </c>
      <c r="B60" s="47">
        <v>3.7277474195506981</v>
      </c>
      <c r="C60" s="47">
        <v>4.1629982732203228</v>
      </c>
      <c r="D60" s="47">
        <v>4.046476505980074</v>
      </c>
      <c r="E60" s="47">
        <v>4.2664614405584436</v>
      </c>
      <c r="F60" s="129">
        <v>4.5056218751391341</v>
      </c>
      <c r="G60" s="129">
        <v>4.8</v>
      </c>
      <c r="H60" s="129">
        <v>5.2410829173900106</v>
      </c>
      <c r="I60" s="129">
        <v>5.6305545209453083</v>
      </c>
      <c r="J60" s="129">
        <v>6.8854651490955234</v>
      </c>
      <c r="K60" s="129">
        <v>5.9909561095473647</v>
      </c>
      <c r="L60" s="129">
        <v>5.7</v>
      </c>
      <c r="M60" s="129">
        <v>5.8</v>
      </c>
      <c r="N60" s="129">
        <v>6.6</v>
      </c>
      <c r="O60" s="129">
        <v>7.3</v>
      </c>
      <c r="P60" s="129">
        <v>8</v>
      </c>
      <c r="Q60" s="129">
        <v>8.4</v>
      </c>
      <c r="R60" s="129">
        <v>8.3000000000000007</v>
      </c>
      <c r="S60" s="129">
        <v>7.9</v>
      </c>
      <c r="T60" s="129">
        <v>7.4</v>
      </c>
      <c r="U60" s="131">
        <v>7.7</v>
      </c>
      <c r="V60" s="131">
        <v>7.8</v>
      </c>
      <c r="W60" s="131">
        <v>9.5</v>
      </c>
      <c r="X60" s="147">
        <v>9.7013449328860748</v>
      </c>
      <c r="Y60" s="147">
        <v>10.673351379766052</v>
      </c>
      <c r="Z60" s="147">
        <v>10.19972846239628</v>
      </c>
    </row>
    <row r="61" spans="1:26" x14ac:dyDescent="0.25">
      <c r="A61" s="9" t="s">
        <v>47</v>
      </c>
      <c r="B61" s="47">
        <v>2.2063385030343898</v>
      </c>
      <c r="C61" s="47">
        <v>2.5424650088327221</v>
      </c>
      <c r="D61" s="47">
        <v>2.30748150178131</v>
      </c>
      <c r="E61" s="47">
        <v>1.8906591463469928</v>
      </c>
      <c r="F61" s="129">
        <v>2.6607187965833985</v>
      </c>
      <c r="G61" s="129">
        <v>2.5</v>
      </c>
      <c r="H61" s="129">
        <v>3.7061312209557458</v>
      </c>
      <c r="I61" s="129">
        <v>4.7145583921827754</v>
      </c>
      <c r="J61" s="129">
        <v>5.0420956690019176</v>
      </c>
      <c r="K61" s="129">
        <v>4.8722410738630613</v>
      </c>
      <c r="L61" s="129">
        <v>4.5999999999999996</v>
      </c>
      <c r="M61" s="129">
        <v>5.3</v>
      </c>
      <c r="N61" s="129">
        <v>6.2</v>
      </c>
      <c r="O61" s="129">
        <v>6.9</v>
      </c>
      <c r="P61" s="129">
        <v>8.1999999999999993</v>
      </c>
      <c r="Q61" s="129">
        <v>9.4</v>
      </c>
      <c r="R61" s="129">
        <v>10.6</v>
      </c>
      <c r="S61" s="129">
        <v>11.1</v>
      </c>
      <c r="T61" s="129">
        <v>7</v>
      </c>
      <c r="U61" s="131">
        <v>8.4</v>
      </c>
      <c r="V61" s="131">
        <v>8.1</v>
      </c>
      <c r="W61" s="131">
        <v>6.7</v>
      </c>
      <c r="X61" s="147">
        <v>7.1284938072414938</v>
      </c>
      <c r="Y61" s="147">
        <v>9.9301432897026913</v>
      </c>
      <c r="Z61" s="147">
        <v>8.394188015440891</v>
      </c>
    </row>
    <row r="62" spans="1:26" x14ac:dyDescent="0.25">
      <c r="A62" s="9" t="s">
        <v>48</v>
      </c>
      <c r="B62" s="47">
        <v>2.330012044235191</v>
      </c>
      <c r="C62" s="47">
        <v>2.2889430534012849</v>
      </c>
      <c r="D62" s="47">
        <v>1.8167545138499495</v>
      </c>
      <c r="E62" s="47">
        <v>0.47041547539774736</v>
      </c>
      <c r="F62" s="129">
        <v>2.109535879251355</v>
      </c>
      <c r="G62" s="129">
        <v>0.6</v>
      </c>
      <c r="H62" s="129">
        <v>3.1812228899436206</v>
      </c>
      <c r="I62" s="129">
        <v>3.830220840191815</v>
      </c>
      <c r="J62" s="129">
        <v>4.4959979252867468</v>
      </c>
      <c r="K62" s="129">
        <v>4.7074303534254156</v>
      </c>
      <c r="L62" s="129">
        <v>4.7</v>
      </c>
      <c r="M62" s="129">
        <v>6.1</v>
      </c>
      <c r="N62" s="129">
        <v>4.8</v>
      </c>
      <c r="O62" s="129">
        <v>5.7</v>
      </c>
      <c r="P62" s="129">
        <v>6</v>
      </c>
      <c r="Q62" s="129">
        <v>5.9</v>
      </c>
      <c r="R62" s="129">
        <v>5.4</v>
      </c>
      <c r="S62" s="129">
        <v>5.6</v>
      </c>
      <c r="T62" s="129">
        <v>5</v>
      </c>
      <c r="U62" s="131">
        <v>5.6</v>
      </c>
      <c r="V62" s="131">
        <v>4.8</v>
      </c>
      <c r="W62" s="131">
        <v>5.0999999999999996</v>
      </c>
      <c r="X62" s="147">
        <v>5.0240198897309218</v>
      </c>
      <c r="Y62" s="147">
        <v>6.570661971699824</v>
      </c>
      <c r="Z62" s="147">
        <v>5.7391315033198449</v>
      </c>
    </row>
    <row r="63" spans="1:26" x14ac:dyDescent="0.25">
      <c r="A63" s="9" t="s">
        <v>49</v>
      </c>
      <c r="B63" s="47">
        <v>5.1239342185149006</v>
      </c>
      <c r="C63" s="47">
        <v>5.0327660923792408</v>
      </c>
      <c r="D63" s="47">
        <v>4.9452351976295041</v>
      </c>
      <c r="E63" s="47">
        <v>4.6834946148552756</v>
      </c>
      <c r="F63" s="129">
        <v>5.6929388039577402</v>
      </c>
      <c r="G63" s="129">
        <v>4.4000000000000004</v>
      </c>
      <c r="H63" s="129">
        <v>4.7789242529874256</v>
      </c>
      <c r="I63" s="129">
        <v>6.0176225822336704</v>
      </c>
      <c r="J63" s="129">
        <v>7.0623147289552248</v>
      </c>
      <c r="K63" s="129">
        <v>6.3519584058394409</v>
      </c>
      <c r="L63" s="129">
        <v>6.7</v>
      </c>
      <c r="M63" s="129">
        <v>8</v>
      </c>
      <c r="N63" s="129">
        <v>7.7</v>
      </c>
      <c r="O63" s="129">
        <v>7</v>
      </c>
      <c r="P63" s="129">
        <v>7.4</v>
      </c>
      <c r="Q63" s="129">
        <v>7.9</v>
      </c>
      <c r="R63" s="129">
        <v>8.5</v>
      </c>
      <c r="S63" s="129">
        <v>8.3000000000000007</v>
      </c>
      <c r="T63" s="129">
        <v>8.1999999999999993</v>
      </c>
      <c r="U63" s="131">
        <v>9.6999999999999993</v>
      </c>
      <c r="V63" s="131">
        <v>8.6</v>
      </c>
      <c r="W63" s="131">
        <v>8.1999999999999993</v>
      </c>
      <c r="X63" s="147">
        <v>8.2119967386962891</v>
      </c>
      <c r="Y63" s="147">
        <v>11.711207499650202</v>
      </c>
      <c r="Z63" s="147">
        <v>9.7180198693145456</v>
      </c>
    </row>
    <row r="64" spans="1:26" x14ac:dyDescent="0.25">
      <c r="A64" s="9" t="s">
        <v>50</v>
      </c>
      <c r="B64" s="47">
        <v>2.0907149139339114</v>
      </c>
      <c r="C64" s="47">
        <v>2.1401048575579562</v>
      </c>
      <c r="D64" s="47">
        <v>2.4993643529112637</v>
      </c>
      <c r="E64" s="47">
        <v>3.0099067487573516</v>
      </c>
      <c r="F64" s="129">
        <v>2.6436548431910798</v>
      </c>
      <c r="G64" s="129">
        <v>3.2</v>
      </c>
      <c r="H64" s="129">
        <v>3.0670251995349536</v>
      </c>
      <c r="I64" s="129">
        <v>3.51418893665344</v>
      </c>
      <c r="J64" s="129">
        <v>3.7168649234184703</v>
      </c>
      <c r="K64" s="129">
        <v>3.6792351487807498</v>
      </c>
      <c r="L64" s="129">
        <v>4</v>
      </c>
      <c r="M64" s="129">
        <v>4.5</v>
      </c>
      <c r="N64" s="129">
        <v>4.9000000000000004</v>
      </c>
      <c r="O64" s="129">
        <v>5.5</v>
      </c>
      <c r="P64" s="129">
        <v>7.1</v>
      </c>
      <c r="Q64" s="129">
        <v>6.9</v>
      </c>
      <c r="R64" s="129">
        <v>7.4</v>
      </c>
      <c r="S64" s="129">
        <v>6.7</v>
      </c>
      <c r="T64" s="129">
        <v>7.3</v>
      </c>
      <c r="U64" s="131">
        <v>7.4</v>
      </c>
      <c r="V64" s="131">
        <v>7.7</v>
      </c>
      <c r="W64" s="131">
        <v>8.3000000000000007</v>
      </c>
      <c r="X64" s="147">
        <v>9.9315231955749823</v>
      </c>
      <c r="Y64" s="147">
        <v>12.794041173411642</v>
      </c>
      <c r="Z64" s="147">
        <v>13.160074050313121</v>
      </c>
    </row>
    <row r="65" spans="1:26" x14ac:dyDescent="0.25">
      <c r="A65" s="9" t="s">
        <v>51</v>
      </c>
      <c r="B65" s="47">
        <v>3.9879789631855749</v>
      </c>
      <c r="C65" s="47">
        <v>4.2233303112722878</v>
      </c>
      <c r="D65" s="47">
        <v>4.6685922772879298</v>
      </c>
      <c r="E65" s="47">
        <v>2.1326403681520465</v>
      </c>
      <c r="F65" s="129">
        <v>4.6584713364004111</v>
      </c>
      <c r="G65" s="129">
        <v>2.9</v>
      </c>
      <c r="H65" s="129">
        <v>6.7642362206949826</v>
      </c>
      <c r="I65" s="129">
        <v>8.069899629882725</v>
      </c>
      <c r="J65" s="129">
        <v>7.911142629818336</v>
      </c>
      <c r="K65" s="129">
        <v>7.3426170105286603</v>
      </c>
      <c r="L65" s="129">
        <v>7.1</v>
      </c>
      <c r="M65" s="129">
        <v>6.9</v>
      </c>
      <c r="N65" s="129">
        <v>7.3</v>
      </c>
      <c r="O65" s="129">
        <v>8.3000000000000007</v>
      </c>
      <c r="P65" s="129">
        <v>9.8000000000000007</v>
      </c>
      <c r="Q65" s="129">
        <v>10.8</v>
      </c>
      <c r="R65" s="129">
        <v>8.1</v>
      </c>
      <c r="S65" s="129">
        <v>8.3000000000000007</v>
      </c>
      <c r="T65" s="129">
        <v>8.6</v>
      </c>
      <c r="U65" s="131">
        <v>9</v>
      </c>
      <c r="V65" s="131">
        <v>7.3</v>
      </c>
      <c r="W65" s="131">
        <v>7.7</v>
      </c>
      <c r="X65" s="147">
        <v>7.3327829362187034</v>
      </c>
      <c r="Y65" s="147">
        <v>8.1875613101159619</v>
      </c>
      <c r="Z65" s="147">
        <v>8.9606890060726396</v>
      </c>
    </row>
    <row r="66" spans="1:26" x14ac:dyDescent="0.25">
      <c r="A66" s="9" t="s">
        <v>52</v>
      </c>
      <c r="B66" s="47">
        <v>1.5846346904629112</v>
      </c>
      <c r="C66" s="47">
        <v>2.3824572492011655</v>
      </c>
      <c r="D66" s="47">
        <v>1.6684363275996319</v>
      </c>
      <c r="E66" s="47">
        <v>3.6803481657825889</v>
      </c>
      <c r="F66" s="129">
        <v>2.0290499240235538</v>
      </c>
      <c r="G66" s="129">
        <v>6.2</v>
      </c>
      <c r="H66" s="129">
        <v>3.694019960941644</v>
      </c>
      <c r="I66" s="129">
        <v>4.3246217167428691</v>
      </c>
      <c r="J66" s="129">
        <v>3.9686437773840173</v>
      </c>
      <c r="K66" s="129">
        <v>3.2781994088542277</v>
      </c>
      <c r="L66" s="129">
        <v>3.9</v>
      </c>
      <c r="M66" s="129">
        <v>3.8</v>
      </c>
      <c r="N66" s="129">
        <v>4.5</v>
      </c>
      <c r="O66" s="129">
        <v>5.0999999999999996</v>
      </c>
      <c r="P66" s="129">
        <v>5.9</v>
      </c>
      <c r="Q66" s="129">
        <v>6.9</v>
      </c>
      <c r="R66" s="129">
        <v>6.7</v>
      </c>
      <c r="S66" s="129">
        <v>6.3</v>
      </c>
      <c r="T66" s="129">
        <v>6.2</v>
      </c>
      <c r="U66" s="131">
        <v>6.4</v>
      </c>
      <c r="V66" s="131">
        <v>6.7</v>
      </c>
      <c r="W66" s="131">
        <v>6.6</v>
      </c>
      <c r="X66" s="147">
        <v>9.7574631988456133</v>
      </c>
      <c r="Y66" s="147">
        <v>9.4225187075684662</v>
      </c>
      <c r="Z66" s="147">
        <v>8.7850730080941588</v>
      </c>
    </row>
    <row r="67" spans="1:26" x14ac:dyDescent="0.25">
      <c r="A67" s="9" t="s">
        <v>53</v>
      </c>
      <c r="B67" s="47">
        <v>2.0320994046078176</v>
      </c>
      <c r="C67" s="47">
        <v>2.1347211311861747</v>
      </c>
      <c r="D67" s="47">
        <v>1.6663352555179956</v>
      </c>
      <c r="E67" s="47">
        <v>0.666595014372383</v>
      </c>
      <c r="F67" s="129">
        <v>2.3113019374632433</v>
      </c>
      <c r="G67" s="129">
        <v>1.1000000000000001</v>
      </c>
      <c r="H67" s="129">
        <v>3.3467606412421813</v>
      </c>
      <c r="I67" s="129">
        <v>3.8416084168047848</v>
      </c>
      <c r="J67" s="129">
        <v>4.6852009884906867</v>
      </c>
      <c r="K67" s="129">
        <v>3.4705868500376789</v>
      </c>
      <c r="L67" s="129">
        <v>4.3</v>
      </c>
      <c r="M67" s="129">
        <v>5.2</v>
      </c>
      <c r="N67" s="129">
        <v>5.3</v>
      </c>
      <c r="O67" s="129">
        <v>6.7</v>
      </c>
      <c r="P67" s="129">
        <v>9.3000000000000007</v>
      </c>
      <c r="Q67" s="129">
        <v>10.3</v>
      </c>
      <c r="R67" s="129">
        <v>10.199999999999999</v>
      </c>
      <c r="S67" s="129">
        <v>7.3</v>
      </c>
      <c r="T67" s="129">
        <v>7</v>
      </c>
      <c r="U67" s="131">
        <v>6</v>
      </c>
      <c r="V67" s="131">
        <v>5.8</v>
      </c>
      <c r="W67" s="131">
        <v>6.5</v>
      </c>
      <c r="X67" s="147">
        <v>5.7998817813935108</v>
      </c>
      <c r="Y67" s="147">
        <v>6.8349583738601423</v>
      </c>
      <c r="Z67" s="147">
        <v>6.7500730998699758</v>
      </c>
    </row>
    <row r="68" spans="1:26" x14ac:dyDescent="0.25">
      <c r="A68" s="9" t="s">
        <v>54</v>
      </c>
      <c r="B68" s="47">
        <v>2.0523896549814475</v>
      </c>
      <c r="C68" s="47">
        <v>1.7126391764113467</v>
      </c>
      <c r="D68" s="47">
        <v>1.5458814211360037</v>
      </c>
      <c r="E68" s="47">
        <v>3.1674026142745326</v>
      </c>
      <c r="F68" s="129">
        <v>2.3394510242206064</v>
      </c>
      <c r="G68" s="129">
        <v>4.2</v>
      </c>
      <c r="H68" s="129">
        <v>3.0394126390968133</v>
      </c>
      <c r="I68" s="129">
        <v>3.8982234937994797</v>
      </c>
      <c r="J68" s="129">
        <v>4.8233544112787881</v>
      </c>
      <c r="K68" s="129">
        <v>5.334507052810781</v>
      </c>
      <c r="L68" s="129">
        <v>5.6</v>
      </c>
      <c r="M68" s="129">
        <v>6</v>
      </c>
      <c r="N68" s="129">
        <v>6.2</v>
      </c>
      <c r="O68" s="129">
        <v>5.4</v>
      </c>
      <c r="P68" s="129">
        <v>6.7</v>
      </c>
      <c r="Q68" s="129">
        <v>5.9</v>
      </c>
      <c r="R68" s="129">
        <v>5.9</v>
      </c>
      <c r="S68" s="129">
        <v>5.8</v>
      </c>
      <c r="T68" s="129">
        <v>5.5</v>
      </c>
      <c r="U68" s="131">
        <v>5.4</v>
      </c>
      <c r="V68" s="131">
        <v>5.3</v>
      </c>
      <c r="W68" s="131">
        <v>5.4</v>
      </c>
      <c r="X68" s="147">
        <v>5.8994620024055306</v>
      </c>
      <c r="Y68" s="147">
        <v>6.7191433881805596</v>
      </c>
      <c r="Z68" s="147">
        <v>7.3458676051960108</v>
      </c>
    </row>
    <row r="69" spans="1:26" x14ac:dyDescent="0.25">
      <c r="A69" s="9" t="s">
        <v>55</v>
      </c>
      <c r="B69" s="47">
        <v>1.6861465978073751</v>
      </c>
      <c r="C69" s="47">
        <v>2.1003277494537507</v>
      </c>
      <c r="D69" s="47">
        <v>2.1022493013880617</v>
      </c>
      <c r="E69" s="47">
        <v>3.5525159039463938</v>
      </c>
      <c r="F69" s="129">
        <v>2.3995869302560946</v>
      </c>
      <c r="G69" s="129">
        <v>3.9</v>
      </c>
      <c r="H69" s="129">
        <v>3.0994481165650098</v>
      </c>
      <c r="I69" s="129">
        <v>3.7486734866107025</v>
      </c>
      <c r="J69" s="129">
        <v>3.8663829563048973</v>
      </c>
      <c r="K69" s="129">
        <v>3.9982380148300418</v>
      </c>
      <c r="L69" s="129">
        <v>3</v>
      </c>
      <c r="M69" s="129">
        <v>3.8</v>
      </c>
      <c r="N69" s="129">
        <v>3.9</v>
      </c>
      <c r="O69" s="129">
        <v>4.3</v>
      </c>
      <c r="P69" s="129">
        <v>6.5</v>
      </c>
      <c r="Q69" s="129">
        <v>7.8</v>
      </c>
      <c r="R69" s="129">
        <v>7.2</v>
      </c>
      <c r="S69" s="129">
        <v>6.5</v>
      </c>
      <c r="T69" s="129">
        <v>6.2</v>
      </c>
      <c r="U69" s="131">
        <v>7</v>
      </c>
      <c r="V69" s="131">
        <v>6.5</v>
      </c>
      <c r="W69" s="131">
        <v>6.9</v>
      </c>
      <c r="X69" s="147">
        <v>5.7330522525680543</v>
      </c>
      <c r="Y69" s="147">
        <v>6.5541627134789486</v>
      </c>
      <c r="Z69" s="147">
        <v>7.5566018223841978</v>
      </c>
    </row>
    <row r="70" spans="1:26" x14ac:dyDescent="0.25">
      <c r="A70" s="9" t="s">
        <v>56</v>
      </c>
      <c r="B70" s="47">
        <v>1.9454496716257874</v>
      </c>
      <c r="C70" s="47">
        <v>1.6011388286334056</v>
      </c>
      <c r="D70" s="47">
        <v>2.1211497564656652</v>
      </c>
      <c r="E70" s="47">
        <v>0.88076289473073621</v>
      </c>
      <c r="F70" s="129">
        <v>2.4653035862190991</v>
      </c>
      <c r="G70" s="129">
        <v>1.2</v>
      </c>
      <c r="H70" s="129">
        <v>3.456461230638626</v>
      </c>
      <c r="I70" s="129">
        <v>4.572813590223082</v>
      </c>
      <c r="J70" s="129">
        <v>4.9238276303633661</v>
      </c>
      <c r="K70" s="129">
        <v>5.0892755397276686</v>
      </c>
      <c r="L70" s="129">
        <v>5.3</v>
      </c>
      <c r="M70" s="129">
        <v>6.7</v>
      </c>
      <c r="N70" s="129">
        <v>7.5</v>
      </c>
      <c r="O70" s="129">
        <v>8.4</v>
      </c>
      <c r="P70" s="129">
        <v>9.1999999999999993</v>
      </c>
      <c r="Q70" s="129">
        <v>9.6</v>
      </c>
      <c r="R70" s="129">
        <v>9</v>
      </c>
      <c r="S70" s="129">
        <v>7.9</v>
      </c>
      <c r="T70" s="129">
        <v>5.8</v>
      </c>
      <c r="U70" s="131">
        <v>7.2</v>
      </c>
      <c r="V70" s="131">
        <v>7.7</v>
      </c>
      <c r="W70" s="131">
        <v>7.4</v>
      </c>
      <c r="X70" s="147">
        <v>7.6332529413265959</v>
      </c>
      <c r="Y70" s="147">
        <v>9.9326465065359706</v>
      </c>
      <c r="Z70" s="147">
        <v>11.773485256955768</v>
      </c>
    </row>
    <row r="71" spans="1:26" x14ac:dyDescent="0.25">
      <c r="A71" s="9" t="s">
        <v>57</v>
      </c>
      <c r="B71" s="47">
        <v>2.4664250692816032</v>
      </c>
      <c r="C71" s="47">
        <v>2.6206009372415693</v>
      </c>
      <c r="D71" s="47">
        <v>3.0672748004561003</v>
      </c>
      <c r="E71" s="47">
        <v>3.5477977781666556</v>
      </c>
      <c r="F71" s="129">
        <v>2.8619121204581166</v>
      </c>
      <c r="G71" s="129">
        <v>4.0999999999999996</v>
      </c>
      <c r="H71" s="129">
        <v>2.6953693108698551</v>
      </c>
      <c r="I71" s="129">
        <v>4.8925689183158845</v>
      </c>
      <c r="J71" s="129">
        <v>5.1418310916402632</v>
      </c>
      <c r="K71" s="129">
        <v>3.5790887340195972</v>
      </c>
      <c r="L71" s="129">
        <v>4.2</v>
      </c>
      <c r="M71" s="129">
        <v>5.3</v>
      </c>
      <c r="N71" s="129">
        <v>6.2</v>
      </c>
      <c r="O71" s="129">
        <v>7.5</v>
      </c>
      <c r="P71" s="129">
        <v>7.8</v>
      </c>
      <c r="Q71" s="129">
        <v>10.3</v>
      </c>
      <c r="R71" s="129">
        <v>8.5</v>
      </c>
      <c r="S71" s="129">
        <v>9</v>
      </c>
      <c r="T71" s="129">
        <v>7.7</v>
      </c>
      <c r="U71" s="131">
        <v>7.7</v>
      </c>
      <c r="V71" s="131">
        <v>4.5999999999999996</v>
      </c>
      <c r="W71" s="131">
        <v>6.7</v>
      </c>
      <c r="X71" s="147">
        <v>6.5678716537927455</v>
      </c>
      <c r="Y71" s="147">
        <v>7.2481980772260819</v>
      </c>
      <c r="Z71" s="147">
        <v>7.5222645698806874</v>
      </c>
    </row>
    <row r="72" spans="1:26" x14ac:dyDescent="0.25">
      <c r="A72" s="9" t="s">
        <v>58</v>
      </c>
      <c r="B72" s="47">
        <v>1.8510166358595195</v>
      </c>
      <c r="C72" s="47">
        <v>2.1901363957334525</v>
      </c>
      <c r="D72" s="47">
        <v>2.248952409458246</v>
      </c>
      <c r="E72" s="47">
        <v>3.6987264231683912</v>
      </c>
      <c r="F72" s="129">
        <v>1.9934912776193499</v>
      </c>
      <c r="G72" s="129">
        <v>6.3</v>
      </c>
      <c r="H72" s="129">
        <v>3.8658880406907858</v>
      </c>
      <c r="I72" s="129">
        <v>4.6024747413519895</v>
      </c>
      <c r="J72" s="129">
        <v>5.0473997074232431</v>
      </c>
      <c r="K72" s="129">
        <v>5.7794844441645203</v>
      </c>
      <c r="L72" s="129">
        <v>5</v>
      </c>
      <c r="M72" s="129">
        <v>5.3</v>
      </c>
      <c r="N72" s="129">
        <v>4.5</v>
      </c>
      <c r="O72" s="129">
        <v>5.3</v>
      </c>
      <c r="P72" s="129">
        <v>7</v>
      </c>
      <c r="Q72" s="129">
        <v>5.2</v>
      </c>
      <c r="R72" s="129">
        <v>7</v>
      </c>
      <c r="S72" s="129">
        <v>6.3</v>
      </c>
      <c r="T72" s="129">
        <v>4.9000000000000004</v>
      </c>
      <c r="U72" s="131">
        <v>4.5999999999999996</v>
      </c>
      <c r="V72" s="131">
        <v>5.6</v>
      </c>
      <c r="W72" s="131">
        <v>6.1</v>
      </c>
      <c r="X72" s="147">
        <v>4.6782890497763008</v>
      </c>
      <c r="Y72" s="147">
        <v>5.8224156950114692</v>
      </c>
      <c r="Z72" s="147">
        <v>5.4999739198177418</v>
      </c>
    </row>
    <row r="73" spans="1:26" x14ac:dyDescent="0.25">
      <c r="A73" s="9" t="s">
        <v>59</v>
      </c>
      <c r="B73" s="47">
        <v>1.8240056318197817</v>
      </c>
      <c r="C73" s="47">
        <v>2.1079234000142377</v>
      </c>
      <c r="D73" s="47">
        <v>1.4732593340060545</v>
      </c>
      <c r="E73" s="47">
        <v>0.17836704724795388</v>
      </c>
      <c r="F73" s="129">
        <v>1.311795874273368</v>
      </c>
      <c r="G73" s="129">
        <v>0.3</v>
      </c>
      <c r="H73" s="129">
        <v>3.0192217533989685</v>
      </c>
      <c r="I73" s="129">
        <v>3.6107231665360904</v>
      </c>
      <c r="J73" s="129">
        <v>4.1700477349699616</v>
      </c>
      <c r="K73" s="129">
        <v>3.5504382117253339</v>
      </c>
      <c r="L73" s="129">
        <v>3.3</v>
      </c>
      <c r="M73" s="129">
        <v>4.5</v>
      </c>
      <c r="N73" s="129">
        <v>5</v>
      </c>
      <c r="O73" s="129">
        <v>6.5</v>
      </c>
      <c r="P73" s="129">
        <v>8.6</v>
      </c>
      <c r="Q73" s="129">
        <v>10.5</v>
      </c>
      <c r="R73" s="129">
        <v>10.1</v>
      </c>
      <c r="S73" s="129">
        <v>9.1</v>
      </c>
      <c r="T73" s="129">
        <v>8.4</v>
      </c>
      <c r="U73" s="131">
        <v>7.2</v>
      </c>
      <c r="V73" s="131">
        <v>8.8000000000000007</v>
      </c>
      <c r="W73" s="131">
        <v>7.9</v>
      </c>
      <c r="X73" s="147">
        <v>7.3832557974868775</v>
      </c>
      <c r="Y73" s="147">
        <v>8.5317794125894082</v>
      </c>
      <c r="Z73" s="147">
        <v>8.0663234843780209</v>
      </c>
    </row>
    <row r="74" spans="1:26" ht="18" x14ac:dyDescent="0.25">
      <c r="A74" s="8" t="s">
        <v>263</v>
      </c>
      <c r="B74" s="46">
        <v>2.4584180447276163</v>
      </c>
      <c r="C74" s="46">
        <v>2.8001928562818916</v>
      </c>
      <c r="D74" s="46">
        <v>2.9716292021469792</v>
      </c>
      <c r="E74" s="46">
        <v>2.8873875833164</v>
      </c>
      <c r="F74" s="123">
        <v>3.3733304847939611</v>
      </c>
      <c r="G74" s="123">
        <v>3.8</v>
      </c>
      <c r="H74" s="123">
        <v>4.7331866664794093</v>
      </c>
      <c r="I74" s="123">
        <v>6.0134172084118616</v>
      </c>
      <c r="J74" s="123">
        <v>6.6420580475327347</v>
      </c>
      <c r="K74" s="123">
        <v>5.3270837359691336</v>
      </c>
      <c r="L74" s="123">
        <v>5.2</v>
      </c>
      <c r="M74" s="123">
        <v>6.1</v>
      </c>
      <c r="N74" s="123">
        <v>7.5</v>
      </c>
      <c r="O74" s="123">
        <v>7.9</v>
      </c>
      <c r="P74" s="123">
        <v>9.1</v>
      </c>
      <c r="Q74" s="123">
        <v>9.3000000000000007</v>
      </c>
      <c r="R74" s="123">
        <v>8</v>
      </c>
      <c r="S74" s="123">
        <v>7.7</v>
      </c>
      <c r="T74" s="123">
        <v>7.1</v>
      </c>
      <c r="U74" s="123">
        <v>7.7</v>
      </c>
      <c r="V74" s="123">
        <v>8.1</v>
      </c>
      <c r="W74" s="123">
        <v>8.3000000000000007</v>
      </c>
      <c r="X74" s="166">
        <v>9.451342043094364</v>
      </c>
      <c r="Y74" s="166">
        <v>10.877541664332689</v>
      </c>
      <c r="Z74" s="166">
        <v>10.841068303396494</v>
      </c>
    </row>
    <row r="75" spans="1:26" x14ac:dyDescent="0.25">
      <c r="A75" s="9" t="s">
        <v>60</v>
      </c>
      <c r="B75" s="47">
        <v>0.88768631918731611</v>
      </c>
      <c r="C75" s="47">
        <v>1.1868322263933004</v>
      </c>
      <c r="D75" s="47">
        <v>1.1284807034684905</v>
      </c>
      <c r="E75" s="47">
        <v>0.30005437784274591</v>
      </c>
      <c r="F75" s="129">
        <v>1.2835298180841375</v>
      </c>
      <c r="G75" s="129">
        <v>0.4</v>
      </c>
      <c r="H75" s="129">
        <v>2.0451977164230111</v>
      </c>
      <c r="I75" s="129">
        <v>2.6342936753554755</v>
      </c>
      <c r="J75" s="129">
        <v>4.0619629487033331</v>
      </c>
      <c r="K75" s="129">
        <v>4.2857933165054565</v>
      </c>
      <c r="L75" s="129">
        <v>2.2000000000000002</v>
      </c>
      <c r="M75" s="129">
        <v>2.7</v>
      </c>
      <c r="N75" s="129">
        <v>3.7</v>
      </c>
      <c r="O75" s="129">
        <v>4.2</v>
      </c>
      <c r="P75" s="129">
        <v>6.2</v>
      </c>
      <c r="Q75" s="129">
        <v>4.7</v>
      </c>
      <c r="R75" s="129">
        <v>4.5999999999999996</v>
      </c>
      <c r="S75" s="129">
        <v>5.4</v>
      </c>
      <c r="T75" s="129">
        <v>3.8</v>
      </c>
      <c r="U75" s="131">
        <v>3.5</v>
      </c>
      <c r="V75" s="131">
        <v>3.6</v>
      </c>
      <c r="W75" s="131">
        <v>3.8</v>
      </c>
      <c r="X75" s="147">
        <v>4.9898364840884586</v>
      </c>
      <c r="Y75" s="147">
        <v>5.596693101045509</v>
      </c>
      <c r="Z75" s="147">
        <v>6.2852762129140656</v>
      </c>
    </row>
    <row r="76" spans="1:26" x14ac:dyDescent="0.25">
      <c r="A76" s="9" t="s">
        <v>61</v>
      </c>
      <c r="B76" s="47">
        <v>1.7151500537080475</v>
      </c>
      <c r="C76" s="47">
        <v>1.6633554083885209</v>
      </c>
      <c r="D76" s="47">
        <v>1.815027358868277</v>
      </c>
      <c r="E76" s="47">
        <v>2.6598415817525036</v>
      </c>
      <c r="F76" s="129">
        <v>2.4399068168549758</v>
      </c>
      <c r="G76" s="129">
        <v>4.0999999999999996</v>
      </c>
      <c r="H76" s="129">
        <v>3.7048446161645603</v>
      </c>
      <c r="I76" s="129">
        <v>4.7108359167484135</v>
      </c>
      <c r="J76" s="129">
        <v>4.6997771254041369</v>
      </c>
      <c r="K76" s="129">
        <v>4.0548276153197422</v>
      </c>
      <c r="L76" s="129">
        <v>4.9000000000000004</v>
      </c>
      <c r="M76" s="129">
        <v>5.2</v>
      </c>
      <c r="N76" s="129">
        <v>5.6</v>
      </c>
      <c r="O76" s="129">
        <v>5.5</v>
      </c>
      <c r="P76" s="129">
        <v>6.9</v>
      </c>
      <c r="Q76" s="129">
        <v>7.5</v>
      </c>
      <c r="R76" s="129">
        <v>7.1</v>
      </c>
      <c r="S76" s="129">
        <v>7.1</v>
      </c>
      <c r="T76" s="129">
        <v>6.9</v>
      </c>
      <c r="U76" s="131">
        <v>7.7</v>
      </c>
      <c r="V76" s="131">
        <v>7.7</v>
      </c>
      <c r="W76" s="131">
        <v>9.1</v>
      </c>
      <c r="X76" s="147">
        <v>9.8583950049007694</v>
      </c>
      <c r="Y76" s="147">
        <v>11.224960576024928</v>
      </c>
      <c r="Z76" s="147">
        <v>11.334716382213193</v>
      </c>
    </row>
    <row r="77" spans="1:26" x14ac:dyDescent="0.25">
      <c r="A77" s="9" t="s">
        <v>62</v>
      </c>
      <c r="B77" s="47">
        <v>4.0557294733905707</v>
      </c>
      <c r="C77" s="47">
        <v>5.5863578895433097</v>
      </c>
      <c r="D77" s="47">
        <v>5.8312632256877359</v>
      </c>
      <c r="E77" s="47">
        <v>4.9573243941327796</v>
      </c>
      <c r="F77" s="129">
        <v>5.8910269601545933</v>
      </c>
      <c r="G77" s="129">
        <v>5.6</v>
      </c>
      <c r="H77" s="129">
        <v>7.2676004101490062</v>
      </c>
      <c r="I77" s="129">
        <v>8.7580740613960124</v>
      </c>
      <c r="J77" s="129">
        <v>9.5224698082995367</v>
      </c>
      <c r="K77" s="129">
        <v>8.2561621088990869</v>
      </c>
      <c r="L77" s="129">
        <v>7.8</v>
      </c>
      <c r="M77" s="129">
        <v>9.1999999999999993</v>
      </c>
      <c r="N77" s="129">
        <v>11.2</v>
      </c>
      <c r="O77" s="129">
        <v>11.9</v>
      </c>
      <c r="P77" s="129">
        <v>13.2</v>
      </c>
      <c r="Q77" s="129">
        <v>14.4</v>
      </c>
      <c r="R77" s="129">
        <v>12</v>
      </c>
      <c r="S77" s="129">
        <v>10.5</v>
      </c>
      <c r="T77" s="129">
        <v>8.9</v>
      </c>
      <c r="U77" s="131">
        <v>10.3</v>
      </c>
      <c r="V77" s="131">
        <v>11.2</v>
      </c>
      <c r="W77" s="131">
        <v>10.5</v>
      </c>
      <c r="X77" s="147">
        <v>12.430968839006578</v>
      </c>
      <c r="Y77" s="147">
        <v>13.93417312624346</v>
      </c>
      <c r="Z77" s="147">
        <v>14.237702188796598</v>
      </c>
    </row>
    <row r="78" spans="1:26" x14ac:dyDescent="0.25">
      <c r="A78" s="4" t="s">
        <v>63</v>
      </c>
      <c r="B78" s="118"/>
      <c r="C78" s="118"/>
      <c r="D78" s="118"/>
      <c r="E78" s="118"/>
      <c r="F78" s="118"/>
      <c r="G78" s="129"/>
      <c r="H78" s="129"/>
      <c r="I78" s="129"/>
      <c r="J78" s="129"/>
      <c r="K78" s="129"/>
      <c r="L78" s="129"/>
      <c r="Z78" s="12"/>
    </row>
    <row r="79" spans="1:26" ht="24" customHeight="1" x14ac:dyDescent="0.25">
      <c r="A79" s="14" t="s">
        <v>159</v>
      </c>
      <c r="B79" s="47">
        <v>3.9997083697871103</v>
      </c>
      <c r="C79" s="47">
        <v>7.9051298561923158</v>
      </c>
      <c r="D79" s="47">
        <v>7.4768388545760809</v>
      </c>
      <c r="E79" s="47">
        <v>5.9607023902990726</v>
      </c>
      <c r="F79" s="129">
        <v>7.3998468997193161</v>
      </c>
      <c r="G79" s="129">
        <v>5.9</v>
      </c>
      <c r="H79" s="129">
        <v>7.6038573146946291</v>
      </c>
      <c r="I79" s="129">
        <v>8.6824962547548772</v>
      </c>
      <c r="J79" s="129">
        <v>8.8083697205197033</v>
      </c>
      <c r="K79" s="129">
        <v>7.555009978377428</v>
      </c>
      <c r="L79" s="129">
        <v>5.6</v>
      </c>
      <c r="M79" s="129">
        <v>7.6</v>
      </c>
      <c r="N79" s="129">
        <v>10</v>
      </c>
      <c r="O79" s="129">
        <v>10</v>
      </c>
      <c r="P79" s="129">
        <v>10.3</v>
      </c>
      <c r="Q79" s="129">
        <v>9.1999999999999993</v>
      </c>
      <c r="R79" s="129">
        <v>7.2</v>
      </c>
      <c r="S79" s="129">
        <v>7.9</v>
      </c>
      <c r="T79" s="129">
        <v>5.5</v>
      </c>
      <c r="U79" s="131">
        <v>7</v>
      </c>
      <c r="V79" s="131">
        <v>9.4</v>
      </c>
      <c r="W79" s="131">
        <v>7.9</v>
      </c>
      <c r="X79" s="147">
        <v>7.8324888011902027</v>
      </c>
      <c r="Y79" s="147">
        <v>7.9513132504503199</v>
      </c>
      <c r="Z79" s="147">
        <v>7.6600803969050242</v>
      </c>
    </row>
    <row r="80" spans="1:26" ht="19.5" x14ac:dyDescent="0.25">
      <c r="A80" s="14" t="s">
        <v>158</v>
      </c>
      <c r="B80" s="47">
        <v>2.9137341644882362</v>
      </c>
      <c r="C80" s="47">
        <v>3.2294787297783105</v>
      </c>
      <c r="D80" s="47">
        <v>5.4160901363905909</v>
      </c>
      <c r="E80" s="47">
        <v>3.6706211020495445</v>
      </c>
      <c r="F80" s="129">
        <v>4.7472860113045483</v>
      </c>
      <c r="G80" s="129">
        <v>5.9</v>
      </c>
      <c r="H80" s="129">
        <v>8.3021657237783035</v>
      </c>
      <c r="I80" s="129">
        <v>7.371604213328947</v>
      </c>
      <c r="J80" s="129">
        <v>7.2494359957897876</v>
      </c>
      <c r="K80" s="129">
        <v>4.1600293379479485</v>
      </c>
      <c r="L80" s="129">
        <v>4.5</v>
      </c>
      <c r="M80" s="129">
        <v>5.5</v>
      </c>
      <c r="N80" s="129">
        <v>6.7</v>
      </c>
      <c r="O80" s="129">
        <v>7.9</v>
      </c>
      <c r="P80" s="129">
        <v>8.6999999999999993</v>
      </c>
      <c r="Q80" s="129">
        <v>9.8000000000000007</v>
      </c>
      <c r="R80" s="129">
        <v>8.1999999999999993</v>
      </c>
      <c r="S80" s="129">
        <v>8.9</v>
      </c>
      <c r="T80" s="129">
        <v>6.1</v>
      </c>
      <c r="U80" s="131">
        <v>4.7</v>
      </c>
      <c r="V80" s="131">
        <v>5.3</v>
      </c>
      <c r="W80" s="131">
        <v>5.4</v>
      </c>
      <c r="X80" s="147">
        <v>6.6081648539742721</v>
      </c>
      <c r="Y80" s="147">
        <v>9.9818758876014329</v>
      </c>
      <c r="Z80" s="147">
        <v>10.437004812115172</v>
      </c>
    </row>
    <row r="81" spans="1:26" ht="19.5" x14ac:dyDescent="0.25">
      <c r="A81" s="14" t="s">
        <v>265</v>
      </c>
      <c r="B81" s="47">
        <v>4.5307204950640925</v>
      </c>
      <c r="C81" s="47">
        <v>4.0535515061361105</v>
      </c>
      <c r="D81" s="47">
        <v>4.2263157894736842</v>
      </c>
      <c r="E81" s="47">
        <v>4.4236561468826521</v>
      </c>
      <c r="F81" s="129">
        <v>4.6636752195274855</v>
      </c>
      <c r="G81" s="129">
        <v>5.2</v>
      </c>
      <c r="H81" s="129">
        <v>6.4791781075117374</v>
      </c>
      <c r="I81" s="129">
        <v>9.3957052340317588</v>
      </c>
      <c r="J81" s="129">
        <v>11.234346126658387</v>
      </c>
      <c r="K81" s="129">
        <v>10.668069310469637</v>
      </c>
      <c r="L81" s="129">
        <v>11.8</v>
      </c>
      <c r="M81" s="129">
        <v>12.5</v>
      </c>
      <c r="N81" s="129">
        <v>14.3</v>
      </c>
      <c r="O81" s="129">
        <v>15.5</v>
      </c>
      <c r="P81" s="129">
        <v>18.2</v>
      </c>
      <c r="Q81" s="129">
        <v>21.7</v>
      </c>
      <c r="R81" s="129">
        <v>18.7</v>
      </c>
      <c r="S81" s="129">
        <v>13.8</v>
      </c>
      <c r="T81" s="129">
        <v>13.5</v>
      </c>
      <c r="U81" s="131">
        <v>15.6</v>
      </c>
      <c r="V81" s="131">
        <v>14.9</v>
      </c>
      <c r="W81" s="131">
        <v>14.8</v>
      </c>
      <c r="X81" s="147">
        <v>19.219187049190232</v>
      </c>
      <c r="Y81" s="147">
        <v>21.670945064870772</v>
      </c>
      <c r="Z81" s="147">
        <v>22.639749656258498</v>
      </c>
    </row>
    <row r="82" spans="1:26" x14ac:dyDescent="0.25">
      <c r="A82" s="9" t="s">
        <v>65</v>
      </c>
      <c r="B82" s="47">
        <v>2.4288061336254105</v>
      </c>
      <c r="C82" s="47">
        <v>2.192033473724778</v>
      </c>
      <c r="D82" s="47">
        <v>2.3515722399224268</v>
      </c>
      <c r="E82" s="47">
        <v>2.5932957180342746</v>
      </c>
      <c r="F82" s="129">
        <v>2.7880473683988485</v>
      </c>
      <c r="G82" s="129">
        <v>3.4</v>
      </c>
      <c r="H82" s="129">
        <v>4.3529440616033543</v>
      </c>
      <c r="I82" s="129">
        <v>5.9512681944107664</v>
      </c>
      <c r="J82" s="129">
        <v>6.9748614190448901</v>
      </c>
      <c r="K82" s="129">
        <v>4.3475839387433926</v>
      </c>
      <c r="L82" s="129">
        <v>3.6</v>
      </c>
      <c r="M82" s="129">
        <v>5.0999999999999996</v>
      </c>
      <c r="N82" s="129">
        <v>7</v>
      </c>
      <c r="O82" s="129">
        <v>7.5</v>
      </c>
      <c r="P82" s="129">
        <v>8.3000000000000007</v>
      </c>
      <c r="Q82" s="129">
        <v>7.4</v>
      </c>
      <c r="R82" s="129">
        <v>5.9</v>
      </c>
      <c r="S82" s="129">
        <v>6.2</v>
      </c>
      <c r="T82" s="129">
        <v>6.2</v>
      </c>
      <c r="U82" s="131">
        <v>5.8</v>
      </c>
      <c r="V82" s="131">
        <v>6.1</v>
      </c>
      <c r="W82" s="131">
        <v>5.9</v>
      </c>
      <c r="X82" s="147">
        <v>6.5960674440572191</v>
      </c>
      <c r="Y82" s="147">
        <v>8.1425428693657835</v>
      </c>
      <c r="Z82" s="147">
        <v>7.3140496233403072</v>
      </c>
    </row>
    <row r="83" spans="1:26" ht="18" x14ac:dyDescent="0.25">
      <c r="A83" s="8" t="s">
        <v>264</v>
      </c>
      <c r="B83" s="46">
        <v>1.8337359982429167</v>
      </c>
      <c r="C83" s="46">
        <v>1.6183379948483809</v>
      </c>
      <c r="D83" s="46">
        <v>1.7952143946732582</v>
      </c>
      <c r="E83" s="46">
        <v>2.1196821380505089</v>
      </c>
      <c r="F83" s="46">
        <v>2.565764279612337</v>
      </c>
      <c r="G83" s="123">
        <v>3.2</v>
      </c>
      <c r="H83" s="123">
        <v>4.0628689779100347</v>
      </c>
      <c r="I83" s="123">
        <v>4.9595357638053112</v>
      </c>
      <c r="J83" s="123">
        <v>5.2014899967838826</v>
      </c>
      <c r="K83" s="123">
        <v>4.5183382710887896</v>
      </c>
      <c r="L83" s="123">
        <v>5.0658432228321262</v>
      </c>
      <c r="M83" s="123">
        <v>5.6</v>
      </c>
      <c r="N83" s="123">
        <v>5.8</v>
      </c>
      <c r="O83" s="123">
        <v>6.4</v>
      </c>
      <c r="P83" s="123">
        <v>7</v>
      </c>
      <c r="Q83" s="123">
        <v>8.1</v>
      </c>
      <c r="R83" s="123">
        <v>7.6</v>
      </c>
      <c r="S83" s="123">
        <v>6.2</v>
      </c>
      <c r="T83" s="123">
        <v>5.7</v>
      </c>
      <c r="U83" s="123">
        <v>6.1</v>
      </c>
      <c r="V83" s="123">
        <v>6.4</v>
      </c>
      <c r="W83" s="123">
        <v>6.5</v>
      </c>
      <c r="X83" s="166">
        <v>6.4290309814589737</v>
      </c>
      <c r="Y83" s="166">
        <v>7.9704319609525003</v>
      </c>
      <c r="Z83" s="166">
        <v>7.9175045110353466</v>
      </c>
    </row>
    <row r="84" spans="1:26" x14ac:dyDescent="0.25">
      <c r="A84" s="9" t="s">
        <v>66</v>
      </c>
      <c r="B84" s="47">
        <v>1.9733596447952642</v>
      </c>
      <c r="C84" s="47">
        <v>1.2068965517241379</v>
      </c>
      <c r="D84" s="47">
        <v>1.9359605911330049</v>
      </c>
      <c r="E84" s="47">
        <v>1.60252459258894</v>
      </c>
      <c r="F84" s="47">
        <v>3.3094264319443623</v>
      </c>
      <c r="G84" s="129">
        <v>2.7</v>
      </c>
      <c r="H84" s="129">
        <v>3.3662355175029375</v>
      </c>
      <c r="I84" s="129">
        <v>4.0457230927305421</v>
      </c>
      <c r="J84" s="129">
        <v>3.9576671832394998</v>
      </c>
      <c r="K84" s="129">
        <v>4.228505099079678</v>
      </c>
      <c r="L84" s="129">
        <v>5.2</v>
      </c>
      <c r="M84" s="129">
        <v>5.8</v>
      </c>
      <c r="N84" s="129">
        <v>6.1</v>
      </c>
      <c r="O84" s="129">
        <v>6.7</v>
      </c>
      <c r="P84" s="129">
        <v>7.7</v>
      </c>
      <c r="Q84" s="129">
        <v>8.6</v>
      </c>
      <c r="R84" s="129">
        <v>8.8000000000000007</v>
      </c>
      <c r="S84" s="129">
        <v>8.6999999999999993</v>
      </c>
      <c r="T84" s="129">
        <v>6.4</v>
      </c>
      <c r="U84" s="131">
        <v>6.6</v>
      </c>
      <c r="V84" s="131">
        <v>5.4</v>
      </c>
      <c r="W84" s="131">
        <v>8.6999999999999993</v>
      </c>
      <c r="X84" s="147">
        <v>9.3268624074311273</v>
      </c>
      <c r="Y84" s="147">
        <v>9.6965394312951716</v>
      </c>
      <c r="Z84" s="147">
        <v>13.082735351423276</v>
      </c>
    </row>
    <row r="85" spans="1:26" x14ac:dyDescent="0.25">
      <c r="A85" s="9" t="s">
        <v>68</v>
      </c>
      <c r="B85" s="47">
        <v>1.945080091533181</v>
      </c>
      <c r="C85" s="47">
        <v>1.8985270049099836</v>
      </c>
      <c r="D85" s="47">
        <v>1.6961362148002621</v>
      </c>
      <c r="E85" s="47">
        <v>0.98615775247768034</v>
      </c>
      <c r="F85" s="47">
        <v>0.9260718789407314</v>
      </c>
      <c r="G85" s="129">
        <v>1</v>
      </c>
      <c r="H85" s="129">
        <v>1.186294498435347</v>
      </c>
      <c r="I85" s="129">
        <v>1.6662817170950606</v>
      </c>
      <c r="J85" s="129">
        <v>2.1606002397018504</v>
      </c>
      <c r="K85" s="129">
        <v>2.4484599187111304</v>
      </c>
      <c r="L85" s="129">
        <v>2.5</v>
      </c>
      <c r="M85" s="129">
        <v>2.4</v>
      </c>
      <c r="N85" s="129">
        <v>2.2999999999999998</v>
      </c>
      <c r="O85" s="129">
        <v>3</v>
      </c>
      <c r="P85" s="129">
        <v>3.7</v>
      </c>
      <c r="Q85" s="129">
        <v>5</v>
      </c>
      <c r="R85" s="129">
        <v>4.0999999999999996</v>
      </c>
      <c r="S85" s="129">
        <v>4.0999999999999996</v>
      </c>
      <c r="T85" s="47">
        <v>3.8</v>
      </c>
      <c r="U85" s="131">
        <v>5.2</v>
      </c>
      <c r="V85" s="131">
        <v>5.0999999999999996</v>
      </c>
      <c r="W85" s="131">
        <v>4.8</v>
      </c>
      <c r="X85" s="147">
        <v>5.333159124720499</v>
      </c>
      <c r="Y85" s="147">
        <v>7.1663979514415779</v>
      </c>
      <c r="Z85" s="147">
        <v>11.322016247847722</v>
      </c>
    </row>
    <row r="86" spans="1:26" x14ac:dyDescent="0.25">
      <c r="A86" s="9" t="s">
        <v>69</v>
      </c>
      <c r="B86" s="47">
        <v>2.7181147688433174</v>
      </c>
      <c r="C86" s="47">
        <v>1.2155797101449275</v>
      </c>
      <c r="D86" s="47">
        <v>1.792108147606869</v>
      </c>
      <c r="E86" s="47">
        <v>1.6767714694849678</v>
      </c>
      <c r="F86" s="47">
        <v>1.899224375294148</v>
      </c>
      <c r="G86" s="129">
        <v>2.5</v>
      </c>
      <c r="H86" s="129">
        <v>2.6836587903440869</v>
      </c>
      <c r="I86" s="129">
        <v>2.9215547490324232</v>
      </c>
      <c r="J86" s="129">
        <v>3.8714046539626401</v>
      </c>
      <c r="K86" s="129">
        <v>3.5825191102127154</v>
      </c>
      <c r="L86" s="129">
        <v>3.3</v>
      </c>
      <c r="M86" s="129">
        <v>3.6</v>
      </c>
      <c r="N86" s="129">
        <v>4</v>
      </c>
      <c r="O86" s="129">
        <v>5.2</v>
      </c>
      <c r="P86" s="129">
        <v>6</v>
      </c>
      <c r="Q86" s="129">
        <v>8</v>
      </c>
      <c r="R86" s="129">
        <v>6</v>
      </c>
      <c r="S86" s="129">
        <v>6.9</v>
      </c>
      <c r="T86" s="47">
        <v>4.0999999999999996</v>
      </c>
      <c r="U86" s="131">
        <v>5.4</v>
      </c>
      <c r="V86" s="131">
        <v>7.1</v>
      </c>
      <c r="W86" s="131">
        <v>6</v>
      </c>
      <c r="X86" s="147">
        <v>7.4020289271666684</v>
      </c>
      <c r="Y86" s="147">
        <v>8.3011466277654744</v>
      </c>
      <c r="Z86" s="147">
        <v>8.6112977493328486</v>
      </c>
    </row>
    <row r="87" spans="1:26" x14ac:dyDescent="0.25">
      <c r="A87" s="9" t="s">
        <v>70</v>
      </c>
      <c r="B87" s="47">
        <v>1.799803506650544</v>
      </c>
      <c r="C87" s="47">
        <v>1.7946866329672</v>
      </c>
      <c r="D87" s="47">
        <v>1.5429971667049542</v>
      </c>
      <c r="E87" s="47">
        <v>1.7964736088828044</v>
      </c>
      <c r="F87" s="47">
        <v>1.4774770826714163</v>
      </c>
      <c r="G87" s="129">
        <v>1.8</v>
      </c>
      <c r="H87" s="129">
        <v>2.1967095974829065</v>
      </c>
      <c r="I87" s="129">
        <v>2.8957807179896062</v>
      </c>
      <c r="J87" s="129">
        <v>3.0717256524657612</v>
      </c>
      <c r="K87" s="129">
        <v>3.5628668366712022</v>
      </c>
      <c r="L87" s="129">
        <v>3.8</v>
      </c>
      <c r="M87" s="129">
        <v>3.7</v>
      </c>
      <c r="N87" s="129">
        <v>3.5</v>
      </c>
      <c r="O87" s="129">
        <v>4</v>
      </c>
      <c r="P87" s="129">
        <v>4.8</v>
      </c>
      <c r="Q87" s="129">
        <v>6</v>
      </c>
      <c r="R87" s="129">
        <v>5.0999999999999996</v>
      </c>
      <c r="S87" s="129">
        <v>4.4000000000000004</v>
      </c>
      <c r="T87" s="47">
        <v>5.7</v>
      </c>
      <c r="U87" s="131">
        <v>5</v>
      </c>
      <c r="V87" s="131">
        <v>5.5</v>
      </c>
      <c r="W87" s="131">
        <v>7</v>
      </c>
      <c r="X87" s="147">
        <v>5.5876480033748006</v>
      </c>
      <c r="Y87" s="147">
        <v>5.3505933930533658</v>
      </c>
      <c r="Z87" s="147">
        <v>4.9595514906415819</v>
      </c>
    </row>
    <row r="88" spans="1:26" x14ac:dyDescent="0.25">
      <c r="A88" s="9" t="s">
        <v>72</v>
      </c>
      <c r="B88" s="47">
        <v>2.0893242570147765</v>
      </c>
      <c r="C88" s="47">
        <v>1.6822117474007956</v>
      </c>
      <c r="D88" s="47">
        <v>2.2282791574130156</v>
      </c>
      <c r="E88" s="47">
        <v>2.5131596450221387</v>
      </c>
      <c r="F88" s="47">
        <v>2.9582593682784362</v>
      </c>
      <c r="G88" s="129">
        <v>3.9</v>
      </c>
      <c r="H88" s="129">
        <v>4.5902350763114335</v>
      </c>
      <c r="I88" s="129">
        <v>5.817573372555934</v>
      </c>
      <c r="J88" s="129">
        <v>5.7143320768081862</v>
      </c>
      <c r="K88" s="129">
        <v>4.228088742912294</v>
      </c>
      <c r="L88" s="129">
        <v>5.0999999999999996</v>
      </c>
      <c r="M88" s="129">
        <v>5.3</v>
      </c>
      <c r="N88" s="129">
        <v>5.7</v>
      </c>
      <c r="O88" s="129">
        <v>5.9</v>
      </c>
      <c r="P88" s="129">
        <v>6</v>
      </c>
      <c r="Q88" s="129">
        <v>7.2</v>
      </c>
      <c r="R88" s="129">
        <v>8.5</v>
      </c>
      <c r="S88" s="129">
        <v>6.2</v>
      </c>
      <c r="T88" s="47">
        <v>6.3</v>
      </c>
      <c r="U88" s="131">
        <v>8.6</v>
      </c>
      <c r="V88" s="131">
        <v>7.1</v>
      </c>
      <c r="W88" s="131">
        <v>6.6</v>
      </c>
      <c r="X88" s="147">
        <v>6.9339578622082714</v>
      </c>
      <c r="Y88" s="147">
        <v>7.8012427704057981</v>
      </c>
      <c r="Z88" s="147">
        <v>7.8100204992586342</v>
      </c>
    </row>
    <row r="89" spans="1:26" x14ac:dyDescent="0.25">
      <c r="A89" s="9" t="s">
        <v>73</v>
      </c>
      <c r="B89" s="47">
        <v>1.0263517618469016</v>
      </c>
      <c r="C89" s="47">
        <v>0.83863061959102392</v>
      </c>
      <c r="D89" s="47">
        <v>1.1256615289527563</v>
      </c>
      <c r="E89" s="47">
        <v>1.0070175438596491</v>
      </c>
      <c r="F89" s="47">
        <v>1.1283635694583816</v>
      </c>
      <c r="G89" s="129">
        <v>1.4</v>
      </c>
      <c r="H89" s="129">
        <v>1.6614490981597838</v>
      </c>
      <c r="I89" s="129">
        <v>2.9491394314445949</v>
      </c>
      <c r="J89" s="129">
        <v>3.0266953633767821</v>
      </c>
      <c r="K89" s="129">
        <v>3.2998696171030288</v>
      </c>
      <c r="L89" s="129">
        <v>4.0999999999999996</v>
      </c>
      <c r="M89" s="129">
        <v>4.7</v>
      </c>
      <c r="N89" s="129">
        <v>5.5</v>
      </c>
      <c r="O89" s="129">
        <v>5.8</v>
      </c>
      <c r="P89" s="129">
        <v>5.5</v>
      </c>
      <c r="Q89" s="129">
        <v>6.7</v>
      </c>
      <c r="R89" s="129">
        <v>6.1</v>
      </c>
      <c r="S89" s="129">
        <v>7.1</v>
      </c>
      <c r="T89" s="47">
        <v>5.6</v>
      </c>
      <c r="U89" s="131">
        <v>5.6</v>
      </c>
      <c r="V89" s="131">
        <v>6.3</v>
      </c>
      <c r="W89" s="131">
        <v>5.8</v>
      </c>
      <c r="X89" s="147">
        <v>6.2129149120600902</v>
      </c>
      <c r="Y89" s="147">
        <v>7.5253010976073051</v>
      </c>
      <c r="Z89" s="147">
        <v>7.4045290305164944</v>
      </c>
    </row>
    <row r="90" spans="1:26" x14ac:dyDescent="0.25">
      <c r="A90" s="9" t="s">
        <v>74</v>
      </c>
      <c r="B90" s="47">
        <v>1.5005587727318905</v>
      </c>
      <c r="C90" s="47">
        <v>1.8849829351535836</v>
      </c>
      <c r="D90" s="47">
        <v>2.1138491189427313</v>
      </c>
      <c r="E90" s="47">
        <v>2.4571057650074222</v>
      </c>
      <c r="F90" s="47">
        <v>2.7083083116830209</v>
      </c>
      <c r="G90" s="129">
        <v>3.2</v>
      </c>
      <c r="H90" s="129">
        <v>4.1702879501568324</v>
      </c>
      <c r="I90" s="129">
        <v>5.1445951748310792</v>
      </c>
      <c r="J90" s="129">
        <v>5.4454280216564559</v>
      </c>
      <c r="K90" s="129">
        <v>5.4561620320464375</v>
      </c>
      <c r="L90" s="129">
        <v>5.3</v>
      </c>
      <c r="M90" s="129">
        <v>5.4</v>
      </c>
      <c r="N90" s="129">
        <v>5.5</v>
      </c>
      <c r="O90" s="129">
        <v>5.8</v>
      </c>
      <c r="P90" s="129">
        <v>6.2</v>
      </c>
      <c r="Q90" s="129">
        <v>5.8</v>
      </c>
      <c r="R90" s="129">
        <v>6.2</v>
      </c>
      <c r="S90" s="129">
        <v>5.3</v>
      </c>
      <c r="T90" s="47">
        <v>3.3</v>
      </c>
      <c r="U90" s="131">
        <v>4</v>
      </c>
      <c r="V90" s="131">
        <v>4</v>
      </c>
      <c r="W90" s="131">
        <v>4.2</v>
      </c>
      <c r="X90" s="147">
        <v>3.8966492341507326</v>
      </c>
      <c r="Y90" s="147">
        <v>4.3225834952135704</v>
      </c>
      <c r="Z90" s="147">
        <v>4.6042250257344772</v>
      </c>
    </row>
    <row r="91" spans="1:26" x14ac:dyDescent="0.25">
      <c r="A91" s="9" t="s">
        <v>75</v>
      </c>
      <c r="B91" s="47">
        <v>2.5511892070727491</v>
      </c>
      <c r="C91" s="47">
        <v>1.953416263703813</v>
      </c>
      <c r="D91" s="47">
        <v>1.8076937344660016</v>
      </c>
      <c r="E91" s="47">
        <v>2.6938535905678203</v>
      </c>
      <c r="F91" s="47">
        <v>3.4051554472936845</v>
      </c>
      <c r="G91" s="129">
        <v>3.7</v>
      </c>
      <c r="H91" s="129">
        <v>5.8784831823476509</v>
      </c>
      <c r="I91" s="129">
        <v>6.3040627064066355</v>
      </c>
      <c r="J91" s="129">
        <v>6.9358328687649413</v>
      </c>
      <c r="K91" s="129">
        <v>6.3462735650269897</v>
      </c>
      <c r="L91" s="129">
        <v>7.2</v>
      </c>
      <c r="M91" s="129">
        <v>9</v>
      </c>
      <c r="N91" s="129">
        <v>9.3000000000000007</v>
      </c>
      <c r="O91" s="129">
        <v>10.5</v>
      </c>
      <c r="P91" s="129">
        <v>12.8</v>
      </c>
      <c r="Q91" s="129">
        <v>15.7</v>
      </c>
      <c r="R91" s="129">
        <v>13.3</v>
      </c>
      <c r="S91" s="129">
        <v>9.4</v>
      </c>
      <c r="T91" s="47">
        <v>8.9</v>
      </c>
      <c r="U91" s="131">
        <v>9.1999999999999993</v>
      </c>
      <c r="V91" s="131">
        <v>11</v>
      </c>
      <c r="W91" s="131">
        <v>10.7</v>
      </c>
      <c r="X91" s="147">
        <v>11.298414559428359</v>
      </c>
      <c r="Y91" s="147">
        <v>16.783916610163907</v>
      </c>
      <c r="Z91" s="147">
        <v>14.884671503524345</v>
      </c>
    </row>
    <row r="92" spans="1:26" x14ac:dyDescent="0.25">
      <c r="A92" s="9" t="s">
        <v>76</v>
      </c>
      <c r="B92" s="47">
        <v>1.4821084309023371</v>
      </c>
      <c r="C92" s="47">
        <v>1.0028490028490029</v>
      </c>
      <c r="D92" s="47">
        <v>1.3606062059373651</v>
      </c>
      <c r="E92" s="47">
        <v>1.8080685787040334</v>
      </c>
      <c r="F92" s="47">
        <v>3.2822489400102572</v>
      </c>
      <c r="G92" s="129">
        <v>4.7</v>
      </c>
      <c r="H92" s="129">
        <v>6.119560052443421</v>
      </c>
      <c r="I92" s="129">
        <v>7.2316975648130448</v>
      </c>
      <c r="J92" s="129">
        <v>7.0258623071655757</v>
      </c>
      <c r="K92" s="129">
        <v>3.8190195634111337</v>
      </c>
      <c r="L92" s="129">
        <v>4.8</v>
      </c>
      <c r="M92" s="129">
        <v>5.4</v>
      </c>
      <c r="N92" s="129">
        <v>5.2</v>
      </c>
      <c r="O92" s="129">
        <v>6.3</v>
      </c>
      <c r="P92" s="129">
        <v>6.7</v>
      </c>
      <c r="Q92" s="129">
        <v>6.2</v>
      </c>
      <c r="R92" s="129">
        <v>6.3</v>
      </c>
      <c r="S92" s="129">
        <v>3.4</v>
      </c>
      <c r="T92" s="47">
        <v>4.0999999999999996</v>
      </c>
      <c r="U92" s="131">
        <v>3.5</v>
      </c>
      <c r="V92" s="131">
        <v>3.7</v>
      </c>
      <c r="W92" s="131">
        <v>4.2</v>
      </c>
      <c r="X92" s="147">
        <v>4.2301009881637528</v>
      </c>
      <c r="Y92" s="147">
        <v>4.3203753458285767</v>
      </c>
      <c r="Z92" s="147">
        <v>5.223654074339799</v>
      </c>
    </row>
    <row r="93" spans="1:26" x14ac:dyDescent="0.25">
      <c r="A93" s="9" t="s">
        <v>77</v>
      </c>
      <c r="B93" s="47">
        <v>2.4704099990531203</v>
      </c>
      <c r="C93" s="47">
        <v>2.7671102661596958</v>
      </c>
      <c r="D93" s="47">
        <v>2.8023289109477902</v>
      </c>
      <c r="E93" s="47">
        <v>3.4202195160816551</v>
      </c>
      <c r="F93" s="47">
        <v>4.3861006549652402</v>
      </c>
      <c r="G93" s="129">
        <v>5.0999999999999996</v>
      </c>
      <c r="H93" s="129">
        <v>5.6160237887304403</v>
      </c>
      <c r="I93" s="129">
        <v>6.1775082098400977</v>
      </c>
      <c r="J93" s="129">
        <v>7.2202271324647809</v>
      </c>
      <c r="K93" s="129">
        <v>5.7265099180989374</v>
      </c>
      <c r="L93" s="129">
        <v>6</v>
      </c>
      <c r="M93" s="129">
        <v>7.1</v>
      </c>
      <c r="N93" s="129">
        <v>7.4</v>
      </c>
      <c r="O93" s="129">
        <v>7.5</v>
      </c>
      <c r="P93" s="129">
        <v>7.6</v>
      </c>
      <c r="Q93" s="129">
        <v>9.5</v>
      </c>
      <c r="R93" s="129">
        <v>6.8</v>
      </c>
      <c r="S93" s="129">
        <v>7.1</v>
      </c>
      <c r="T93" s="47">
        <v>6.2</v>
      </c>
      <c r="U93" s="131">
        <v>5.8</v>
      </c>
      <c r="V93" s="131">
        <v>5.7</v>
      </c>
      <c r="W93" s="131">
        <v>5.6</v>
      </c>
      <c r="X93" s="147">
        <v>3.6702678983484267</v>
      </c>
      <c r="Y93" s="147">
        <v>6.2553328764796046</v>
      </c>
      <c r="Z93" s="147">
        <v>6.9501783869518299</v>
      </c>
    </row>
    <row r="94" spans="1:26" ht="18" x14ac:dyDescent="0.25">
      <c r="A94" s="8" t="s">
        <v>144</v>
      </c>
      <c r="B94" s="46">
        <v>1.5711857297392762</v>
      </c>
      <c r="C94" s="46">
        <v>1.8257071361544308</v>
      </c>
      <c r="D94" s="46">
        <v>1.519477732473429</v>
      </c>
      <c r="E94" s="46">
        <v>1.7125632945352272</v>
      </c>
      <c r="F94" s="46">
        <v>1.6923010837982122</v>
      </c>
      <c r="G94" s="123">
        <v>2</v>
      </c>
      <c r="H94" s="123">
        <v>2.2434767759282059</v>
      </c>
      <c r="I94" s="123">
        <v>2.7796204187228706</v>
      </c>
      <c r="J94" s="123">
        <v>3.1838176321028082</v>
      </c>
      <c r="K94" s="123">
        <v>3.243875178252547</v>
      </c>
      <c r="L94" s="123">
        <v>3.7521381340495945</v>
      </c>
      <c r="M94" s="123">
        <v>4.4000000000000004</v>
      </c>
      <c r="N94" s="123">
        <v>4.7</v>
      </c>
      <c r="O94" s="123">
        <v>5</v>
      </c>
      <c r="P94" s="123">
        <v>5.7</v>
      </c>
      <c r="Q94" s="123">
        <v>5.3</v>
      </c>
      <c r="R94" s="123">
        <v>5.0999999999999996</v>
      </c>
      <c r="S94" s="123">
        <v>4.8</v>
      </c>
      <c r="T94" s="46">
        <v>4.0999999999999996</v>
      </c>
      <c r="U94" s="123">
        <v>4.4000000000000004</v>
      </c>
      <c r="V94" s="123">
        <v>4.5999999999999996</v>
      </c>
      <c r="W94" s="123">
        <v>5.2</v>
      </c>
      <c r="X94" s="166">
        <v>6.0664984713719345</v>
      </c>
      <c r="Y94" s="166">
        <v>7.9710759880776134</v>
      </c>
      <c r="Z94" s="166">
        <v>8.6677729949689279</v>
      </c>
    </row>
    <row r="95" spans="1:26" x14ac:dyDescent="0.25">
      <c r="A95" s="9" t="s">
        <v>67</v>
      </c>
      <c r="B95" s="47">
        <v>2.0841242881406736</v>
      </c>
      <c r="C95" s="47">
        <v>2.4150791250881967</v>
      </c>
      <c r="D95" s="47">
        <v>2.3286556843603825</v>
      </c>
      <c r="E95" s="47">
        <v>2.3498515479237687</v>
      </c>
      <c r="F95" s="47">
        <v>2.3725865510938773</v>
      </c>
      <c r="G95" s="129">
        <v>2.5</v>
      </c>
      <c r="H95" s="129">
        <v>3.0359886844187094</v>
      </c>
      <c r="I95" s="129">
        <v>3.5683600571683827</v>
      </c>
      <c r="J95" s="129">
        <v>4.2200033958810446</v>
      </c>
      <c r="K95" s="129">
        <v>3.5768696451534603</v>
      </c>
      <c r="L95" s="129">
        <v>4</v>
      </c>
      <c r="M95" s="129">
        <v>4.9000000000000004</v>
      </c>
      <c r="N95" s="129">
        <v>5.6</v>
      </c>
      <c r="O95" s="129">
        <v>6.3</v>
      </c>
      <c r="P95" s="129">
        <v>6.7</v>
      </c>
      <c r="Q95" s="129">
        <v>7.2</v>
      </c>
      <c r="R95" s="129">
        <v>5.8</v>
      </c>
      <c r="S95" s="129">
        <v>5</v>
      </c>
      <c r="T95" s="47">
        <v>4.3</v>
      </c>
      <c r="U95" s="131">
        <v>3.6</v>
      </c>
      <c r="V95" s="131">
        <v>4.3</v>
      </c>
      <c r="W95" s="131">
        <v>3.8</v>
      </c>
      <c r="X95" s="147">
        <v>3.4835960626453204</v>
      </c>
      <c r="Y95" s="147">
        <v>6.1142182728146555</v>
      </c>
      <c r="Z95" s="147">
        <v>6.3199283604211907</v>
      </c>
    </row>
    <row r="96" spans="1:26" x14ac:dyDescent="0.25">
      <c r="A96" s="9" t="s">
        <v>78</v>
      </c>
      <c r="B96" s="47">
        <v>3.5510416666666669</v>
      </c>
      <c r="C96" s="47">
        <v>5.7286537454164481</v>
      </c>
      <c r="D96" s="47">
        <v>4.0111567203452267</v>
      </c>
      <c r="E96" s="47">
        <v>3.9565912638970522</v>
      </c>
      <c r="F96" s="47">
        <v>3.5667408248902603</v>
      </c>
      <c r="G96" s="129">
        <v>4</v>
      </c>
      <c r="H96" s="129">
        <v>3.8398485835062379</v>
      </c>
      <c r="I96" s="129">
        <v>5.1048861948754798</v>
      </c>
      <c r="J96" s="129">
        <v>4.3777099861031701</v>
      </c>
      <c r="K96" s="129">
        <v>4.8142500967963793</v>
      </c>
      <c r="L96" s="129">
        <v>5.0999999999999996</v>
      </c>
      <c r="M96" s="129">
        <v>4.9000000000000004</v>
      </c>
      <c r="N96" s="129">
        <v>5.8</v>
      </c>
      <c r="O96" s="129">
        <v>6.7</v>
      </c>
      <c r="P96" s="129">
        <v>7.6</v>
      </c>
      <c r="Q96" s="129">
        <v>9.1</v>
      </c>
      <c r="R96" s="129">
        <v>10.1</v>
      </c>
      <c r="S96" s="129">
        <v>11.2</v>
      </c>
      <c r="T96" s="47">
        <v>8.6</v>
      </c>
      <c r="U96" s="131">
        <v>9.6999999999999993</v>
      </c>
      <c r="V96" s="131">
        <v>9</v>
      </c>
      <c r="W96" s="131">
        <v>8.6</v>
      </c>
      <c r="X96" s="147">
        <v>8.7527453301626004</v>
      </c>
      <c r="Y96" s="147">
        <v>11.271745630655538</v>
      </c>
      <c r="Z96" s="147">
        <v>11.421377401388648</v>
      </c>
    </row>
    <row r="97" spans="1:26" x14ac:dyDescent="0.25">
      <c r="A97" s="9" t="s">
        <v>71</v>
      </c>
      <c r="B97" s="47">
        <v>0.76066790352504643</v>
      </c>
      <c r="C97" s="47">
        <v>0.95469669823393921</v>
      </c>
      <c r="D97" s="47">
        <v>0.88006902502157036</v>
      </c>
      <c r="E97" s="47">
        <v>1.3349122242931371</v>
      </c>
      <c r="F97" s="129">
        <v>1.7244819302947176</v>
      </c>
      <c r="G97" s="129">
        <v>1.6</v>
      </c>
      <c r="H97" s="129">
        <v>2.2381358695894962</v>
      </c>
      <c r="I97" s="129">
        <v>2.877055504805123</v>
      </c>
      <c r="J97" s="129">
        <v>3.2936539744955722</v>
      </c>
      <c r="K97" s="129">
        <v>3.4451853962368948</v>
      </c>
      <c r="L97" s="129">
        <v>3.8</v>
      </c>
      <c r="M97" s="129">
        <v>3.9</v>
      </c>
      <c r="N97" s="129">
        <v>4.0999999999999996</v>
      </c>
      <c r="O97" s="129">
        <v>4.0999999999999996</v>
      </c>
      <c r="P97" s="129">
        <v>4.5999999999999996</v>
      </c>
      <c r="Q97" s="129">
        <v>3.6</v>
      </c>
      <c r="R97" s="129">
        <v>4.0999999999999996</v>
      </c>
      <c r="S97" s="129">
        <v>4</v>
      </c>
      <c r="T97" s="47">
        <v>2.5</v>
      </c>
      <c r="U97" s="131">
        <v>2.7</v>
      </c>
      <c r="V97" s="131">
        <v>2.1</v>
      </c>
      <c r="W97" s="131">
        <v>2.5</v>
      </c>
      <c r="X97" s="147">
        <v>3.1250188163464379</v>
      </c>
      <c r="Y97" s="147">
        <v>4.8502041658741497</v>
      </c>
      <c r="Z97" s="147">
        <v>5.9200338171516362</v>
      </c>
    </row>
    <row r="98" spans="1:26" x14ac:dyDescent="0.25">
      <c r="A98" s="9" t="s">
        <v>79</v>
      </c>
      <c r="B98" s="47">
        <v>0.28965890633459668</v>
      </c>
      <c r="C98" s="47">
        <v>0.46703296703296704</v>
      </c>
      <c r="D98" s="47">
        <v>0.43357420789327406</v>
      </c>
      <c r="E98" s="47">
        <v>0.51381368325362631</v>
      </c>
      <c r="F98" s="129">
        <v>0.42049601248815555</v>
      </c>
      <c r="G98" s="129">
        <v>0.5</v>
      </c>
      <c r="H98" s="129">
        <v>1.0638234113070943</v>
      </c>
      <c r="I98" s="129">
        <v>0.92598495957544347</v>
      </c>
      <c r="J98" s="129">
        <v>2.6763513430751709</v>
      </c>
      <c r="K98" s="129">
        <v>2.7793887195686242</v>
      </c>
      <c r="L98" s="129">
        <v>2.4</v>
      </c>
      <c r="M98" s="129">
        <v>3.7</v>
      </c>
      <c r="N98" s="129">
        <v>3.2</v>
      </c>
      <c r="O98" s="129">
        <v>3.6</v>
      </c>
      <c r="P98" s="129">
        <v>3.9</v>
      </c>
      <c r="Q98" s="129">
        <v>2.9</v>
      </c>
      <c r="R98" s="129">
        <v>2.9</v>
      </c>
      <c r="S98" s="129">
        <v>2.7</v>
      </c>
      <c r="T98" s="47">
        <v>1.1000000000000001</v>
      </c>
      <c r="U98" s="131">
        <v>2</v>
      </c>
      <c r="V98" s="131">
        <v>3.1</v>
      </c>
      <c r="W98" s="131">
        <v>2.5</v>
      </c>
      <c r="X98" s="147">
        <v>2.3477162415969324</v>
      </c>
      <c r="Y98" s="147">
        <v>3.2795542080353997</v>
      </c>
      <c r="Z98" s="147">
        <v>3.1395759839763802</v>
      </c>
    </row>
    <row r="99" spans="1:26" x14ac:dyDescent="0.25">
      <c r="A99" s="9" t="s">
        <v>80</v>
      </c>
      <c r="B99" s="47">
        <v>1.2183789364997419</v>
      </c>
      <c r="C99" s="47">
        <v>1.3946079596785699</v>
      </c>
      <c r="D99" s="47">
        <v>0.96026968456537443</v>
      </c>
      <c r="E99" s="47">
        <v>1.2264560764484476</v>
      </c>
      <c r="F99" s="129">
        <v>1.1204432324296694</v>
      </c>
      <c r="G99" s="129">
        <v>1.4</v>
      </c>
      <c r="H99" s="129">
        <v>1.7831772594337687</v>
      </c>
      <c r="I99" s="129">
        <v>1.8129225319795501</v>
      </c>
      <c r="J99" s="129">
        <v>2.0435805070896995</v>
      </c>
      <c r="K99" s="129">
        <v>1.8832056684236476</v>
      </c>
      <c r="L99" s="129">
        <v>3.4</v>
      </c>
      <c r="M99" s="129">
        <v>4</v>
      </c>
      <c r="N99" s="129">
        <v>4</v>
      </c>
      <c r="O99" s="129">
        <v>4</v>
      </c>
      <c r="P99" s="129">
        <v>4</v>
      </c>
      <c r="Q99" s="129">
        <v>3.2</v>
      </c>
      <c r="R99" s="129">
        <v>3.5</v>
      </c>
      <c r="S99" s="129">
        <v>2.8</v>
      </c>
      <c r="T99" s="129">
        <v>3.8</v>
      </c>
      <c r="U99" s="131">
        <v>3.7</v>
      </c>
      <c r="V99" s="131">
        <v>5.0999999999999996</v>
      </c>
      <c r="W99" s="131">
        <v>6.4</v>
      </c>
      <c r="X99" s="147">
        <v>7.7795910077221606</v>
      </c>
      <c r="Y99" s="147">
        <v>9.3497091529917213</v>
      </c>
      <c r="Z99" s="147">
        <v>9.9848517816276932</v>
      </c>
    </row>
    <row r="100" spans="1:26" x14ac:dyDescent="0.25">
      <c r="A100" s="9" t="s">
        <v>81</v>
      </c>
      <c r="B100" s="47">
        <v>1.5795214397709454</v>
      </c>
      <c r="C100" s="47">
        <v>1.5017205781142464</v>
      </c>
      <c r="D100" s="47">
        <v>1.2137203166226913</v>
      </c>
      <c r="E100" s="47">
        <v>1.5008072364308152</v>
      </c>
      <c r="F100" s="129">
        <v>1.7077707122299703</v>
      </c>
      <c r="G100" s="129">
        <v>2.1</v>
      </c>
      <c r="H100" s="129">
        <v>2.1965137927178073</v>
      </c>
      <c r="I100" s="129">
        <v>2.5446248667460849</v>
      </c>
      <c r="J100" s="129">
        <v>3.1352897482233728</v>
      </c>
      <c r="K100" s="129">
        <v>4.0920591093309318</v>
      </c>
      <c r="L100" s="129">
        <v>3.4</v>
      </c>
      <c r="M100" s="129">
        <v>4.2</v>
      </c>
      <c r="N100" s="129">
        <v>3.5</v>
      </c>
      <c r="O100" s="129">
        <v>3.4</v>
      </c>
      <c r="P100" s="129">
        <v>5.0999999999999996</v>
      </c>
      <c r="Q100" s="129">
        <v>4.7</v>
      </c>
      <c r="R100" s="129">
        <v>3.8</v>
      </c>
      <c r="S100" s="129">
        <v>2.8</v>
      </c>
      <c r="T100" s="129">
        <v>3</v>
      </c>
      <c r="U100" s="131">
        <v>3.1</v>
      </c>
      <c r="V100" s="131">
        <v>2.2999999999999998</v>
      </c>
      <c r="W100" s="131">
        <v>3.3</v>
      </c>
      <c r="X100" s="147">
        <v>3.9179557708740971</v>
      </c>
      <c r="Y100" s="147">
        <v>6.156375208705569</v>
      </c>
      <c r="Z100" s="147">
        <v>6.119249731543098</v>
      </c>
    </row>
    <row r="101" spans="1:26" x14ac:dyDescent="0.25">
      <c r="A101" s="9" t="s">
        <v>82</v>
      </c>
      <c r="B101" s="47">
        <v>1.8035080167868289</v>
      </c>
      <c r="C101" s="47">
        <v>1.3901003052769296</v>
      </c>
      <c r="D101" s="47">
        <v>1.548223350253807</v>
      </c>
      <c r="E101" s="47">
        <v>1.726273797757633</v>
      </c>
      <c r="F101" s="129">
        <v>1.2010443864229765</v>
      </c>
      <c r="G101" s="129">
        <v>2.1</v>
      </c>
      <c r="H101" s="129">
        <v>2.1582674966317237</v>
      </c>
      <c r="I101" s="129">
        <v>3.1048057814764292</v>
      </c>
      <c r="J101" s="129">
        <v>3.3449028552280891</v>
      </c>
      <c r="K101" s="129">
        <v>2.80563564734546</v>
      </c>
      <c r="L101" s="129">
        <v>3.3</v>
      </c>
      <c r="M101" s="129">
        <v>4.7</v>
      </c>
      <c r="N101" s="129">
        <v>6.9</v>
      </c>
      <c r="O101" s="129">
        <v>7.9</v>
      </c>
      <c r="P101" s="129">
        <v>7.7</v>
      </c>
      <c r="Q101" s="129">
        <v>5.7</v>
      </c>
      <c r="R101" s="129">
        <v>4.9000000000000004</v>
      </c>
      <c r="S101" s="129">
        <v>4.2</v>
      </c>
      <c r="T101" s="129">
        <v>3.5</v>
      </c>
      <c r="U101" s="131">
        <v>4.0999999999999996</v>
      </c>
      <c r="V101" s="131">
        <v>2.8</v>
      </c>
      <c r="W101" s="131">
        <v>3.6</v>
      </c>
      <c r="X101" s="147">
        <v>6.9357192746039624</v>
      </c>
      <c r="Y101" s="147">
        <v>9.1790091448713671</v>
      </c>
      <c r="Z101" s="147">
        <v>13.819182398305401</v>
      </c>
    </row>
    <row r="102" spans="1:26" x14ac:dyDescent="0.25">
      <c r="A102" s="9" t="s">
        <v>83</v>
      </c>
      <c r="B102" s="47">
        <v>0.5</v>
      </c>
      <c r="C102" s="47">
        <v>0.55089192025183631</v>
      </c>
      <c r="D102" s="47">
        <v>0.20054200542005421</v>
      </c>
      <c r="E102" s="47">
        <v>0.69463353913009651</v>
      </c>
      <c r="F102" s="129">
        <v>0.39203877206638521</v>
      </c>
      <c r="G102" s="129">
        <v>0.9</v>
      </c>
      <c r="H102" s="129">
        <v>1.1503112955825676</v>
      </c>
      <c r="I102" s="129">
        <v>1.9462543669837893</v>
      </c>
      <c r="J102" s="129">
        <v>1.5941895177422831</v>
      </c>
      <c r="K102" s="129">
        <v>1.6940570478399208</v>
      </c>
      <c r="L102" s="129">
        <v>1.7</v>
      </c>
      <c r="M102" s="129">
        <v>1.7</v>
      </c>
      <c r="N102" s="129">
        <v>2.5</v>
      </c>
      <c r="O102" s="129">
        <v>1.9</v>
      </c>
      <c r="P102" s="129">
        <v>1.4</v>
      </c>
      <c r="Q102" s="129">
        <v>2.6</v>
      </c>
      <c r="R102" s="129">
        <v>0.6</v>
      </c>
      <c r="S102" s="129">
        <v>0.6</v>
      </c>
      <c r="T102" s="129">
        <v>0.3</v>
      </c>
      <c r="U102" s="131">
        <v>0.7</v>
      </c>
      <c r="V102" s="131">
        <v>1</v>
      </c>
      <c r="W102" s="131">
        <v>1.3</v>
      </c>
      <c r="X102" s="147">
        <v>1.3552209898372061</v>
      </c>
      <c r="Y102" s="147">
        <v>0.94881622102188257</v>
      </c>
      <c r="Z102" s="147">
        <v>1.1055436689749245</v>
      </c>
    </row>
    <row r="103" spans="1:26" x14ac:dyDescent="0.25">
      <c r="A103" s="9" t="s">
        <v>84</v>
      </c>
      <c r="B103" s="47">
        <v>1.5763372298972724</v>
      </c>
      <c r="C103" s="47">
        <v>0.71210213990289517</v>
      </c>
      <c r="D103" s="47">
        <v>0.96609551585854903</v>
      </c>
      <c r="E103" s="47">
        <v>0.74321263831242657</v>
      </c>
      <c r="F103" s="129">
        <v>0.90943525008531811</v>
      </c>
      <c r="G103" s="129">
        <v>0.9</v>
      </c>
      <c r="H103" s="129">
        <v>1.1135017891421977</v>
      </c>
      <c r="I103" s="129">
        <v>2.2486938022088041</v>
      </c>
      <c r="J103" s="129">
        <v>3.9654526452783312</v>
      </c>
      <c r="K103" s="129">
        <v>3.5381483955093347</v>
      </c>
      <c r="L103" s="129">
        <v>5.0999999999999996</v>
      </c>
      <c r="M103" s="129">
        <v>6.5</v>
      </c>
      <c r="N103" s="129">
        <v>5.5</v>
      </c>
      <c r="O103" s="129">
        <v>7.8</v>
      </c>
      <c r="P103" s="129">
        <v>9.1</v>
      </c>
      <c r="Q103" s="129">
        <v>9.1999999999999993</v>
      </c>
      <c r="R103" s="129">
        <v>9.1</v>
      </c>
      <c r="S103" s="129">
        <v>9.6</v>
      </c>
      <c r="T103" s="129">
        <v>7.7</v>
      </c>
      <c r="U103" s="131">
        <v>9.3000000000000007</v>
      </c>
      <c r="V103" s="131">
        <v>12.9</v>
      </c>
      <c r="W103" s="131">
        <v>14.8</v>
      </c>
      <c r="X103" s="147">
        <v>15.444490493705642</v>
      </c>
      <c r="Y103" s="147">
        <v>16.625169094438018</v>
      </c>
      <c r="Z103" s="147">
        <v>15.083239727793634</v>
      </c>
    </row>
    <row r="104" spans="1:26" ht="19.5" x14ac:dyDescent="0.25">
      <c r="A104" s="9" t="s">
        <v>85</v>
      </c>
      <c r="B104" s="47">
        <v>0.74150360453141095</v>
      </c>
      <c r="C104" s="47">
        <v>0.65974025974025974</v>
      </c>
      <c r="D104" s="47">
        <v>1.354602510460251</v>
      </c>
      <c r="E104" s="47">
        <v>0.99208966801935627</v>
      </c>
      <c r="F104" s="129">
        <v>1.0209099461216111</v>
      </c>
      <c r="G104" s="129">
        <v>1.3</v>
      </c>
      <c r="H104" s="129">
        <v>1.7116363575935167</v>
      </c>
      <c r="I104" s="129">
        <v>2.1333869472461435</v>
      </c>
      <c r="J104" s="129">
        <v>3.6316762876197952</v>
      </c>
      <c r="K104" s="129">
        <v>4.2289004858736732</v>
      </c>
      <c r="L104" s="129">
        <v>4.5999999999999996</v>
      </c>
      <c r="M104" s="129">
        <v>4.5999999999999996</v>
      </c>
      <c r="N104" s="129">
        <v>5.2</v>
      </c>
      <c r="O104" s="129">
        <v>4.9000000000000004</v>
      </c>
      <c r="P104" s="129">
        <v>9</v>
      </c>
      <c r="Q104" s="129">
        <v>5</v>
      </c>
      <c r="R104" s="129">
        <v>7.6</v>
      </c>
      <c r="S104" s="129">
        <v>5</v>
      </c>
      <c r="T104" s="129">
        <v>2.2999999999999998</v>
      </c>
      <c r="U104" s="131">
        <v>1.9</v>
      </c>
      <c r="V104" s="131">
        <v>1.2</v>
      </c>
      <c r="W104" s="131">
        <v>2.5</v>
      </c>
      <c r="X104" s="147">
        <v>1.683286313535642</v>
      </c>
      <c r="Y104" s="147">
        <v>1.7117915842597011</v>
      </c>
      <c r="Z104" s="147">
        <v>3.1767908210729425</v>
      </c>
    </row>
    <row r="105" spans="1:26" ht="20.25" thickBot="1" x14ac:dyDescent="0.3">
      <c r="A105" s="71" t="s">
        <v>86</v>
      </c>
      <c r="B105" s="161">
        <v>0.13422818791946309</v>
      </c>
      <c r="C105" s="161">
        <v>3.0496453900709222</v>
      </c>
      <c r="D105" s="161">
        <v>3.7822878228782284</v>
      </c>
      <c r="E105" s="161">
        <v>6.2624916722185207</v>
      </c>
      <c r="F105" s="128">
        <v>7.6338820989320277</v>
      </c>
      <c r="G105" s="128">
        <v>6.8</v>
      </c>
      <c r="H105" s="128">
        <v>2.8299019980247664</v>
      </c>
      <c r="I105" s="128">
        <v>2.7804573568631903</v>
      </c>
      <c r="J105" s="128">
        <v>0.53351625319157037</v>
      </c>
      <c r="K105" s="128">
        <v>1.7615858143946725</v>
      </c>
      <c r="L105" s="128">
        <v>0.2</v>
      </c>
      <c r="M105" s="128">
        <v>0.9</v>
      </c>
      <c r="N105" s="128">
        <v>0.5</v>
      </c>
      <c r="O105" s="128">
        <v>0.2</v>
      </c>
      <c r="P105" s="128">
        <v>0.6</v>
      </c>
      <c r="Q105" s="128">
        <v>0.9</v>
      </c>
      <c r="R105" s="128">
        <v>1.1000000000000001</v>
      </c>
      <c r="S105" s="128">
        <v>1.5</v>
      </c>
      <c r="T105" s="128">
        <v>0.7</v>
      </c>
      <c r="U105" s="132">
        <v>0.4</v>
      </c>
      <c r="V105" s="132">
        <v>0.6</v>
      </c>
      <c r="W105" s="132">
        <v>1.1000000000000001</v>
      </c>
      <c r="X105" s="162">
        <v>1.2115388632423285</v>
      </c>
      <c r="Y105" s="162">
        <v>2.7120058412433505</v>
      </c>
      <c r="Z105" s="162">
        <v>2.2962591850367402</v>
      </c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Z106" s="1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29"/>
  <sheetViews>
    <sheetView topLeftCell="A82" zoomScale="80" zoomScaleNormal="80" workbookViewId="0">
      <pane xSplit="1" topLeftCell="B1" activePane="topRight" state="frozen"/>
      <selection pane="topRight" activeCell="C1" sqref="C1"/>
    </sheetView>
  </sheetViews>
  <sheetFormatPr defaultColWidth="9.140625" defaultRowHeight="15" x14ac:dyDescent="0.25"/>
  <cols>
    <col min="1" max="1" width="18.7109375" style="1" customWidth="1"/>
    <col min="2" max="24" width="9.140625" style="1"/>
    <col min="25" max="25" width="9.140625" style="12"/>
    <col min="26" max="16384" width="9.140625" style="1"/>
  </cols>
  <sheetData>
    <row r="1" spans="1:27" ht="30.75" customHeight="1" x14ac:dyDescent="0.25"/>
    <row r="2" spans="1:27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7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7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7" x14ac:dyDescent="0.25">
      <c r="A5" s="11" t="s">
        <v>217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Z5" s="12"/>
      <c r="AA5" s="12"/>
    </row>
    <row r="6" spans="1:27" ht="15.75" thickBot="1" x14ac:dyDescent="0.3">
      <c r="A6" s="24" t="s">
        <v>187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Z6" s="12"/>
      <c r="AA6" s="12"/>
    </row>
    <row r="7" spans="1:27" ht="15.75" thickBot="1" x14ac:dyDescent="0.3">
      <c r="A7" s="69"/>
      <c r="B7" s="80">
        <v>2000</v>
      </c>
      <c r="C7" s="80">
        <v>2001</v>
      </c>
      <c r="D7" s="168">
        <v>2002</v>
      </c>
      <c r="E7" s="168">
        <v>2003</v>
      </c>
      <c r="F7" s="168">
        <v>2004</v>
      </c>
      <c r="G7" s="168">
        <v>2005</v>
      </c>
      <c r="H7" s="168">
        <v>2006</v>
      </c>
      <c r="I7" s="168">
        <v>2007</v>
      </c>
      <c r="J7" s="168">
        <v>2008</v>
      </c>
      <c r="K7" s="168">
        <v>2009</v>
      </c>
      <c r="L7" s="168">
        <v>2010</v>
      </c>
      <c r="M7" s="168">
        <v>2011</v>
      </c>
      <c r="N7" s="168">
        <v>2012</v>
      </c>
      <c r="O7" s="168">
        <v>2013</v>
      </c>
      <c r="P7" s="168">
        <v>2014</v>
      </c>
      <c r="Q7" s="168">
        <v>2015</v>
      </c>
      <c r="R7" s="168">
        <v>2016</v>
      </c>
      <c r="S7" s="168">
        <v>2017</v>
      </c>
      <c r="T7" s="2">
        <v>2018</v>
      </c>
      <c r="U7" s="2">
        <v>2019</v>
      </c>
      <c r="V7" s="2">
        <v>2020</v>
      </c>
      <c r="W7" s="2">
        <v>2021</v>
      </c>
      <c r="X7" s="2">
        <v>2022</v>
      </c>
      <c r="Y7" s="2">
        <v>2023</v>
      </c>
      <c r="Z7" s="2">
        <v>2024</v>
      </c>
      <c r="AA7" s="12"/>
    </row>
    <row r="8" spans="1:27" x14ac:dyDescent="0.25">
      <c r="A8" s="29" t="s">
        <v>184</v>
      </c>
      <c r="B8" s="81">
        <v>720</v>
      </c>
      <c r="C8" s="81">
        <v>647.79999999999995</v>
      </c>
      <c r="D8" s="126">
        <v>583.70000000000005</v>
      </c>
      <c r="E8" s="126">
        <v>499.7</v>
      </c>
      <c r="F8" s="126">
        <v>492.6</v>
      </c>
      <c r="G8" s="126">
        <v>601.9</v>
      </c>
      <c r="H8" s="126">
        <v>591.79999999999995</v>
      </c>
      <c r="I8" s="126">
        <v>945.7</v>
      </c>
      <c r="J8" s="126">
        <v>597.6</v>
      </c>
      <c r="K8" s="126">
        <v>455.9</v>
      </c>
      <c r="L8" s="126">
        <v>327.2</v>
      </c>
      <c r="M8" s="126">
        <v>361.2</v>
      </c>
      <c r="N8" s="126">
        <v>269.8</v>
      </c>
      <c r="O8" s="126">
        <v>469.3</v>
      </c>
      <c r="P8" s="126">
        <v>369</v>
      </c>
      <c r="Q8" s="126">
        <v>615.1</v>
      </c>
      <c r="R8" s="119">
        <v>1000</v>
      </c>
      <c r="S8" s="126">
        <v>783.4</v>
      </c>
      <c r="T8" s="120">
        <v>384.3</v>
      </c>
      <c r="U8" s="130">
        <v>999.6</v>
      </c>
      <c r="V8" s="130">
        <v>843.1</v>
      </c>
      <c r="W8" s="130">
        <v>707.93399999999997</v>
      </c>
      <c r="X8" s="124">
        <v>492.84199999999998</v>
      </c>
      <c r="Y8" s="124">
        <v>989.03499999999997</v>
      </c>
      <c r="Z8" s="124">
        <v>582.17499999999995</v>
      </c>
      <c r="AA8" s="12"/>
    </row>
    <row r="9" spans="1:27" ht="18" x14ac:dyDescent="0.25">
      <c r="A9" s="8" t="s">
        <v>92</v>
      </c>
      <c r="B9" s="82">
        <v>152.6</v>
      </c>
      <c r="C9" s="82">
        <v>79.900000000000006</v>
      </c>
      <c r="D9" s="120">
        <v>111.3</v>
      </c>
      <c r="E9" s="120">
        <v>88.6</v>
      </c>
      <c r="F9" s="120">
        <v>101.9</v>
      </c>
      <c r="G9" s="120">
        <v>124.6</v>
      </c>
      <c r="H9" s="123">
        <v>61</v>
      </c>
      <c r="I9" s="120">
        <v>134.9</v>
      </c>
      <c r="J9" s="120">
        <v>59.9</v>
      </c>
      <c r="K9" s="120">
        <v>188.1</v>
      </c>
      <c r="L9" s="120">
        <v>58.9</v>
      </c>
      <c r="M9" s="123">
        <v>76</v>
      </c>
      <c r="N9" s="123">
        <v>34</v>
      </c>
      <c r="O9" s="120">
        <v>62.9</v>
      </c>
      <c r="P9" s="120">
        <v>31.1</v>
      </c>
      <c r="Q9" s="120">
        <v>79.8</v>
      </c>
      <c r="R9" s="120">
        <v>105.5</v>
      </c>
      <c r="S9" s="120">
        <v>42.9</v>
      </c>
      <c r="T9" s="133">
        <v>13.1</v>
      </c>
      <c r="U9" s="130">
        <v>55.9</v>
      </c>
      <c r="V9" s="130">
        <v>13.8</v>
      </c>
      <c r="W9" s="130">
        <v>29.573</v>
      </c>
      <c r="X9" s="124">
        <v>19.327999999999999</v>
      </c>
      <c r="Y9" s="124">
        <v>37.412999999999997</v>
      </c>
      <c r="Z9" s="124">
        <v>6.0279999999999996</v>
      </c>
      <c r="AA9" s="12"/>
    </row>
    <row r="10" spans="1:27" x14ac:dyDescent="0.25">
      <c r="A10" s="9" t="s">
        <v>1</v>
      </c>
      <c r="B10" s="83">
        <v>10.5</v>
      </c>
      <c r="C10" s="83" t="s">
        <v>96</v>
      </c>
      <c r="D10" s="120" t="s">
        <v>96</v>
      </c>
      <c r="E10" s="120" t="s">
        <v>96</v>
      </c>
      <c r="F10" s="120" t="s">
        <v>96</v>
      </c>
      <c r="G10" s="118">
        <v>4.2</v>
      </c>
      <c r="H10" s="120" t="s">
        <v>96</v>
      </c>
      <c r="I10" s="120" t="s">
        <v>96</v>
      </c>
      <c r="J10" s="120" t="s">
        <v>96</v>
      </c>
      <c r="K10" s="120" t="s">
        <v>96</v>
      </c>
      <c r="L10" s="118" t="s">
        <v>96</v>
      </c>
      <c r="M10" s="118" t="s">
        <v>96</v>
      </c>
      <c r="N10" s="118" t="s">
        <v>96</v>
      </c>
      <c r="O10" s="118" t="s">
        <v>96</v>
      </c>
      <c r="P10" s="118" t="s">
        <v>96</v>
      </c>
      <c r="Q10" s="118" t="s">
        <v>96</v>
      </c>
      <c r="R10" s="118" t="s">
        <v>96</v>
      </c>
      <c r="S10" s="118" t="s">
        <v>96</v>
      </c>
      <c r="T10" s="118" t="s">
        <v>96</v>
      </c>
      <c r="U10" s="118" t="s">
        <v>96</v>
      </c>
      <c r="V10" s="131" t="s">
        <v>96</v>
      </c>
      <c r="W10" s="131" t="s">
        <v>96</v>
      </c>
      <c r="X10" s="129" t="s">
        <v>96</v>
      </c>
      <c r="Y10" s="129" t="s">
        <v>96</v>
      </c>
      <c r="Z10" s="129" t="s">
        <v>96</v>
      </c>
      <c r="AA10" s="12"/>
    </row>
    <row r="11" spans="1:27" x14ac:dyDescent="0.25">
      <c r="A11" s="9" t="s">
        <v>2</v>
      </c>
      <c r="B11" s="83">
        <v>4.8</v>
      </c>
      <c r="C11" s="83">
        <v>10.3</v>
      </c>
      <c r="D11" s="118">
        <v>15.7</v>
      </c>
      <c r="E11" s="120" t="s">
        <v>96</v>
      </c>
      <c r="F11" s="118">
        <v>2.7</v>
      </c>
      <c r="G11" s="129">
        <v>10</v>
      </c>
      <c r="H11" s="118">
        <v>6.3</v>
      </c>
      <c r="I11" s="118">
        <v>4.3</v>
      </c>
      <c r="J11" s="120" t="s">
        <v>96</v>
      </c>
      <c r="K11" s="120" t="s">
        <v>96</v>
      </c>
      <c r="L11" s="118" t="s">
        <v>96</v>
      </c>
      <c r="M11" s="118">
        <v>14.2</v>
      </c>
      <c r="N11" s="129">
        <v>3</v>
      </c>
      <c r="O11" s="118" t="s">
        <v>96</v>
      </c>
      <c r="P11" s="118" t="s">
        <v>96</v>
      </c>
      <c r="Q11" s="118" t="s">
        <v>96</v>
      </c>
      <c r="R11" s="118" t="s">
        <v>96</v>
      </c>
      <c r="S11" s="118" t="s">
        <v>96</v>
      </c>
      <c r="T11" s="118" t="s">
        <v>96</v>
      </c>
      <c r="U11" s="118" t="s">
        <v>96</v>
      </c>
      <c r="V11" s="131" t="s">
        <v>96</v>
      </c>
      <c r="W11" s="131" t="s">
        <v>96</v>
      </c>
      <c r="X11" s="129" t="s">
        <v>96</v>
      </c>
      <c r="Y11" s="129" t="s">
        <v>96</v>
      </c>
      <c r="Z11" s="129" t="s">
        <v>96</v>
      </c>
      <c r="AA11" s="12"/>
    </row>
    <row r="12" spans="1:27" x14ac:dyDescent="0.25">
      <c r="A12" s="9" t="s">
        <v>3</v>
      </c>
      <c r="B12" s="83">
        <v>3.2</v>
      </c>
      <c r="C12" s="83">
        <v>9.1999999999999993</v>
      </c>
      <c r="D12" s="118">
        <v>8.8000000000000007</v>
      </c>
      <c r="E12" s="118">
        <v>4.0999999999999996</v>
      </c>
      <c r="F12" s="120" t="s">
        <v>96</v>
      </c>
      <c r="G12" s="120" t="s">
        <v>96</v>
      </c>
      <c r="H12" s="118">
        <v>3.8</v>
      </c>
      <c r="I12" s="120" t="s">
        <v>96</v>
      </c>
      <c r="J12" s="118">
        <v>6.9</v>
      </c>
      <c r="K12" s="120" t="s">
        <v>96</v>
      </c>
      <c r="L12" s="118" t="s">
        <v>96</v>
      </c>
      <c r="M12" s="118" t="s">
        <v>96</v>
      </c>
      <c r="N12" s="118" t="s">
        <v>96</v>
      </c>
      <c r="O12" s="118" t="s">
        <v>96</v>
      </c>
      <c r="P12" s="118" t="s">
        <v>96</v>
      </c>
      <c r="Q12" s="118" t="s">
        <v>96</v>
      </c>
      <c r="R12" s="118" t="s">
        <v>96</v>
      </c>
      <c r="S12" s="118" t="s">
        <v>96</v>
      </c>
      <c r="T12" s="118">
        <v>5.8</v>
      </c>
      <c r="U12" s="118" t="s">
        <v>96</v>
      </c>
      <c r="V12" s="131" t="s">
        <v>96</v>
      </c>
      <c r="W12" s="131" t="s">
        <v>96</v>
      </c>
      <c r="X12" s="129" t="s">
        <v>96</v>
      </c>
      <c r="Y12" s="129" t="s">
        <v>96</v>
      </c>
      <c r="Z12" s="129" t="s">
        <v>96</v>
      </c>
      <c r="AA12" s="12"/>
    </row>
    <row r="13" spans="1:27" x14ac:dyDescent="0.25">
      <c r="A13" s="9" t="s">
        <v>4</v>
      </c>
      <c r="B13" s="83">
        <v>15.5</v>
      </c>
      <c r="C13" s="83">
        <v>0.2</v>
      </c>
      <c r="D13" s="118">
        <v>9.1999999999999993</v>
      </c>
      <c r="E13" s="118">
        <v>8.6</v>
      </c>
      <c r="F13" s="120" t="s">
        <v>96</v>
      </c>
      <c r="G13" s="118">
        <v>24.9</v>
      </c>
      <c r="H13" s="120" t="s">
        <v>96</v>
      </c>
      <c r="I13" s="118">
        <v>7.1</v>
      </c>
      <c r="J13" s="118">
        <v>5.7</v>
      </c>
      <c r="K13" s="120" t="s">
        <v>96</v>
      </c>
      <c r="L13" s="118" t="s">
        <v>96</v>
      </c>
      <c r="M13" s="118" t="s">
        <v>96</v>
      </c>
      <c r="N13" s="118" t="s">
        <v>96</v>
      </c>
      <c r="O13" s="118">
        <v>2.2999999999999998</v>
      </c>
      <c r="P13" s="118" t="s">
        <v>96</v>
      </c>
      <c r="Q13" s="118">
        <v>15.8</v>
      </c>
      <c r="R13" s="118">
        <v>44.6</v>
      </c>
      <c r="S13" s="118">
        <v>22.5</v>
      </c>
      <c r="T13" s="118" t="s">
        <v>96</v>
      </c>
      <c r="U13" s="131">
        <v>2.6</v>
      </c>
      <c r="V13" s="131" t="s">
        <v>96</v>
      </c>
      <c r="W13" s="131" t="s">
        <v>96</v>
      </c>
      <c r="X13" s="122">
        <v>3.879</v>
      </c>
      <c r="Y13" s="129" t="s">
        <v>96</v>
      </c>
      <c r="Z13" s="129" t="s">
        <v>96</v>
      </c>
      <c r="AA13" s="12"/>
    </row>
    <row r="14" spans="1:27" x14ac:dyDescent="0.25">
      <c r="A14" s="9" t="s">
        <v>5</v>
      </c>
      <c r="B14" s="83" t="s">
        <v>96</v>
      </c>
      <c r="C14" s="83">
        <v>6.2</v>
      </c>
      <c r="D14" s="118">
        <v>3.6</v>
      </c>
      <c r="E14" s="120" t="s">
        <v>96</v>
      </c>
      <c r="F14" s="120" t="s">
        <v>96</v>
      </c>
      <c r="G14" s="118" t="s">
        <v>96</v>
      </c>
      <c r="H14" s="120" t="s">
        <v>96</v>
      </c>
      <c r="I14" s="120" t="s">
        <v>96</v>
      </c>
      <c r="J14" s="120" t="s">
        <v>96</v>
      </c>
      <c r="K14" s="120" t="s">
        <v>96</v>
      </c>
      <c r="L14" s="118" t="s">
        <v>96</v>
      </c>
      <c r="M14" s="118" t="s">
        <v>96</v>
      </c>
      <c r="N14" s="118" t="s">
        <v>96</v>
      </c>
      <c r="O14" s="118" t="s">
        <v>96</v>
      </c>
      <c r="P14" s="118" t="s">
        <v>96</v>
      </c>
      <c r="Q14" s="118" t="s">
        <v>96</v>
      </c>
      <c r="R14" s="118" t="s">
        <v>96</v>
      </c>
      <c r="S14" s="118">
        <v>2.1</v>
      </c>
      <c r="T14" s="118" t="s">
        <v>96</v>
      </c>
      <c r="U14" s="131">
        <v>9.6</v>
      </c>
      <c r="V14" s="131" t="s">
        <v>96</v>
      </c>
      <c r="W14" s="131" t="s">
        <v>96</v>
      </c>
      <c r="X14" s="129" t="s">
        <v>96</v>
      </c>
      <c r="Y14" s="129" t="s">
        <v>96</v>
      </c>
      <c r="Z14" s="129" t="s">
        <v>96</v>
      </c>
      <c r="AA14" s="12"/>
    </row>
    <row r="15" spans="1:27" x14ac:dyDescent="0.25">
      <c r="A15" s="9" t="s">
        <v>6</v>
      </c>
      <c r="B15" s="83" t="s">
        <v>96</v>
      </c>
      <c r="C15" s="83" t="s">
        <v>96</v>
      </c>
      <c r="D15" s="120" t="s">
        <v>96</v>
      </c>
      <c r="E15" s="118">
        <v>8.5</v>
      </c>
      <c r="F15" s="118">
        <v>14.5</v>
      </c>
      <c r="G15" s="118">
        <v>13.6</v>
      </c>
      <c r="H15" s="120" t="s">
        <v>96</v>
      </c>
      <c r="I15" s="118">
        <v>9.6</v>
      </c>
      <c r="J15" s="120" t="s">
        <v>96</v>
      </c>
      <c r="K15" s="120" t="s">
        <v>96</v>
      </c>
      <c r="L15" s="118" t="s">
        <v>96</v>
      </c>
      <c r="M15" s="118" t="s">
        <v>96</v>
      </c>
      <c r="N15" s="118" t="s">
        <v>96</v>
      </c>
      <c r="O15" s="118" t="s">
        <v>96</v>
      </c>
      <c r="P15" s="118" t="s">
        <v>96</v>
      </c>
      <c r="Q15" s="118" t="s">
        <v>96</v>
      </c>
      <c r="R15" s="118" t="s">
        <v>96</v>
      </c>
      <c r="S15" s="118" t="s">
        <v>96</v>
      </c>
      <c r="T15" s="118" t="s">
        <v>96</v>
      </c>
      <c r="U15" s="118" t="s">
        <v>96</v>
      </c>
      <c r="V15" s="131" t="s">
        <v>96</v>
      </c>
      <c r="W15" s="131" t="s">
        <v>96</v>
      </c>
      <c r="X15" s="129" t="s">
        <v>96</v>
      </c>
      <c r="Y15" s="129" t="s">
        <v>96</v>
      </c>
      <c r="Z15" s="129" t="s">
        <v>96</v>
      </c>
      <c r="AA15" s="12"/>
    </row>
    <row r="16" spans="1:27" x14ac:dyDescent="0.25">
      <c r="A16" s="9" t="s">
        <v>7</v>
      </c>
      <c r="B16" s="83" t="s">
        <v>96</v>
      </c>
      <c r="C16" s="83" t="s">
        <v>96</v>
      </c>
      <c r="D16" s="120" t="s">
        <v>96</v>
      </c>
      <c r="E16" s="120" t="s">
        <v>96</v>
      </c>
      <c r="F16" s="118">
        <v>1.4</v>
      </c>
      <c r="G16" s="118">
        <v>0.5</v>
      </c>
      <c r="H16" s="120" t="s">
        <v>96</v>
      </c>
      <c r="I16" s="120" t="s">
        <v>96</v>
      </c>
      <c r="J16" s="120" t="s">
        <v>96</v>
      </c>
      <c r="K16" s="120" t="s">
        <v>96</v>
      </c>
      <c r="L16" s="118" t="s">
        <v>96</v>
      </c>
      <c r="M16" s="118" t="s">
        <v>96</v>
      </c>
      <c r="N16" s="118" t="s">
        <v>96</v>
      </c>
      <c r="O16" s="118" t="s">
        <v>96</v>
      </c>
      <c r="P16" s="118" t="s">
        <v>96</v>
      </c>
      <c r="Q16" s="118" t="s">
        <v>96</v>
      </c>
      <c r="R16" s="118">
        <v>1.5</v>
      </c>
      <c r="S16" s="118">
        <v>4.5999999999999996</v>
      </c>
      <c r="T16" s="118" t="s">
        <v>96</v>
      </c>
      <c r="U16" s="118" t="s">
        <v>96</v>
      </c>
      <c r="V16" s="131">
        <v>4.2</v>
      </c>
      <c r="W16" s="131" t="s">
        <v>96</v>
      </c>
      <c r="X16" s="129" t="s">
        <v>96</v>
      </c>
      <c r="Y16" s="129" t="s">
        <v>96</v>
      </c>
      <c r="Z16" s="129" t="s">
        <v>96</v>
      </c>
      <c r="AA16" s="12"/>
    </row>
    <row r="17" spans="1:27" x14ac:dyDescent="0.25">
      <c r="A17" s="9" t="s">
        <v>8</v>
      </c>
      <c r="B17" s="83" t="s">
        <v>96</v>
      </c>
      <c r="C17" s="83" t="s">
        <v>96</v>
      </c>
      <c r="D17" s="120" t="s">
        <v>96</v>
      </c>
      <c r="E17" s="120" t="s">
        <v>96</v>
      </c>
      <c r="F17" s="120" t="s">
        <v>96</v>
      </c>
      <c r="G17" s="120" t="s">
        <v>96</v>
      </c>
      <c r="H17" s="120" t="s">
        <v>96</v>
      </c>
      <c r="I17" s="120" t="s">
        <v>96</v>
      </c>
      <c r="J17" s="120" t="s">
        <v>96</v>
      </c>
      <c r="K17" s="120" t="s">
        <v>96</v>
      </c>
      <c r="L17" s="120" t="s">
        <v>96</v>
      </c>
      <c r="M17" s="120" t="s">
        <v>96</v>
      </c>
      <c r="N17" s="120" t="s">
        <v>96</v>
      </c>
      <c r="O17" s="120" t="s">
        <v>96</v>
      </c>
      <c r="P17" s="120" t="s">
        <v>96</v>
      </c>
      <c r="Q17" s="120" t="s">
        <v>96</v>
      </c>
      <c r="R17" s="120" t="s">
        <v>96</v>
      </c>
      <c r="S17" s="120" t="s">
        <v>96</v>
      </c>
      <c r="T17" s="120" t="s">
        <v>96</v>
      </c>
      <c r="U17" s="118" t="s">
        <v>96</v>
      </c>
      <c r="V17" s="131" t="s">
        <v>96</v>
      </c>
      <c r="W17" s="131" t="s">
        <v>96</v>
      </c>
      <c r="X17" s="129" t="s">
        <v>96</v>
      </c>
      <c r="Y17" s="129" t="s">
        <v>96</v>
      </c>
      <c r="Z17" s="129" t="s">
        <v>96</v>
      </c>
      <c r="AA17" s="12"/>
    </row>
    <row r="18" spans="1:27" x14ac:dyDescent="0.25">
      <c r="A18" s="9" t="s">
        <v>9</v>
      </c>
      <c r="B18" s="83" t="s">
        <v>96</v>
      </c>
      <c r="C18" s="83">
        <v>5</v>
      </c>
      <c r="D18" s="118">
        <v>3.7</v>
      </c>
      <c r="E18" s="120" t="s">
        <v>96</v>
      </c>
      <c r="F18" s="118">
        <v>4.3</v>
      </c>
      <c r="G18" s="118" t="s">
        <v>96</v>
      </c>
      <c r="H18" s="120" t="s">
        <v>96</v>
      </c>
      <c r="I18" s="120" t="s">
        <v>96</v>
      </c>
      <c r="J18" s="120" t="s">
        <v>96</v>
      </c>
      <c r="K18" s="120" t="s">
        <v>96</v>
      </c>
      <c r="L18" s="118" t="s">
        <v>96</v>
      </c>
      <c r="M18" s="118" t="s">
        <v>96</v>
      </c>
      <c r="N18" s="118" t="s">
        <v>96</v>
      </c>
      <c r="O18" s="118" t="s">
        <v>96</v>
      </c>
      <c r="P18" s="118" t="s">
        <v>96</v>
      </c>
      <c r="Q18" s="118" t="s">
        <v>96</v>
      </c>
      <c r="R18" s="118" t="s">
        <v>96</v>
      </c>
      <c r="S18" s="118">
        <v>4.3</v>
      </c>
      <c r="T18" s="118" t="s">
        <v>96</v>
      </c>
      <c r="U18" s="118" t="s">
        <v>96</v>
      </c>
      <c r="V18" s="131" t="s">
        <v>96</v>
      </c>
      <c r="W18" s="131" t="s">
        <v>96</v>
      </c>
      <c r="X18" s="129" t="s">
        <v>96</v>
      </c>
      <c r="Y18" s="129" t="s">
        <v>96</v>
      </c>
      <c r="Z18" s="129" t="s">
        <v>96</v>
      </c>
      <c r="AA18" s="12"/>
    </row>
    <row r="19" spans="1:27" x14ac:dyDescent="0.25">
      <c r="A19" s="9" t="s">
        <v>10</v>
      </c>
      <c r="B19" s="83">
        <v>21.3</v>
      </c>
      <c r="C19" s="83">
        <v>46.4</v>
      </c>
      <c r="D19" s="118">
        <v>34.299999999999997</v>
      </c>
      <c r="E19" s="118">
        <v>20.399999999999999</v>
      </c>
      <c r="F19" s="118">
        <v>43.8</v>
      </c>
      <c r="G19" s="118">
        <v>43.8</v>
      </c>
      <c r="H19" s="118">
        <v>20.9</v>
      </c>
      <c r="I19" s="118">
        <v>11.1</v>
      </c>
      <c r="J19" s="118">
        <v>17.2</v>
      </c>
      <c r="K19" s="129">
        <v>31</v>
      </c>
      <c r="L19" s="118">
        <v>29.6</v>
      </c>
      <c r="M19" s="118">
        <v>45.4</v>
      </c>
      <c r="N19" s="118">
        <v>16.899999999999999</v>
      </c>
      <c r="O19" s="118">
        <v>53.1</v>
      </c>
      <c r="P19" s="118">
        <v>13.7</v>
      </c>
      <c r="Q19" s="118">
        <v>4.0999999999999996</v>
      </c>
      <c r="R19" s="118">
        <v>16.399999999999999</v>
      </c>
      <c r="S19" s="118">
        <v>7.4</v>
      </c>
      <c r="T19" s="118" t="s">
        <v>96</v>
      </c>
      <c r="U19" s="129">
        <v>24.4</v>
      </c>
      <c r="V19" s="131" t="s">
        <v>96</v>
      </c>
      <c r="W19" s="131">
        <v>5.9029999999999996</v>
      </c>
      <c r="X19" s="122">
        <v>6.194</v>
      </c>
      <c r="Y19" s="122">
        <v>8.2919999999999998</v>
      </c>
      <c r="Z19" s="122" t="s">
        <v>96</v>
      </c>
      <c r="AA19" s="12"/>
    </row>
    <row r="20" spans="1:27" x14ac:dyDescent="0.25">
      <c r="A20" s="9" t="s">
        <v>11</v>
      </c>
      <c r="B20" s="83" t="s">
        <v>96</v>
      </c>
      <c r="C20" s="83" t="s">
        <v>96</v>
      </c>
      <c r="D20" s="120" t="s">
        <v>96</v>
      </c>
      <c r="E20" s="120" t="s">
        <v>96</v>
      </c>
      <c r="F20" s="120" t="s">
        <v>96</v>
      </c>
      <c r="G20" s="118" t="s">
        <v>96</v>
      </c>
      <c r="H20" s="120" t="s">
        <v>96</v>
      </c>
      <c r="I20" s="120" t="s">
        <v>96</v>
      </c>
      <c r="J20" s="120" t="s">
        <v>96</v>
      </c>
      <c r="K20" s="120" t="s">
        <v>96</v>
      </c>
      <c r="L20" s="118" t="s">
        <v>96</v>
      </c>
      <c r="M20" s="118" t="s">
        <v>96</v>
      </c>
      <c r="N20" s="118" t="s">
        <v>96</v>
      </c>
      <c r="O20" s="118" t="s">
        <v>96</v>
      </c>
      <c r="P20" s="118" t="s">
        <v>96</v>
      </c>
      <c r="Q20" s="118" t="s">
        <v>96</v>
      </c>
      <c r="R20" s="118">
        <v>3.8</v>
      </c>
      <c r="S20" s="118" t="s">
        <v>96</v>
      </c>
      <c r="T20" s="118" t="s">
        <v>96</v>
      </c>
      <c r="U20" s="118" t="s">
        <v>96</v>
      </c>
      <c r="V20" s="131" t="s">
        <v>96</v>
      </c>
      <c r="W20" s="131" t="s">
        <v>96</v>
      </c>
      <c r="X20" s="129" t="s">
        <v>96</v>
      </c>
      <c r="Y20" s="129" t="s">
        <v>96</v>
      </c>
      <c r="Z20" s="129" t="s">
        <v>96</v>
      </c>
      <c r="AA20" s="12"/>
    </row>
    <row r="21" spans="1:27" x14ac:dyDescent="0.25">
      <c r="A21" s="9" t="s">
        <v>12</v>
      </c>
      <c r="B21" s="83">
        <v>26.7</v>
      </c>
      <c r="C21" s="83" t="s">
        <v>96</v>
      </c>
      <c r="D21" s="120" t="s">
        <v>96</v>
      </c>
      <c r="E21" s="120" t="s">
        <v>96</v>
      </c>
      <c r="F21" s="118">
        <v>4.8</v>
      </c>
      <c r="G21" s="118" t="s">
        <v>96</v>
      </c>
      <c r="H21" s="129">
        <v>6</v>
      </c>
      <c r="I21" s="120" t="s">
        <v>96</v>
      </c>
      <c r="J21" s="118">
        <v>4.5</v>
      </c>
      <c r="K21" s="120" t="s">
        <v>96</v>
      </c>
      <c r="L21" s="118" t="s">
        <v>96</v>
      </c>
      <c r="M21" s="118" t="s">
        <v>96</v>
      </c>
      <c r="N21" s="118" t="s">
        <v>96</v>
      </c>
      <c r="O21" s="118" t="s">
        <v>96</v>
      </c>
      <c r="P21" s="118" t="s">
        <v>96</v>
      </c>
      <c r="Q21" s="118" t="s">
        <v>96</v>
      </c>
      <c r="R21" s="118">
        <v>5.7</v>
      </c>
      <c r="S21" s="118" t="s">
        <v>96</v>
      </c>
      <c r="T21" s="118" t="s">
        <v>96</v>
      </c>
      <c r="U21" s="118" t="s">
        <v>96</v>
      </c>
      <c r="V21" s="131" t="s">
        <v>96</v>
      </c>
      <c r="W21" s="131" t="s">
        <v>96</v>
      </c>
      <c r="X21" s="129" t="s">
        <v>96</v>
      </c>
      <c r="Y21" s="129" t="s">
        <v>96</v>
      </c>
      <c r="Z21" s="129" t="s">
        <v>96</v>
      </c>
      <c r="AA21" s="12"/>
    </row>
    <row r="22" spans="1:27" x14ac:dyDescent="0.25">
      <c r="A22" s="9" t="s">
        <v>13</v>
      </c>
      <c r="B22" s="83" t="s">
        <v>96</v>
      </c>
      <c r="C22" s="83" t="s">
        <v>96</v>
      </c>
      <c r="D22" s="120" t="s">
        <v>96</v>
      </c>
      <c r="E22" s="120" t="s">
        <v>96</v>
      </c>
      <c r="F22" s="120" t="s">
        <v>96</v>
      </c>
      <c r="G22" s="120" t="s">
        <v>96</v>
      </c>
      <c r="H22" s="120" t="s">
        <v>96</v>
      </c>
      <c r="I22" s="120" t="s">
        <v>96</v>
      </c>
      <c r="J22" s="120" t="s">
        <v>96</v>
      </c>
      <c r="K22" s="120" t="s">
        <v>96</v>
      </c>
      <c r="L22" s="120" t="s">
        <v>96</v>
      </c>
      <c r="M22" s="120" t="s">
        <v>96</v>
      </c>
      <c r="N22" s="120" t="s">
        <v>96</v>
      </c>
      <c r="O22" s="120" t="s">
        <v>96</v>
      </c>
      <c r="P22" s="120" t="s">
        <v>96</v>
      </c>
      <c r="Q22" s="120" t="s">
        <v>96</v>
      </c>
      <c r="R22" s="120" t="s">
        <v>96</v>
      </c>
      <c r="S22" s="120" t="s">
        <v>96</v>
      </c>
      <c r="T22" s="120" t="s">
        <v>96</v>
      </c>
      <c r="U22" s="118" t="s">
        <v>96</v>
      </c>
      <c r="V22" s="131" t="s">
        <v>96</v>
      </c>
      <c r="W22" s="131" t="s">
        <v>96</v>
      </c>
      <c r="X22" s="129" t="s">
        <v>96</v>
      </c>
      <c r="Y22" s="129" t="s">
        <v>96</v>
      </c>
      <c r="Z22" s="129" t="s">
        <v>96</v>
      </c>
      <c r="AA22" s="12"/>
    </row>
    <row r="23" spans="1:27" x14ac:dyDescent="0.25">
      <c r="A23" s="9" t="s">
        <v>14</v>
      </c>
      <c r="B23" s="83">
        <v>14.9</v>
      </c>
      <c r="C23" s="83" t="s">
        <v>96</v>
      </c>
      <c r="D23" s="118">
        <v>14.6</v>
      </c>
      <c r="E23" s="118">
        <v>4.2</v>
      </c>
      <c r="F23" s="118">
        <v>7.5</v>
      </c>
      <c r="G23" s="118">
        <v>10.9</v>
      </c>
      <c r="H23" s="120" t="s">
        <v>96</v>
      </c>
      <c r="I23" s="120" t="s">
        <v>96</v>
      </c>
      <c r="J23" s="120" t="s">
        <v>96</v>
      </c>
      <c r="K23" s="120" t="s">
        <v>96</v>
      </c>
      <c r="L23" s="120" t="s">
        <v>96</v>
      </c>
      <c r="M23" s="118">
        <v>3.1</v>
      </c>
      <c r="N23" s="118" t="s">
        <v>96</v>
      </c>
      <c r="O23" s="118" t="s">
        <v>96</v>
      </c>
      <c r="P23" s="118" t="s">
        <v>96</v>
      </c>
      <c r="Q23" s="118">
        <v>5.3</v>
      </c>
      <c r="R23" s="118">
        <v>2.1</v>
      </c>
      <c r="S23" s="118">
        <v>2.1</v>
      </c>
      <c r="T23" s="118">
        <v>1.7</v>
      </c>
      <c r="U23" s="129">
        <v>2.4</v>
      </c>
      <c r="V23" s="131">
        <v>1.4</v>
      </c>
      <c r="W23" s="131">
        <v>1.7170000000000001</v>
      </c>
      <c r="X23" s="122">
        <v>2.6</v>
      </c>
      <c r="Y23" s="122">
        <v>1.77</v>
      </c>
      <c r="Z23" s="122" t="s">
        <v>96</v>
      </c>
      <c r="AA23" s="12"/>
    </row>
    <row r="24" spans="1:27" x14ac:dyDescent="0.25">
      <c r="A24" s="9" t="s">
        <v>15</v>
      </c>
      <c r="B24" s="83" t="s">
        <v>96</v>
      </c>
      <c r="C24" s="83" t="s">
        <v>96</v>
      </c>
      <c r="D24" s="120" t="s">
        <v>96</v>
      </c>
      <c r="E24" s="120" t="s">
        <v>96</v>
      </c>
      <c r="F24" s="120" t="s">
        <v>96</v>
      </c>
      <c r="G24" s="118" t="s">
        <v>96</v>
      </c>
      <c r="H24" s="120" t="s">
        <v>96</v>
      </c>
      <c r="I24" s="120" t="s">
        <v>96</v>
      </c>
      <c r="J24" s="120" t="s">
        <v>96</v>
      </c>
      <c r="K24" s="120" t="s">
        <v>96</v>
      </c>
      <c r="L24" s="120" t="s">
        <v>96</v>
      </c>
      <c r="M24" s="118" t="s">
        <v>96</v>
      </c>
      <c r="N24" s="118" t="s">
        <v>96</v>
      </c>
      <c r="O24" s="118" t="s">
        <v>96</v>
      </c>
      <c r="P24" s="118" t="s">
        <v>96</v>
      </c>
      <c r="Q24" s="118" t="s">
        <v>96</v>
      </c>
      <c r="R24" s="118">
        <v>2.4</v>
      </c>
      <c r="S24" s="118" t="s">
        <v>96</v>
      </c>
      <c r="T24" s="118" t="s">
        <v>96</v>
      </c>
      <c r="U24" s="118" t="s">
        <v>96</v>
      </c>
      <c r="V24" s="131" t="s">
        <v>96</v>
      </c>
      <c r="W24" s="131" t="s">
        <v>96</v>
      </c>
      <c r="X24" s="129" t="s">
        <v>96</v>
      </c>
      <c r="Y24" s="129" t="s">
        <v>96</v>
      </c>
      <c r="Z24" s="129" t="s">
        <v>96</v>
      </c>
      <c r="AA24" s="12"/>
    </row>
    <row r="25" spans="1:27" x14ac:dyDescent="0.25">
      <c r="A25" s="9" t="s">
        <v>16</v>
      </c>
      <c r="B25" s="83">
        <v>3.7</v>
      </c>
      <c r="C25" s="83" t="s">
        <v>96</v>
      </c>
      <c r="D25" s="120" t="s">
        <v>96</v>
      </c>
      <c r="E25" s="120" t="s">
        <v>96</v>
      </c>
      <c r="F25" s="120" t="s">
        <v>96</v>
      </c>
      <c r="G25" s="120" t="s">
        <v>96</v>
      </c>
      <c r="H25" s="120" t="s">
        <v>96</v>
      </c>
      <c r="I25" s="120" t="s">
        <v>96</v>
      </c>
      <c r="J25" s="120" t="s">
        <v>96</v>
      </c>
      <c r="K25" s="120" t="s">
        <v>96</v>
      </c>
      <c r="L25" s="120" t="s">
        <v>96</v>
      </c>
      <c r="M25" s="118" t="s">
        <v>96</v>
      </c>
      <c r="N25" s="118" t="s">
        <v>96</v>
      </c>
      <c r="O25" s="118" t="s">
        <v>96</v>
      </c>
      <c r="P25" s="118" t="s">
        <v>96</v>
      </c>
      <c r="Q25" s="118" t="s">
        <v>96</v>
      </c>
      <c r="R25" s="118" t="s">
        <v>96</v>
      </c>
      <c r="S25" s="118" t="s">
        <v>96</v>
      </c>
      <c r="T25" s="118" t="s">
        <v>96</v>
      </c>
      <c r="U25" s="118" t="s">
        <v>96</v>
      </c>
      <c r="V25" s="131" t="s">
        <v>96</v>
      </c>
      <c r="W25" s="131" t="s">
        <v>96</v>
      </c>
      <c r="X25" s="129" t="s">
        <v>96</v>
      </c>
      <c r="Y25" s="129" t="s">
        <v>96</v>
      </c>
      <c r="Z25" s="129" t="s">
        <v>96</v>
      </c>
      <c r="AA25" s="12"/>
    </row>
    <row r="26" spans="1:27" x14ac:dyDescent="0.25">
      <c r="A26" s="9" t="s">
        <v>17</v>
      </c>
      <c r="B26" s="83">
        <v>2</v>
      </c>
      <c r="C26" s="83">
        <v>2.5</v>
      </c>
      <c r="D26" s="118">
        <v>8.6999999999999993</v>
      </c>
      <c r="E26" s="120" t="s">
        <v>96</v>
      </c>
      <c r="F26" s="118">
        <v>15.3</v>
      </c>
      <c r="G26" s="118">
        <v>9.6999999999999993</v>
      </c>
      <c r="H26" s="118">
        <v>17.5</v>
      </c>
      <c r="I26" s="118">
        <v>29.9</v>
      </c>
      <c r="J26" s="118">
        <v>25.6</v>
      </c>
      <c r="K26" s="118">
        <v>19.5</v>
      </c>
      <c r="L26" s="118">
        <v>17.7</v>
      </c>
      <c r="M26" s="118">
        <v>13.4</v>
      </c>
      <c r="N26" s="118">
        <v>14.1</v>
      </c>
      <c r="O26" s="118">
        <v>7.5</v>
      </c>
      <c r="P26" s="118" t="s">
        <v>96</v>
      </c>
      <c r="Q26" s="118">
        <v>54.1</v>
      </c>
      <c r="R26" s="118">
        <v>7.2</v>
      </c>
      <c r="S26" s="118" t="s">
        <v>96</v>
      </c>
      <c r="T26" s="118" t="s">
        <v>96</v>
      </c>
      <c r="U26" s="131">
        <v>13</v>
      </c>
      <c r="V26" s="131">
        <v>8.1999999999999993</v>
      </c>
      <c r="W26" s="131">
        <v>21.952999999999999</v>
      </c>
      <c r="X26" s="122">
        <v>6.6550000000000002</v>
      </c>
      <c r="Y26" s="122">
        <v>14.613</v>
      </c>
      <c r="Z26" s="122">
        <v>6.0279999999999996</v>
      </c>
      <c r="AA26" s="12"/>
    </row>
    <row r="27" spans="1:27" x14ac:dyDescent="0.25">
      <c r="A27" s="9" t="s">
        <v>18</v>
      </c>
      <c r="B27" s="83">
        <v>50</v>
      </c>
      <c r="C27" s="83" t="s">
        <v>96</v>
      </c>
      <c r="D27" s="118">
        <v>12.7</v>
      </c>
      <c r="E27" s="118">
        <v>42.9</v>
      </c>
      <c r="F27" s="118">
        <v>7.6</v>
      </c>
      <c r="G27" s="129">
        <v>7</v>
      </c>
      <c r="H27" s="118">
        <v>6.6</v>
      </c>
      <c r="I27" s="129">
        <v>73</v>
      </c>
      <c r="J27" s="120" t="s">
        <v>96</v>
      </c>
      <c r="K27" s="118">
        <v>137.6</v>
      </c>
      <c r="L27" s="118">
        <v>11.5</v>
      </c>
      <c r="M27" s="118" t="s">
        <v>96</v>
      </c>
      <c r="N27" s="118" t="s">
        <v>96</v>
      </c>
      <c r="O27" s="118" t="s">
        <v>96</v>
      </c>
      <c r="P27" s="118">
        <v>17.5</v>
      </c>
      <c r="Q27" s="118">
        <v>0.5</v>
      </c>
      <c r="R27" s="118">
        <v>21.9</v>
      </c>
      <c r="S27" s="118" t="s">
        <v>96</v>
      </c>
      <c r="T27" s="118">
        <v>5.6</v>
      </c>
      <c r="U27" s="131">
        <v>3.9</v>
      </c>
      <c r="V27" s="131" t="s">
        <v>96</v>
      </c>
      <c r="W27" s="131" t="s">
        <v>96</v>
      </c>
      <c r="X27" s="129" t="s">
        <v>96</v>
      </c>
      <c r="Y27" s="129">
        <v>12.738</v>
      </c>
      <c r="Z27" s="129" t="s">
        <v>96</v>
      </c>
      <c r="AA27" s="12"/>
    </row>
    <row r="28" spans="1:27" ht="18" x14ac:dyDescent="0.25">
      <c r="A28" s="8" t="s">
        <v>95</v>
      </c>
      <c r="B28" s="82">
        <v>41.6</v>
      </c>
      <c r="C28" s="82">
        <v>56.7</v>
      </c>
      <c r="D28" s="120">
        <v>69.2</v>
      </c>
      <c r="E28" s="120">
        <v>75.2</v>
      </c>
      <c r="F28" s="120">
        <v>56.4</v>
      </c>
      <c r="G28" s="120">
        <v>10.1</v>
      </c>
      <c r="H28" s="120">
        <v>41.6</v>
      </c>
      <c r="I28" s="123">
        <v>10</v>
      </c>
      <c r="J28" s="120">
        <v>36.4</v>
      </c>
      <c r="K28" s="123">
        <v>8</v>
      </c>
      <c r="L28" s="120">
        <v>8.6999999999999993</v>
      </c>
      <c r="M28" s="120">
        <v>2.6</v>
      </c>
      <c r="N28" s="120">
        <v>29.8</v>
      </c>
      <c r="O28" s="120">
        <v>3.8</v>
      </c>
      <c r="P28" s="120">
        <v>7.5</v>
      </c>
      <c r="Q28" s="120">
        <v>11.1</v>
      </c>
      <c r="R28" s="120">
        <v>83.9</v>
      </c>
      <c r="S28" s="120">
        <v>15.3</v>
      </c>
      <c r="T28" s="120">
        <v>24.5</v>
      </c>
      <c r="U28" s="130">
        <v>8.4</v>
      </c>
      <c r="V28" s="130">
        <v>32.4</v>
      </c>
      <c r="W28" s="130">
        <v>13.34</v>
      </c>
      <c r="X28" s="124">
        <v>41.116</v>
      </c>
      <c r="Y28" s="124">
        <v>1.6339999999999999</v>
      </c>
      <c r="Z28" s="124" t="s">
        <v>96</v>
      </c>
      <c r="AA28" s="12"/>
    </row>
    <row r="29" spans="1:27" x14ac:dyDescent="0.25">
      <c r="A29" s="9" t="s">
        <v>19</v>
      </c>
      <c r="B29" s="83" t="s">
        <v>96</v>
      </c>
      <c r="C29" s="83">
        <v>3.1</v>
      </c>
      <c r="D29" s="118">
        <v>3.3</v>
      </c>
      <c r="E29" s="118">
        <v>1.1000000000000001</v>
      </c>
      <c r="F29" s="118">
        <v>4.3</v>
      </c>
      <c r="G29" s="118" t="s">
        <v>96</v>
      </c>
      <c r="H29" s="118">
        <v>4.5</v>
      </c>
      <c r="I29" s="118">
        <v>1.4</v>
      </c>
      <c r="J29" s="118">
        <v>6.4</v>
      </c>
      <c r="K29" s="118">
        <v>2.2000000000000002</v>
      </c>
      <c r="L29" s="129">
        <v>8</v>
      </c>
      <c r="M29" s="118">
        <v>0.6</v>
      </c>
      <c r="N29" s="118">
        <v>8.9</v>
      </c>
      <c r="O29" s="118">
        <v>3.8</v>
      </c>
      <c r="P29" s="118">
        <v>3.3</v>
      </c>
      <c r="Q29" s="118">
        <v>2.7</v>
      </c>
      <c r="R29" s="118" t="s">
        <v>96</v>
      </c>
      <c r="S29" s="118">
        <v>2.2000000000000002</v>
      </c>
      <c r="T29" s="118" t="s">
        <v>96</v>
      </c>
      <c r="U29" s="131">
        <v>1.9</v>
      </c>
      <c r="V29" s="131" t="s">
        <v>96</v>
      </c>
      <c r="W29" s="131" t="s">
        <v>96</v>
      </c>
      <c r="X29" s="129" t="s">
        <v>96</v>
      </c>
      <c r="Y29" s="129" t="s">
        <v>96</v>
      </c>
      <c r="Z29" s="129" t="s">
        <v>96</v>
      </c>
      <c r="AA29" s="12"/>
    </row>
    <row r="30" spans="1:27" x14ac:dyDescent="0.25">
      <c r="A30" s="9" t="s">
        <v>20</v>
      </c>
      <c r="B30" s="83" t="s">
        <v>96</v>
      </c>
      <c r="C30" s="83" t="s">
        <v>96</v>
      </c>
      <c r="D30" s="120" t="s">
        <v>96</v>
      </c>
      <c r="E30" s="120" t="s">
        <v>96</v>
      </c>
      <c r="F30" s="120" t="s">
        <v>96</v>
      </c>
      <c r="G30" s="120" t="s">
        <v>96</v>
      </c>
      <c r="H30" s="120" t="s">
        <v>96</v>
      </c>
      <c r="I30" s="120" t="s">
        <v>96</v>
      </c>
      <c r="J30" s="120" t="s">
        <v>96</v>
      </c>
      <c r="K30" s="120" t="s">
        <v>96</v>
      </c>
      <c r="L30" s="120" t="s">
        <v>96</v>
      </c>
      <c r="M30" s="120" t="s">
        <v>96</v>
      </c>
      <c r="N30" s="120" t="s">
        <v>96</v>
      </c>
      <c r="O30" s="120" t="s">
        <v>96</v>
      </c>
      <c r="P30" s="120" t="s">
        <v>96</v>
      </c>
      <c r="Q30" s="120" t="s">
        <v>96</v>
      </c>
      <c r="R30" s="120" t="s">
        <v>96</v>
      </c>
      <c r="S30" s="118" t="s">
        <v>96</v>
      </c>
      <c r="T30" s="120" t="s">
        <v>96</v>
      </c>
      <c r="U30" s="131">
        <v>0.8</v>
      </c>
      <c r="V30" s="131" t="s">
        <v>96</v>
      </c>
      <c r="W30" s="131" t="s">
        <v>96</v>
      </c>
      <c r="X30" s="129" t="s">
        <v>96</v>
      </c>
      <c r="Y30" s="129" t="s">
        <v>96</v>
      </c>
      <c r="Z30" s="129" t="s">
        <v>96</v>
      </c>
      <c r="AA30" s="12"/>
    </row>
    <row r="31" spans="1:27" x14ac:dyDescent="0.25">
      <c r="A31" s="9" t="s">
        <v>21</v>
      </c>
      <c r="B31" s="83">
        <v>3.4</v>
      </c>
      <c r="C31" s="83">
        <v>0.5</v>
      </c>
      <c r="D31" s="118">
        <v>4.3</v>
      </c>
      <c r="E31" s="118">
        <v>3.7</v>
      </c>
      <c r="F31" s="118">
        <v>8.9</v>
      </c>
      <c r="G31" s="118">
        <v>7.4</v>
      </c>
      <c r="H31" s="118">
        <v>32.6</v>
      </c>
      <c r="I31" s="118">
        <v>8.6</v>
      </c>
      <c r="J31" s="118">
        <v>27.4</v>
      </c>
      <c r="K31" s="118">
        <v>5.8</v>
      </c>
      <c r="L31" s="118" t="s">
        <v>96</v>
      </c>
      <c r="M31" s="118">
        <v>1.2</v>
      </c>
      <c r="N31" s="118">
        <v>18.2</v>
      </c>
      <c r="O31" s="118" t="s">
        <v>96</v>
      </c>
      <c r="P31" s="118">
        <v>4.2</v>
      </c>
      <c r="Q31" s="118" t="s">
        <v>96</v>
      </c>
      <c r="R31" s="118">
        <v>1.9</v>
      </c>
      <c r="S31" s="118" t="s">
        <v>96</v>
      </c>
      <c r="T31" s="118" t="s">
        <v>96</v>
      </c>
      <c r="U31" s="118" t="s">
        <v>96</v>
      </c>
      <c r="V31" s="131">
        <v>3.5</v>
      </c>
      <c r="W31" s="131">
        <v>1.282</v>
      </c>
      <c r="X31" s="129" t="s">
        <v>96</v>
      </c>
      <c r="Y31" s="129" t="s">
        <v>96</v>
      </c>
      <c r="Z31" s="129" t="s">
        <v>96</v>
      </c>
      <c r="AA31" s="12"/>
    </row>
    <row r="32" spans="1:27" x14ac:dyDescent="0.25">
      <c r="A32" s="4" t="s">
        <v>188</v>
      </c>
      <c r="B32" s="83"/>
      <c r="C32" s="83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81"/>
      <c r="V32" s="131"/>
      <c r="W32" s="131"/>
      <c r="X32" s="129" t="s">
        <v>96</v>
      </c>
      <c r="Y32" s="129" t="s">
        <v>96</v>
      </c>
      <c r="Z32" s="129"/>
      <c r="AA32" s="12"/>
    </row>
    <row r="33" spans="1:27" ht="15" customHeight="1" x14ac:dyDescent="0.25">
      <c r="A33" s="14" t="s">
        <v>23</v>
      </c>
      <c r="B33" s="83" t="s">
        <v>96</v>
      </c>
      <c r="C33" s="83" t="s">
        <v>96</v>
      </c>
      <c r="D33" s="120" t="s">
        <v>96</v>
      </c>
      <c r="E33" s="120" t="s">
        <v>96</v>
      </c>
      <c r="F33" s="120" t="s">
        <v>96</v>
      </c>
      <c r="G33" s="120" t="s">
        <v>96</v>
      </c>
      <c r="H33" s="120" t="s">
        <v>96</v>
      </c>
      <c r="I33" s="120" t="s">
        <v>96</v>
      </c>
      <c r="J33" s="120" t="s">
        <v>96</v>
      </c>
      <c r="K33" s="120" t="s">
        <v>96</v>
      </c>
      <c r="L33" s="120" t="s">
        <v>96</v>
      </c>
      <c r="M33" s="120" t="s">
        <v>96</v>
      </c>
      <c r="N33" s="120" t="s">
        <v>96</v>
      </c>
      <c r="O33" s="120" t="s">
        <v>96</v>
      </c>
      <c r="P33" s="120" t="s">
        <v>96</v>
      </c>
      <c r="Q33" s="120" t="s">
        <v>96</v>
      </c>
      <c r="R33" s="120" t="s">
        <v>96</v>
      </c>
      <c r="S33" s="118" t="s">
        <v>96</v>
      </c>
      <c r="T33" s="120" t="s">
        <v>96</v>
      </c>
      <c r="U33" s="118" t="s">
        <v>96</v>
      </c>
      <c r="V33" s="131" t="s">
        <v>96</v>
      </c>
      <c r="W33" s="131" t="s">
        <v>96</v>
      </c>
      <c r="X33" s="129" t="s">
        <v>96</v>
      </c>
      <c r="Y33" s="129" t="s">
        <v>96</v>
      </c>
      <c r="Z33" s="129" t="s">
        <v>96</v>
      </c>
      <c r="AA33" s="12"/>
    </row>
    <row r="34" spans="1:27" ht="22.5" customHeight="1" x14ac:dyDescent="0.25">
      <c r="A34" s="14" t="s">
        <v>93</v>
      </c>
      <c r="B34" s="83">
        <v>3.4</v>
      </c>
      <c r="C34" s="83">
        <v>0.5</v>
      </c>
      <c r="D34" s="118">
        <v>4.3</v>
      </c>
      <c r="E34" s="118">
        <v>3.7</v>
      </c>
      <c r="F34" s="118">
        <v>8.9</v>
      </c>
      <c r="G34" s="118">
        <v>7.4</v>
      </c>
      <c r="H34" s="118">
        <v>32.6</v>
      </c>
      <c r="I34" s="118">
        <v>8.6</v>
      </c>
      <c r="J34" s="118">
        <v>27.4</v>
      </c>
      <c r="K34" s="118">
        <v>5.8</v>
      </c>
      <c r="L34" s="120" t="s">
        <v>96</v>
      </c>
      <c r="M34" s="118">
        <v>1.2</v>
      </c>
      <c r="N34" s="118">
        <v>18.2</v>
      </c>
      <c r="O34" s="120" t="s">
        <v>96</v>
      </c>
      <c r="P34" s="118">
        <v>4.2</v>
      </c>
      <c r="Q34" s="118" t="s">
        <v>96</v>
      </c>
      <c r="R34" s="118">
        <v>1.9</v>
      </c>
      <c r="S34" s="118" t="s">
        <v>96</v>
      </c>
      <c r="T34" s="118" t="s">
        <v>96</v>
      </c>
      <c r="U34" s="118" t="s">
        <v>96</v>
      </c>
      <c r="V34" s="131" t="s">
        <v>96</v>
      </c>
      <c r="W34" s="131">
        <v>1.282</v>
      </c>
      <c r="X34" s="129" t="s">
        <v>96</v>
      </c>
      <c r="Y34" s="129" t="s">
        <v>96</v>
      </c>
      <c r="Z34" s="129" t="s">
        <v>96</v>
      </c>
      <c r="AA34" s="12"/>
    </row>
    <row r="35" spans="1:27" x14ac:dyDescent="0.25">
      <c r="A35" s="9" t="s">
        <v>24</v>
      </c>
      <c r="B35" s="83">
        <v>14</v>
      </c>
      <c r="C35" s="83">
        <v>23.3</v>
      </c>
      <c r="D35" s="118">
        <v>4.0999999999999996</v>
      </c>
      <c r="E35" s="118">
        <v>14.2</v>
      </c>
      <c r="F35" s="118">
        <v>17.100000000000001</v>
      </c>
      <c r="G35" s="118">
        <v>0.7</v>
      </c>
      <c r="H35" s="120" t="s">
        <v>96</v>
      </c>
      <c r="I35" s="120" t="s">
        <v>96</v>
      </c>
      <c r="J35" s="118">
        <v>2.6</v>
      </c>
      <c r="K35" s="118" t="s">
        <v>96</v>
      </c>
      <c r="L35" s="118">
        <v>0.7</v>
      </c>
      <c r="M35" s="118">
        <v>0.8</v>
      </c>
      <c r="N35" s="118">
        <v>2.7</v>
      </c>
      <c r="O35" s="118" t="s">
        <v>96</v>
      </c>
      <c r="P35" s="118" t="s">
        <v>96</v>
      </c>
      <c r="Q35" s="118" t="s">
        <v>96</v>
      </c>
      <c r="R35" s="118">
        <v>0.3</v>
      </c>
      <c r="S35" s="118" t="s">
        <v>96</v>
      </c>
      <c r="T35" s="118" t="s">
        <v>96</v>
      </c>
      <c r="U35" s="118" t="s">
        <v>96</v>
      </c>
      <c r="V35" s="131" t="s">
        <v>96</v>
      </c>
      <c r="W35" s="131" t="s">
        <v>96</v>
      </c>
      <c r="X35" s="129" t="s">
        <v>96</v>
      </c>
      <c r="Y35" s="129" t="s">
        <v>96</v>
      </c>
      <c r="Z35" s="129" t="s">
        <v>96</v>
      </c>
      <c r="AA35" s="12"/>
    </row>
    <row r="36" spans="1:27" x14ac:dyDescent="0.25">
      <c r="A36" s="9" t="s">
        <v>25</v>
      </c>
      <c r="B36" s="83" t="s">
        <v>96</v>
      </c>
      <c r="C36" s="83" t="s">
        <v>96</v>
      </c>
      <c r="D36" s="120" t="s">
        <v>96</v>
      </c>
      <c r="E36" s="120" t="s">
        <v>96</v>
      </c>
      <c r="F36" s="120" t="s">
        <v>96</v>
      </c>
      <c r="G36" s="120" t="s">
        <v>96</v>
      </c>
      <c r="H36" s="120" t="s">
        <v>96</v>
      </c>
      <c r="I36" s="120" t="s">
        <v>96</v>
      </c>
      <c r="J36" s="120" t="s">
        <v>96</v>
      </c>
      <c r="K36" s="120" t="s">
        <v>96</v>
      </c>
      <c r="L36" s="118" t="s">
        <v>96</v>
      </c>
      <c r="M36" s="118" t="s">
        <v>96</v>
      </c>
      <c r="N36" s="118" t="s">
        <v>96</v>
      </c>
      <c r="O36" s="118" t="s">
        <v>96</v>
      </c>
      <c r="P36" s="118" t="s">
        <v>96</v>
      </c>
      <c r="Q36" s="118" t="s">
        <v>96</v>
      </c>
      <c r="R36" s="118">
        <v>12.7</v>
      </c>
      <c r="S36" s="118">
        <v>12.3</v>
      </c>
      <c r="T36" s="118" t="s">
        <v>96</v>
      </c>
      <c r="U36" s="118" t="s">
        <v>96</v>
      </c>
      <c r="V36" s="131" t="s">
        <v>96</v>
      </c>
      <c r="W36" s="131" t="s">
        <v>96</v>
      </c>
      <c r="X36" s="122">
        <v>41.116</v>
      </c>
      <c r="Y36" s="129" t="s">
        <v>96</v>
      </c>
      <c r="Z36" s="129" t="s">
        <v>96</v>
      </c>
      <c r="AA36" s="12"/>
    </row>
    <row r="37" spans="1:27" x14ac:dyDescent="0.25">
      <c r="A37" s="9" t="s">
        <v>26</v>
      </c>
      <c r="B37" s="83" t="s">
        <v>96</v>
      </c>
      <c r="C37" s="83">
        <v>2.2000000000000002</v>
      </c>
      <c r="D37" s="118">
        <v>14.1</v>
      </c>
      <c r="E37" s="120" t="s">
        <v>96</v>
      </c>
      <c r="F37" s="118">
        <v>3.5</v>
      </c>
      <c r="G37" s="129">
        <v>2</v>
      </c>
      <c r="H37" s="118">
        <v>1.2</v>
      </c>
      <c r="I37" s="120" t="s">
        <v>96</v>
      </c>
      <c r="J37" s="120" t="s">
        <v>96</v>
      </c>
      <c r="K37" s="120" t="s">
        <v>96</v>
      </c>
      <c r="L37" s="118" t="s">
        <v>96</v>
      </c>
      <c r="M37" s="118" t="s">
        <v>96</v>
      </c>
      <c r="N37" s="118" t="s">
        <v>96</v>
      </c>
      <c r="O37" s="118" t="s">
        <v>96</v>
      </c>
      <c r="P37" s="118" t="s">
        <v>96</v>
      </c>
      <c r="Q37" s="118" t="s">
        <v>96</v>
      </c>
      <c r="R37" s="118">
        <v>7.5</v>
      </c>
      <c r="S37" s="118" t="s">
        <v>96</v>
      </c>
      <c r="T37" s="118">
        <v>24.5</v>
      </c>
      <c r="U37" s="131">
        <v>3.4</v>
      </c>
      <c r="V37" s="131">
        <v>27.5</v>
      </c>
      <c r="W37" s="131">
        <v>8.3780000000000001</v>
      </c>
      <c r="X37" s="129" t="s">
        <v>96</v>
      </c>
      <c r="Y37" s="129">
        <v>1.6339999999999999</v>
      </c>
      <c r="Z37" s="129" t="s">
        <v>96</v>
      </c>
      <c r="AA37" s="12"/>
    </row>
    <row r="38" spans="1:27" x14ac:dyDescent="0.25">
      <c r="A38" s="9" t="s">
        <v>27</v>
      </c>
      <c r="B38" s="83" t="s">
        <v>96</v>
      </c>
      <c r="C38" s="83" t="s">
        <v>96</v>
      </c>
      <c r="D38" s="120" t="s">
        <v>96</v>
      </c>
      <c r="E38" s="120" t="s">
        <v>96</v>
      </c>
      <c r="F38" s="120" t="s">
        <v>96</v>
      </c>
      <c r="G38" s="120" t="s">
        <v>96</v>
      </c>
      <c r="H38" s="120" t="s">
        <v>96</v>
      </c>
      <c r="I38" s="120" t="s">
        <v>96</v>
      </c>
      <c r="J38" s="120" t="s">
        <v>96</v>
      </c>
      <c r="K38" s="120" t="s">
        <v>96</v>
      </c>
      <c r="L38" s="120" t="s">
        <v>96</v>
      </c>
      <c r="M38" s="120" t="s">
        <v>96</v>
      </c>
      <c r="N38" s="120" t="s">
        <v>96</v>
      </c>
      <c r="O38" s="120" t="s">
        <v>96</v>
      </c>
      <c r="P38" s="120" t="s">
        <v>96</v>
      </c>
      <c r="Q38" s="120" t="s">
        <v>96</v>
      </c>
      <c r="R38" s="120" t="s">
        <v>96</v>
      </c>
      <c r="S38" s="120" t="s">
        <v>96</v>
      </c>
      <c r="T38" s="120" t="s">
        <v>96</v>
      </c>
      <c r="U38" s="118" t="s">
        <v>96</v>
      </c>
      <c r="V38" s="131" t="s">
        <v>96</v>
      </c>
      <c r="W38" s="131" t="s">
        <v>96</v>
      </c>
      <c r="X38" s="129" t="s">
        <v>96</v>
      </c>
      <c r="Y38" s="129" t="s">
        <v>96</v>
      </c>
      <c r="Z38" s="129" t="s">
        <v>96</v>
      </c>
      <c r="AA38" s="12"/>
    </row>
    <row r="39" spans="1:27" x14ac:dyDescent="0.25">
      <c r="A39" s="9" t="s">
        <v>28</v>
      </c>
      <c r="B39" s="83" t="s">
        <v>96</v>
      </c>
      <c r="C39" s="83" t="s">
        <v>96</v>
      </c>
      <c r="D39" s="120" t="s">
        <v>96</v>
      </c>
      <c r="E39" s="120" t="s">
        <v>96</v>
      </c>
      <c r="F39" s="120" t="s">
        <v>96</v>
      </c>
      <c r="G39" s="120" t="s">
        <v>96</v>
      </c>
      <c r="H39" s="120" t="s">
        <v>96</v>
      </c>
      <c r="I39" s="120" t="s">
        <v>96</v>
      </c>
      <c r="J39" s="120" t="s">
        <v>96</v>
      </c>
      <c r="K39" s="120" t="s">
        <v>96</v>
      </c>
      <c r="L39" s="120" t="s">
        <v>96</v>
      </c>
      <c r="M39" s="120" t="s">
        <v>96</v>
      </c>
      <c r="N39" s="120" t="s">
        <v>96</v>
      </c>
      <c r="O39" s="120" t="s">
        <v>96</v>
      </c>
      <c r="P39" s="120" t="s">
        <v>96</v>
      </c>
      <c r="Q39" s="120" t="s">
        <v>96</v>
      </c>
      <c r="R39" s="120" t="s">
        <v>96</v>
      </c>
      <c r="S39" s="120" t="s">
        <v>96</v>
      </c>
      <c r="T39" s="120" t="s">
        <v>96</v>
      </c>
      <c r="U39" s="131">
        <v>2.2999999999999998</v>
      </c>
      <c r="V39" s="131" t="s">
        <v>96</v>
      </c>
      <c r="W39" s="131" t="s">
        <v>96</v>
      </c>
      <c r="X39" s="129" t="s">
        <v>96</v>
      </c>
      <c r="Y39" s="129" t="s">
        <v>96</v>
      </c>
      <c r="Z39" s="129" t="s">
        <v>96</v>
      </c>
      <c r="AA39" s="12"/>
    </row>
    <row r="40" spans="1:27" x14ac:dyDescent="0.25">
      <c r="A40" s="9" t="s">
        <v>29</v>
      </c>
      <c r="B40" s="83">
        <v>3.6</v>
      </c>
      <c r="C40" s="83" t="s">
        <v>96</v>
      </c>
      <c r="D40" s="118">
        <v>8.3000000000000007</v>
      </c>
      <c r="E40" s="118">
        <v>0.6</v>
      </c>
      <c r="F40" s="120" t="s">
        <v>96</v>
      </c>
      <c r="G40" s="118" t="s">
        <v>96</v>
      </c>
      <c r="H40" s="118">
        <v>3.2</v>
      </c>
      <c r="I40" s="120" t="s">
        <v>96</v>
      </c>
      <c r="J40" s="120" t="s">
        <v>96</v>
      </c>
      <c r="K40" s="120" t="s">
        <v>96</v>
      </c>
      <c r="L40" s="118" t="s">
        <v>96</v>
      </c>
      <c r="M40" s="118" t="s">
        <v>96</v>
      </c>
      <c r="N40" s="118" t="s">
        <v>96</v>
      </c>
      <c r="O40" s="118" t="s">
        <v>96</v>
      </c>
      <c r="P40" s="118" t="s">
        <v>96</v>
      </c>
      <c r="Q40" s="118">
        <v>8.4</v>
      </c>
      <c r="R40" s="118">
        <v>1.8</v>
      </c>
      <c r="S40" s="118">
        <v>0.9</v>
      </c>
      <c r="T40" s="118" t="s">
        <v>96</v>
      </c>
      <c r="U40" s="118" t="s">
        <v>96</v>
      </c>
      <c r="V40" s="131">
        <v>27.4</v>
      </c>
      <c r="W40" s="131">
        <v>3.68</v>
      </c>
      <c r="X40" s="129" t="s">
        <v>96</v>
      </c>
      <c r="Y40" s="129" t="s">
        <v>96</v>
      </c>
      <c r="Z40" s="129" t="s">
        <v>96</v>
      </c>
      <c r="AA40" s="12"/>
    </row>
    <row r="41" spans="1:27" x14ac:dyDescent="0.25">
      <c r="A41" s="9" t="s">
        <v>30</v>
      </c>
      <c r="B41" s="83">
        <v>20.6</v>
      </c>
      <c r="C41" s="83">
        <v>27.7</v>
      </c>
      <c r="D41" s="118">
        <v>35.1</v>
      </c>
      <c r="E41" s="118">
        <v>55.7</v>
      </c>
      <c r="F41" s="118">
        <v>22.6</v>
      </c>
      <c r="G41" s="118" t="s">
        <v>96</v>
      </c>
      <c r="H41" s="120" t="s">
        <v>96</v>
      </c>
      <c r="I41" s="120" t="s">
        <v>96</v>
      </c>
      <c r="J41" s="120" t="s">
        <v>96</v>
      </c>
      <c r="K41" s="120" t="s">
        <v>96</v>
      </c>
      <c r="L41" s="118" t="s">
        <v>96</v>
      </c>
      <c r="M41" s="118" t="s">
        <v>96</v>
      </c>
      <c r="N41" s="118" t="s">
        <v>96</v>
      </c>
      <c r="O41" s="118" t="s">
        <v>96</v>
      </c>
      <c r="P41" s="118" t="s">
        <v>96</v>
      </c>
      <c r="Q41" s="118" t="s">
        <v>96</v>
      </c>
      <c r="R41" s="118">
        <v>59.7</v>
      </c>
      <c r="S41" s="118" t="s">
        <v>96</v>
      </c>
      <c r="T41" s="118" t="s">
        <v>96</v>
      </c>
      <c r="U41" s="118" t="s">
        <v>96</v>
      </c>
      <c r="V41" s="131" t="s">
        <v>96</v>
      </c>
      <c r="W41" s="131" t="s">
        <v>96</v>
      </c>
      <c r="X41" s="129" t="s">
        <v>96</v>
      </c>
      <c r="Y41" s="129" t="s">
        <v>96</v>
      </c>
      <c r="Z41" s="129" t="s">
        <v>96</v>
      </c>
      <c r="AA41" s="12"/>
    </row>
    <row r="42" spans="1:27" ht="18" x14ac:dyDescent="0.25">
      <c r="A42" s="8" t="s">
        <v>174</v>
      </c>
      <c r="B42" s="82">
        <v>37.799999999999997</v>
      </c>
      <c r="C42" s="82">
        <v>36.299999999999997</v>
      </c>
      <c r="D42" s="120">
        <v>8.3000000000000007</v>
      </c>
      <c r="E42" s="120">
        <v>24.7</v>
      </c>
      <c r="F42" s="120">
        <v>25.7</v>
      </c>
      <c r="G42" s="123">
        <v>27</v>
      </c>
      <c r="H42" s="120">
        <v>36.200000000000003</v>
      </c>
      <c r="I42" s="120">
        <v>26.9</v>
      </c>
      <c r="J42" s="120">
        <v>49.1</v>
      </c>
      <c r="K42" s="120">
        <v>19.3</v>
      </c>
      <c r="L42" s="120">
        <v>39.6</v>
      </c>
      <c r="M42" s="120">
        <v>75.2</v>
      </c>
      <c r="N42" s="120">
        <v>46.6</v>
      </c>
      <c r="O42" s="120">
        <v>55.3</v>
      </c>
      <c r="P42" s="120">
        <v>68.900000000000006</v>
      </c>
      <c r="Q42" s="120">
        <v>116.7</v>
      </c>
      <c r="R42" s="120">
        <v>221.7</v>
      </c>
      <c r="S42" s="120">
        <v>63.3</v>
      </c>
      <c r="T42" s="120">
        <v>189.4</v>
      </c>
      <c r="U42" s="130">
        <v>94.3</v>
      </c>
      <c r="V42" s="130">
        <v>96.4</v>
      </c>
      <c r="W42" s="130">
        <v>94.616</v>
      </c>
      <c r="X42" s="124">
        <v>41.796999999999997</v>
      </c>
      <c r="Y42" s="124">
        <v>48.756999999999998</v>
      </c>
      <c r="Z42" s="124">
        <v>47.381999999999998</v>
      </c>
      <c r="AA42" s="12"/>
    </row>
    <row r="43" spans="1:27" x14ac:dyDescent="0.25">
      <c r="A43" s="77" t="s">
        <v>31</v>
      </c>
      <c r="B43" s="83" t="s">
        <v>96</v>
      </c>
      <c r="C43" s="83" t="s">
        <v>96</v>
      </c>
      <c r="D43" s="120" t="s">
        <v>96</v>
      </c>
      <c r="E43" s="120" t="s">
        <v>96</v>
      </c>
      <c r="F43" s="120" t="s">
        <v>96</v>
      </c>
      <c r="G43" s="120" t="s">
        <v>96</v>
      </c>
      <c r="H43" s="120" t="s">
        <v>96</v>
      </c>
      <c r="I43" s="120" t="s">
        <v>96</v>
      </c>
      <c r="J43" s="120" t="s">
        <v>96</v>
      </c>
      <c r="K43" s="118">
        <v>0.8</v>
      </c>
      <c r="L43" s="118" t="s">
        <v>96</v>
      </c>
      <c r="M43" s="118" t="s">
        <v>96</v>
      </c>
      <c r="N43" s="118" t="s">
        <v>96</v>
      </c>
      <c r="O43" s="118" t="s">
        <v>96</v>
      </c>
      <c r="P43" s="118" t="s">
        <v>96</v>
      </c>
      <c r="Q43" s="118" t="s">
        <v>96</v>
      </c>
      <c r="R43" s="118" t="s">
        <v>96</v>
      </c>
      <c r="S43" s="118" t="s">
        <v>96</v>
      </c>
      <c r="T43" s="118">
        <v>13.3</v>
      </c>
      <c r="U43" s="131">
        <v>10.8</v>
      </c>
      <c r="V43" s="131">
        <v>10.9</v>
      </c>
      <c r="W43" s="131" t="s">
        <v>96</v>
      </c>
      <c r="X43" s="129" t="s">
        <v>96</v>
      </c>
      <c r="Y43" s="129" t="s">
        <v>96</v>
      </c>
      <c r="Z43" s="129" t="s">
        <v>96</v>
      </c>
      <c r="AA43" s="12"/>
    </row>
    <row r="44" spans="1:27" x14ac:dyDescent="0.25">
      <c r="A44" s="9" t="s">
        <v>32</v>
      </c>
      <c r="B44" s="83" t="s">
        <v>96</v>
      </c>
      <c r="C44" s="83" t="s">
        <v>96</v>
      </c>
      <c r="D44" s="120" t="s">
        <v>96</v>
      </c>
      <c r="E44" s="120" t="s">
        <v>96</v>
      </c>
      <c r="F44" s="120" t="s">
        <v>96</v>
      </c>
      <c r="G44" s="120" t="s">
        <v>96</v>
      </c>
      <c r="H44" s="120" t="s">
        <v>96</v>
      </c>
      <c r="I44" s="120" t="s">
        <v>96</v>
      </c>
      <c r="J44" s="120" t="s">
        <v>96</v>
      </c>
      <c r="K44" s="120" t="s">
        <v>96</v>
      </c>
      <c r="L44" s="118" t="s">
        <v>96</v>
      </c>
      <c r="M44" s="118" t="s">
        <v>96</v>
      </c>
      <c r="N44" s="118" t="s">
        <v>96</v>
      </c>
      <c r="O44" s="118" t="s">
        <v>96</v>
      </c>
      <c r="P44" s="118" t="s">
        <v>96</v>
      </c>
      <c r="Q44" s="118" t="s">
        <v>96</v>
      </c>
      <c r="R44" s="118" t="s">
        <v>96</v>
      </c>
      <c r="S44" s="118">
        <v>3.5</v>
      </c>
      <c r="T44" s="118" t="s">
        <v>96</v>
      </c>
      <c r="U44" s="131">
        <v>1.2</v>
      </c>
      <c r="V44" s="131">
        <v>9.1</v>
      </c>
      <c r="W44" s="131" t="s">
        <v>96</v>
      </c>
      <c r="X44" s="129" t="s">
        <v>96</v>
      </c>
      <c r="Y44" s="129" t="s">
        <v>96</v>
      </c>
      <c r="Z44" s="129" t="s">
        <v>96</v>
      </c>
      <c r="AA44" s="12"/>
    </row>
    <row r="45" spans="1:27" x14ac:dyDescent="0.25">
      <c r="A45" s="9" t="s">
        <v>33</v>
      </c>
      <c r="B45" s="83" t="s">
        <v>96</v>
      </c>
      <c r="C45" s="83" t="s">
        <v>96</v>
      </c>
      <c r="D45" s="120" t="s">
        <v>96</v>
      </c>
      <c r="E45" s="120" t="s">
        <v>96</v>
      </c>
      <c r="F45" s="120" t="s">
        <v>96</v>
      </c>
      <c r="G45" s="120" t="s">
        <v>96</v>
      </c>
      <c r="H45" s="120" t="s">
        <v>96</v>
      </c>
      <c r="I45" s="120" t="s">
        <v>96</v>
      </c>
      <c r="J45" s="120" t="s">
        <v>96</v>
      </c>
      <c r="K45" s="120" t="s">
        <v>96</v>
      </c>
      <c r="L45" s="120" t="s">
        <v>96</v>
      </c>
      <c r="M45" s="120" t="s">
        <v>96</v>
      </c>
      <c r="N45" s="120" t="s">
        <v>96</v>
      </c>
      <c r="O45" s="120" t="s">
        <v>96</v>
      </c>
      <c r="P45" s="118" t="s">
        <v>96</v>
      </c>
      <c r="Q45" s="118" t="s">
        <v>96</v>
      </c>
      <c r="R45" s="118">
        <v>14.3</v>
      </c>
      <c r="S45" s="118">
        <v>1.2</v>
      </c>
      <c r="T45" s="129">
        <v>27</v>
      </c>
      <c r="U45" s="131">
        <v>22.6</v>
      </c>
      <c r="V45" s="131">
        <v>26.8</v>
      </c>
      <c r="W45" s="131">
        <v>4.6589999999999998</v>
      </c>
      <c r="X45" s="129" t="s">
        <v>96</v>
      </c>
      <c r="Y45" s="129">
        <v>9.91</v>
      </c>
      <c r="Z45" s="129">
        <v>2.8359999999999999</v>
      </c>
      <c r="AA45" s="12"/>
    </row>
    <row r="46" spans="1:27" x14ac:dyDescent="0.25">
      <c r="A46" s="9" t="s">
        <v>34</v>
      </c>
      <c r="B46" s="83">
        <v>12.3</v>
      </c>
      <c r="C46" s="83">
        <v>0.4</v>
      </c>
      <c r="D46" s="118">
        <v>3.8</v>
      </c>
      <c r="E46" s="118">
        <v>22.8</v>
      </c>
      <c r="F46" s="118">
        <v>7.7</v>
      </c>
      <c r="G46" s="118">
        <v>23.3</v>
      </c>
      <c r="H46" s="118">
        <v>30.8</v>
      </c>
      <c r="I46" s="118">
        <v>13.3</v>
      </c>
      <c r="J46" s="118">
        <v>8.1</v>
      </c>
      <c r="K46" s="118">
        <v>14.9</v>
      </c>
      <c r="L46" s="118">
        <v>35.799999999999997</v>
      </c>
      <c r="M46" s="118">
        <v>38.200000000000003</v>
      </c>
      <c r="N46" s="118">
        <v>29.3</v>
      </c>
      <c r="O46" s="118">
        <v>34.9</v>
      </c>
      <c r="P46" s="118">
        <v>55.6</v>
      </c>
      <c r="Q46" s="118">
        <v>84.4</v>
      </c>
      <c r="R46" s="129">
        <v>106</v>
      </c>
      <c r="S46" s="118">
        <v>37.700000000000003</v>
      </c>
      <c r="T46" s="118">
        <v>45.7</v>
      </c>
      <c r="U46" s="131">
        <v>25.6</v>
      </c>
      <c r="V46" s="131">
        <v>9.6999999999999993</v>
      </c>
      <c r="W46" s="131">
        <v>34.454000000000001</v>
      </c>
      <c r="X46" s="122">
        <v>6.835</v>
      </c>
      <c r="Y46" s="122">
        <v>21.689</v>
      </c>
      <c r="Z46" s="122">
        <v>21.407</v>
      </c>
      <c r="AA46" s="12"/>
    </row>
    <row r="47" spans="1:27" x14ac:dyDescent="0.25">
      <c r="A47" s="9" t="s">
        <v>35</v>
      </c>
      <c r="B47" s="83" t="s">
        <v>96</v>
      </c>
      <c r="C47" s="83" t="s">
        <v>96</v>
      </c>
      <c r="D47" s="120" t="s">
        <v>96</v>
      </c>
      <c r="E47" s="120" t="s">
        <v>96</v>
      </c>
      <c r="F47" s="120" t="s">
        <v>96</v>
      </c>
      <c r="G47" s="120" t="s">
        <v>96</v>
      </c>
      <c r="H47" s="120" t="s">
        <v>96</v>
      </c>
      <c r="I47" s="120" t="s">
        <v>96</v>
      </c>
      <c r="J47" s="120" t="s">
        <v>96</v>
      </c>
      <c r="K47" s="120" t="s">
        <v>96</v>
      </c>
      <c r="L47" s="120" t="s">
        <v>96</v>
      </c>
      <c r="M47" s="120" t="s">
        <v>96</v>
      </c>
      <c r="N47" s="120" t="s">
        <v>96</v>
      </c>
      <c r="O47" s="120" t="s">
        <v>96</v>
      </c>
      <c r="P47" s="120" t="s">
        <v>96</v>
      </c>
      <c r="Q47" s="120" t="s">
        <v>96</v>
      </c>
      <c r="R47" s="120" t="s">
        <v>96</v>
      </c>
      <c r="S47" s="120" t="s">
        <v>96</v>
      </c>
      <c r="T47" s="120" t="s">
        <v>96</v>
      </c>
      <c r="U47" s="118" t="s">
        <v>96</v>
      </c>
      <c r="V47" s="131" t="s">
        <v>96</v>
      </c>
      <c r="W47" s="131">
        <v>9.7910000000000004</v>
      </c>
      <c r="X47" s="129" t="s">
        <v>96</v>
      </c>
      <c r="Y47" s="129">
        <v>4.5250000000000004</v>
      </c>
      <c r="Z47" s="129" t="s">
        <v>96</v>
      </c>
      <c r="AA47" s="12"/>
    </row>
    <row r="48" spans="1:27" x14ac:dyDescent="0.25">
      <c r="A48" s="9" t="s">
        <v>36</v>
      </c>
      <c r="B48" s="83" t="s">
        <v>96</v>
      </c>
      <c r="C48" s="83" t="s">
        <v>96</v>
      </c>
      <c r="D48" s="120" t="s">
        <v>96</v>
      </c>
      <c r="E48" s="120" t="s">
        <v>96</v>
      </c>
      <c r="F48" s="120" t="s">
        <v>96</v>
      </c>
      <c r="G48" s="120" t="s">
        <v>96</v>
      </c>
      <c r="H48" s="120" t="s">
        <v>96</v>
      </c>
      <c r="I48" s="120" t="s">
        <v>96</v>
      </c>
      <c r="J48" s="120" t="s">
        <v>96</v>
      </c>
      <c r="K48" s="120" t="s">
        <v>96</v>
      </c>
      <c r="L48" s="120" t="s">
        <v>96</v>
      </c>
      <c r="M48" s="120" t="s">
        <v>96</v>
      </c>
      <c r="N48" s="120" t="s">
        <v>96</v>
      </c>
      <c r="O48" s="120" t="s">
        <v>96</v>
      </c>
      <c r="P48" s="120" t="s">
        <v>96</v>
      </c>
      <c r="Q48" s="120" t="s">
        <v>96</v>
      </c>
      <c r="R48" s="120" t="s">
        <v>96</v>
      </c>
      <c r="S48" s="120" t="s">
        <v>96</v>
      </c>
      <c r="T48" s="120" t="s">
        <v>96</v>
      </c>
      <c r="U48" s="118" t="s">
        <v>96</v>
      </c>
      <c r="V48" s="131" t="s">
        <v>96</v>
      </c>
      <c r="W48" s="131">
        <v>6.4189999999999996</v>
      </c>
      <c r="X48" s="129" t="s">
        <v>96</v>
      </c>
      <c r="Y48" s="129">
        <v>3.0819999999999999</v>
      </c>
      <c r="Z48" s="129" t="s">
        <v>96</v>
      </c>
      <c r="AA48" s="12"/>
    </row>
    <row r="49" spans="1:27" x14ac:dyDescent="0.25">
      <c r="A49" s="9" t="s">
        <v>37</v>
      </c>
      <c r="B49" s="83">
        <v>25.5</v>
      </c>
      <c r="C49" s="83">
        <v>35.9</v>
      </c>
      <c r="D49" s="118">
        <v>4.5</v>
      </c>
      <c r="E49" s="118">
        <v>1.9</v>
      </c>
      <c r="F49" s="129">
        <v>18</v>
      </c>
      <c r="G49" s="118">
        <v>3.7</v>
      </c>
      <c r="H49" s="118">
        <v>5.4</v>
      </c>
      <c r="I49" s="118">
        <v>13.6</v>
      </c>
      <c r="J49" s="129">
        <v>41</v>
      </c>
      <c r="K49" s="118">
        <v>3.6</v>
      </c>
      <c r="L49" s="118">
        <v>3.8</v>
      </c>
      <c r="M49" s="118">
        <v>36.9</v>
      </c>
      <c r="N49" s="118">
        <v>17.3</v>
      </c>
      <c r="O49" s="118">
        <v>20.399999999999999</v>
      </c>
      <c r="P49" s="118">
        <v>13.3</v>
      </c>
      <c r="Q49" s="118">
        <v>32.299999999999997</v>
      </c>
      <c r="R49" s="118">
        <v>49.1</v>
      </c>
      <c r="S49" s="118">
        <v>20.8</v>
      </c>
      <c r="T49" s="118">
        <v>49.5</v>
      </c>
      <c r="U49" s="131">
        <v>21.2</v>
      </c>
      <c r="V49" s="131">
        <v>27.1</v>
      </c>
      <c r="W49" s="131">
        <v>37.070999999999998</v>
      </c>
      <c r="X49" s="122">
        <v>30.047999999999998</v>
      </c>
      <c r="Y49" s="122">
        <v>1.2490000000000001</v>
      </c>
      <c r="Z49" s="122">
        <v>17.39</v>
      </c>
      <c r="AA49" s="12"/>
    </row>
    <row r="50" spans="1:27" x14ac:dyDescent="0.25">
      <c r="A50" s="9" t="s">
        <v>38</v>
      </c>
      <c r="B50" s="83" t="s">
        <v>96</v>
      </c>
      <c r="C50" s="83" t="s">
        <v>96</v>
      </c>
      <c r="D50" s="120" t="s">
        <v>96</v>
      </c>
      <c r="E50" s="120" t="s">
        <v>96</v>
      </c>
      <c r="F50" s="120" t="s">
        <v>96</v>
      </c>
      <c r="G50" s="120" t="s">
        <v>96</v>
      </c>
      <c r="H50" s="120" t="s">
        <v>96</v>
      </c>
      <c r="I50" s="120" t="s">
        <v>96</v>
      </c>
      <c r="J50" s="120" t="s">
        <v>96</v>
      </c>
      <c r="K50" s="120" t="s">
        <v>96</v>
      </c>
      <c r="L50" s="120" t="s">
        <v>96</v>
      </c>
      <c r="M50" s="120" t="s">
        <v>96</v>
      </c>
      <c r="N50" s="120" t="s">
        <v>96</v>
      </c>
      <c r="O50" s="118" t="s">
        <v>96</v>
      </c>
      <c r="P50" s="118" t="s">
        <v>96</v>
      </c>
      <c r="Q50" s="118" t="s">
        <v>96</v>
      </c>
      <c r="R50" s="118">
        <v>52.3</v>
      </c>
      <c r="S50" s="118" t="s">
        <v>96</v>
      </c>
      <c r="T50" s="118">
        <v>53.9</v>
      </c>
      <c r="U50" s="131">
        <v>12.8</v>
      </c>
      <c r="V50" s="131">
        <v>12.9</v>
      </c>
      <c r="W50" s="131">
        <v>2.222</v>
      </c>
      <c r="X50" s="122">
        <v>4.9139999999999997</v>
      </c>
      <c r="Y50" s="122">
        <v>8.3019999999999996</v>
      </c>
      <c r="Z50" s="122">
        <v>5.7489999999999997</v>
      </c>
      <c r="AA50" s="12"/>
    </row>
    <row r="51" spans="1:27" ht="18" x14ac:dyDescent="0.25">
      <c r="A51" s="8" t="s">
        <v>89</v>
      </c>
      <c r="B51" s="82">
        <v>29.5</v>
      </c>
      <c r="C51" s="82">
        <v>16.8</v>
      </c>
      <c r="D51" s="120">
        <v>25.3</v>
      </c>
      <c r="E51" s="120">
        <v>35.4</v>
      </c>
      <c r="F51" s="120">
        <v>18.399999999999999</v>
      </c>
      <c r="G51" s="123">
        <v>53</v>
      </c>
      <c r="H51" s="120">
        <v>60.5</v>
      </c>
      <c r="I51" s="120">
        <v>49.7</v>
      </c>
      <c r="J51" s="120">
        <v>108.1</v>
      </c>
      <c r="K51" s="120">
        <v>5.7</v>
      </c>
      <c r="L51" s="120">
        <v>3.4</v>
      </c>
      <c r="M51" s="120">
        <v>20</v>
      </c>
      <c r="N51" s="120">
        <v>10.5</v>
      </c>
      <c r="O51" s="120">
        <v>120.3</v>
      </c>
      <c r="P51" s="120">
        <v>5.0999999999999996</v>
      </c>
      <c r="Q51" s="120">
        <v>15.3</v>
      </c>
      <c r="R51" s="120">
        <v>32.200000000000003</v>
      </c>
      <c r="S51" s="120">
        <v>294.2</v>
      </c>
      <c r="T51" s="120">
        <v>5.9</v>
      </c>
      <c r="U51" s="130">
        <v>311.60000000000002</v>
      </c>
      <c r="V51" s="130">
        <v>313.5</v>
      </c>
      <c r="W51" s="130">
        <v>374.30599999999998</v>
      </c>
      <c r="X51" s="124">
        <v>215.13</v>
      </c>
      <c r="Y51" s="124">
        <v>328.97399999999999</v>
      </c>
      <c r="Z51" s="124">
        <v>361.96800000000002</v>
      </c>
      <c r="AA51" s="12"/>
    </row>
    <row r="52" spans="1:27" x14ac:dyDescent="0.25">
      <c r="A52" s="9" t="s">
        <v>39</v>
      </c>
      <c r="B52" s="83">
        <v>10.8</v>
      </c>
      <c r="C52" s="83">
        <v>6.4</v>
      </c>
      <c r="D52" s="118">
        <v>7.3</v>
      </c>
      <c r="E52" s="118">
        <v>8.3000000000000007</v>
      </c>
      <c r="F52" s="120" t="s">
        <v>96</v>
      </c>
      <c r="G52" s="118">
        <v>49.5</v>
      </c>
      <c r="H52" s="118">
        <v>43.7</v>
      </c>
      <c r="I52" s="118">
        <v>35.9</v>
      </c>
      <c r="J52" s="118">
        <v>100.9</v>
      </c>
      <c r="K52" s="118"/>
      <c r="L52" s="118" t="s">
        <v>96</v>
      </c>
      <c r="M52" s="118" t="s">
        <v>96</v>
      </c>
      <c r="N52" s="118" t="s">
        <v>96</v>
      </c>
      <c r="O52" s="118" t="s">
        <v>96</v>
      </c>
      <c r="P52" s="118" t="s">
        <v>96</v>
      </c>
      <c r="Q52" s="118" t="s">
        <v>96</v>
      </c>
      <c r="R52" s="118" t="s">
        <v>96</v>
      </c>
      <c r="S52" s="118">
        <v>284.8</v>
      </c>
      <c r="T52" s="118" t="s">
        <v>96</v>
      </c>
      <c r="U52" s="131">
        <v>261.5</v>
      </c>
      <c r="V52" s="131">
        <v>313.5</v>
      </c>
      <c r="W52" s="131">
        <v>369.637</v>
      </c>
      <c r="X52" s="122">
        <v>168.34299999999999</v>
      </c>
      <c r="Y52" s="122">
        <v>235.68</v>
      </c>
      <c r="Z52" s="122">
        <v>324.39</v>
      </c>
      <c r="AA52" s="12"/>
    </row>
    <row r="53" spans="1:27" x14ac:dyDescent="0.25">
      <c r="A53" s="9" t="s">
        <v>99</v>
      </c>
      <c r="B53" s="83" t="s">
        <v>96</v>
      </c>
      <c r="C53" s="83" t="s">
        <v>96</v>
      </c>
      <c r="D53" s="120" t="s">
        <v>96</v>
      </c>
      <c r="E53" s="120" t="s">
        <v>96</v>
      </c>
      <c r="F53" s="120" t="s">
        <v>96</v>
      </c>
      <c r="G53" s="120" t="s">
        <v>96</v>
      </c>
      <c r="H53" s="120" t="s">
        <v>96</v>
      </c>
      <c r="I53" s="120" t="s">
        <v>96</v>
      </c>
      <c r="J53" s="120" t="s">
        <v>96</v>
      </c>
      <c r="K53" s="120" t="s">
        <v>96</v>
      </c>
      <c r="L53" s="120" t="s">
        <v>96</v>
      </c>
      <c r="M53" s="120" t="s">
        <v>96</v>
      </c>
      <c r="N53" s="120" t="s">
        <v>96</v>
      </c>
      <c r="O53" s="120" t="s">
        <v>96</v>
      </c>
      <c r="P53" s="120" t="s">
        <v>96</v>
      </c>
      <c r="Q53" s="120" t="s">
        <v>96</v>
      </c>
      <c r="R53" s="120" t="s">
        <v>96</v>
      </c>
      <c r="S53" s="120" t="s">
        <v>96</v>
      </c>
      <c r="T53" s="120" t="s">
        <v>96</v>
      </c>
      <c r="U53" s="118" t="s">
        <v>96</v>
      </c>
      <c r="V53" s="131" t="s">
        <v>96</v>
      </c>
      <c r="W53" s="131" t="s">
        <v>96</v>
      </c>
      <c r="X53" s="129" t="s">
        <v>96</v>
      </c>
      <c r="Y53" s="129" t="s">
        <v>96</v>
      </c>
      <c r="Z53" s="129">
        <v>19.658999999999999</v>
      </c>
      <c r="AA53" s="12"/>
    </row>
    <row r="54" spans="1:27" ht="19.5" x14ac:dyDescent="0.25">
      <c r="A54" s="9" t="s">
        <v>41</v>
      </c>
      <c r="B54" s="83" t="s">
        <v>96</v>
      </c>
      <c r="C54" s="83" t="s">
        <v>96</v>
      </c>
      <c r="D54" s="120" t="s">
        <v>96</v>
      </c>
      <c r="E54" s="120" t="s">
        <v>96</v>
      </c>
      <c r="F54" s="120" t="s">
        <v>96</v>
      </c>
      <c r="G54" s="120" t="s">
        <v>96</v>
      </c>
      <c r="H54" s="120" t="s">
        <v>96</v>
      </c>
      <c r="I54" s="120" t="s">
        <v>96</v>
      </c>
      <c r="J54" s="120" t="s">
        <v>96</v>
      </c>
      <c r="K54" s="120" t="s">
        <v>96</v>
      </c>
      <c r="L54" s="120" t="s">
        <v>96</v>
      </c>
      <c r="M54" s="120" t="s">
        <v>96</v>
      </c>
      <c r="N54" s="120" t="s">
        <v>96</v>
      </c>
      <c r="O54" s="120" t="s">
        <v>96</v>
      </c>
      <c r="P54" s="120" t="s">
        <v>96</v>
      </c>
      <c r="Q54" s="120" t="s">
        <v>96</v>
      </c>
      <c r="R54" s="120" t="s">
        <v>96</v>
      </c>
      <c r="S54" s="120" t="s">
        <v>96</v>
      </c>
      <c r="T54" s="120" t="s">
        <v>96</v>
      </c>
      <c r="U54" s="131">
        <v>8.9</v>
      </c>
      <c r="V54" s="131" t="s">
        <v>96</v>
      </c>
      <c r="W54" s="131" t="s">
        <v>96</v>
      </c>
      <c r="X54" s="122">
        <v>20.748000000000001</v>
      </c>
      <c r="Y54" s="122">
        <v>9.2349999999999994</v>
      </c>
      <c r="Z54" s="122" t="s">
        <v>96</v>
      </c>
      <c r="AA54" s="12"/>
    </row>
    <row r="55" spans="1:27" ht="19.5" x14ac:dyDescent="0.25">
      <c r="A55" s="9" t="s">
        <v>42</v>
      </c>
      <c r="B55" s="83" t="s">
        <v>96</v>
      </c>
      <c r="C55" s="83">
        <v>2.5</v>
      </c>
      <c r="D55" s="120" t="s">
        <v>96</v>
      </c>
      <c r="E55" s="120" t="s">
        <v>96</v>
      </c>
      <c r="F55" s="118">
        <v>7.6</v>
      </c>
      <c r="G55" s="118">
        <v>3.5</v>
      </c>
      <c r="H55" s="118">
        <v>4.4000000000000004</v>
      </c>
      <c r="I55" s="118">
        <v>10.199999999999999</v>
      </c>
      <c r="J55" s="118">
        <v>3.2</v>
      </c>
      <c r="K55" s="129">
        <v>3</v>
      </c>
      <c r="L55" s="118" t="s">
        <v>96</v>
      </c>
      <c r="M55" s="118" t="s">
        <v>96</v>
      </c>
      <c r="N55" s="118" t="s">
        <v>96</v>
      </c>
      <c r="O55" s="118" t="s">
        <v>96</v>
      </c>
      <c r="P55" s="118" t="s">
        <v>96</v>
      </c>
      <c r="Q55" s="118" t="s">
        <v>96</v>
      </c>
      <c r="R55" s="118">
        <v>9.6</v>
      </c>
      <c r="S55" s="118" t="s">
        <v>96</v>
      </c>
      <c r="T55" s="118" t="s">
        <v>96</v>
      </c>
      <c r="U55" s="131">
        <v>20</v>
      </c>
      <c r="V55" s="131" t="s">
        <v>96</v>
      </c>
      <c r="W55" s="131">
        <v>4.6689999999999996</v>
      </c>
      <c r="X55" s="122">
        <v>13.388999999999999</v>
      </c>
      <c r="Y55" s="122">
        <v>82.39</v>
      </c>
      <c r="Z55" s="122">
        <v>17.919</v>
      </c>
      <c r="AA55" s="12"/>
    </row>
    <row r="56" spans="1:27" ht="19.5" x14ac:dyDescent="0.25">
      <c r="A56" s="9" t="s">
        <v>161</v>
      </c>
      <c r="B56" s="83">
        <v>6.8</v>
      </c>
      <c r="C56" s="83">
        <v>6.3</v>
      </c>
      <c r="D56" s="129">
        <v>11</v>
      </c>
      <c r="E56" s="118">
        <v>5.3</v>
      </c>
      <c r="F56" s="118">
        <v>1.6</v>
      </c>
      <c r="G56" s="120" t="s">
        <v>96</v>
      </c>
      <c r="H56" s="120" t="s">
        <v>96</v>
      </c>
      <c r="I56" s="120" t="s">
        <v>96</v>
      </c>
      <c r="J56" s="120" t="s">
        <v>96</v>
      </c>
      <c r="K56" s="120" t="s">
        <v>96</v>
      </c>
      <c r="L56" s="120" t="s">
        <v>96</v>
      </c>
      <c r="M56" s="120" t="s">
        <v>96</v>
      </c>
      <c r="N56" s="120" t="s">
        <v>96</v>
      </c>
      <c r="O56" s="120" t="s">
        <v>96</v>
      </c>
      <c r="P56" s="120" t="s">
        <v>96</v>
      </c>
      <c r="Q56" s="120" t="s">
        <v>96</v>
      </c>
      <c r="R56" s="120" t="s">
        <v>96</v>
      </c>
      <c r="S56" s="120" t="s">
        <v>96</v>
      </c>
      <c r="T56" s="118" t="s">
        <v>96</v>
      </c>
      <c r="U56" s="131">
        <v>7</v>
      </c>
      <c r="V56" s="131" t="s">
        <v>96</v>
      </c>
      <c r="W56" s="131" t="s">
        <v>96</v>
      </c>
      <c r="X56" s="129" t="s">
        <v>96</v>
      </c>
      <c r="Y56" s="129" t="s">
        <v>96</v>
      </c>
      <c r="Z56" s="129" t="s">
        <v>96</v>
      </c>
      <c r="AA56" s="12"/>
    </row>
    <row r="57" spans="1:27" x14ac:dyDescent="0.25">
      <c r="A57" s="9" t="s">
        <v>97</v>
      </c>
      <c r="B57" s="83" t="s">
        <v>96</v>
      </c>
      <c r="C57" s="83" t="s">
        <v>96</v>
      </c>
      <c r="D57" s="129" t="s">
        <v>96</v>
      </c>
      <c r="E57" s="118" t="s">
        <v>96</v>
      </c>
      <c r="F57" s="118" t="s">
        <v>96</v>
      </c>
      <c r="G57" s="120" t="s">
        <v>96</v>
      </c>
      <c r="H57" s="120" t="s">
        <v>96</v>
      </c>
      <c r="I57" s="120" t="s">
        <v>96</v>
      </c>
      <c r="J57" s="120" t="s">
        <v>96</v>
      </c>
      <c r="K57" s="120" t="s">
        <v>96</v>
      </c>
      <c r="L57" s="120" t="s">
        <v>96</v>
      </c>
      <c r="M57" s="120" t="s">
        <v>96</v>
      </c>
      <c r="N57" s="120" t="s">
        <v>96</v>
      </c>
      <c r="O57" s="120" t="s">
        <v>96</v>
      </c>
      <c r="P57" s="120" t="s">
        <v>96</v>
      </c>
      <c r="Q57" s="120" t="s">
        <v>96</v>
      </c>
      <c r="R57" s="120" t="s">
        <v>96</v>
      </c>
      <c r="S57" s="120" t="s">
        <v>96</v>
      </c>
      <c r="T57" s="118" t="s">
        <v>96</v>
      </c>
      <c r="U57" s="118" t="s">
        <v>96</v>
      </c>
      <c r="V57" s="131" t="s">
        <v>96</v>
      </c>
      <c r="W57" s="131" t="s">
        <v>96</v>
      </c>
      <c r="X57" s="122">
        <v>12.65</v>
      </c>
      <c r="Y57" s="129" t="s">
        <v>96</v>
      </c>
      <c r="Z57" s="129" t="s">
        <v>96</v>
      </c>
      <c r="AA57" s="12"/>
    </row>
    <row r="58" spans="1:27" x14ac:dyDescent="0.25">
      <c r="A58" s="9" t="s">
        <v>45</v>
      </c>
      <c r="B58" s="83">
        <v>11.9</v>
      </c>
      <c r="C58" s="83">
        <v>1.6</v>
      </c>
      <c r="D58" s="129">
        <v>7</v>
      </c>
      <c r="E58" s="118">
        <v>21.8</v>
      </c>
      <c r="F58" s="118">
        <v>9.1999999999999993</v>
      </c>
      <c r="G58" s="118" t="s">
        <v>96</v>
      </c>
      <c r="H58" s="118">
        <v>12.4</v>
      </c>
      <c r="I58" s="118">
        <v>3.6</v>
      </c>
      <c r="J58" s="129">
        <v>4</v>
      </c>
      <c r="K58" s="118">
        <v>2.7</v>
      </c>
      <c r="L58" s="118">
        <v>3.4</v>
      </c>
      <c r="M58" s="118">
        <v>20</v>
      </c>
      <c r="N58" s="118">
        <v>10.5</v>
      </c>
      <c r="O58" s="118">
        <v>120.3</v>
      </c>
      <c r="P58" s="118">
        <v>5.0999999999999996</v>
      </c>
      <c r="Q58" s="118">
        <v>15.3</v>
      </c>
      <c r="R58" s="118">
        <v>22.6</v>
      </c>
      <c r="S58" s="118">
        <v>9.4</v>
      </c>
      <c r="T58" s="118">
        <v>5.9</v>
      </c>
      <c r="U58" s="131">
        <v>14.1</v>
      </c>
      <c r="V58" s="131" t="s">
        <v>96</v>
      </c>
      <c r="W58" s="131" t="s">
        <v>96</v>
      </c>
      <c r="X58" s="129" t="s">
        <v>96</v>
      </c>
      <c r="Y58" s="129">
        <v>1.669</v>
      </c>
      <c r="Z58" s="129" t="s">
        <v>96</v>
      </c>
      <c r="AA58" s="12"/>
    </row>
    <row r="59" spans="1:27" ht="18" x14ac:dyDescent="0.25">
      <c r="A59" s="8" t="s">
        <v>90</v>
      </c>
      <c r="B59" s="82">
        <v>260.39999999999998</v>
      </c>
      <c r="C59" s="82">
        <v>318.3</v>
      </c>
      <c r="D59" s="123">
        <v>231</v>
      </c>
      <c r="E59" s="120">
        <v>163.6</v>
      </c>
      <c r="F59" s="120">
        <v>136.6</v>
      </c>
      <c r="G59" s="120">
        <v>252.6</v>
      </c>
      <c r="H59" s="120">
        <v>236.6</v>
      </c>
      <c r="I59" s="120">
        <v>202.7</v>
      </c>
      <c r="J59" s="120">
        <v>241.1</v>
      </c>
      <c r="K59" s="120">
        <v>152.6</v>
      </c>
      <c r="L59" s="120">
        <v>143.6</v>
      </c>
      <c r="M59" s="120">
        <v>125.2</v>
      </c>
      <c r="N59" s="120">
        <v>110.7</v>
      </c>
      <c r="O59" s="120">
        <v>166.5</v>
      </c>
      <c r="P59" s="120">
        <v>187.8</v>
      </c>
      <c r="Q59" s="123">
        <v>175</v>
      </c>
      <c r="R59" s="120">
        <v>203.6</v>
      </c>
      <c r="S59" s="120">
        <v>165.7</v>
      </c>
      <c r="T59" s="123">
        <v>99</v>
      </c>
      <c r="U59" s="130">
        <v>194.5</v>
      </c>
      <c r="V59" s="130">
        <v>182.1</v>
      </c>
      <c r="W59" s="130">
        <v>62.822000000000003</v>
      </c>
      <c r="X59" s="124">
        <v>94.182000000000002</v>
      </c>
      <c r="Y59" s="124">
        <v>65.305000000000007</v>
      </c>
      <c r="Z59" s="124">
        <v>9.3640000000000008</v>
      </c>
      <c r="AA59" s="12"/>
    </row>
    <row r="60" spans="1:27" x14ac:dyDescent="0.25">
      <c r="A60" s="9" t="s">
        <v>46</v>
      </c>
      <c r="B60" s="83">
        <v>4.3</v>
      </c>
      <c r="C60" s="83">
        <v>6.3</v>
      </c>
      <c r="D60" s="118">
        <v>8.6</v>
      </c>
      <c r="E60" s="118">
        <v>18.8</v>
      </c>
      <c r="F60" s="120" t="s">
        <v>96</v>
      </c>
      <c r="G60" s="118">
        <v>10.4</v>
      </c>
      <c r="H60" s="118">
        <v>17.8</v>
      </c>
      <c r="I60" s="118">
        <v>11.8</v>
      </c>
      <c r="J60" s="118">
        <v>10.5</v>
      </c>
      <c r="K60" s="118"/>
      <c r="L60" s="118">
        <v>6.9</v>
      </c>
      <c r="M60" s="118" t="s">
        <v>96</v>
      </c>
      <c r="N60" s="118" t="s">
        <v>96</v>
      </c>
      <c r="O60" s="118" t="s">
        <v>96</v>
      </c>
      <c r="P60" s="118" t="s">
        <v>96</v>
      </c>
      <c r="Q60" s="118">
        <v>13.6</v>
      </c>
      <c r="R60" s="118">
        <v>4.8</v>
      </c>
      <c r="S60" s="118">
        <v>6.2</v>
      </c>
      <c r="T60" s="118">
        <v>4.5999999999999996</v>
      </c>
      <c r="U60" s="131">
        <v>3.9</v>
      </c>
      <c r="V60" s="131">
        <v>3.9</v>
      </c>
      <c r="W60" s="131" t="s">
        <v>96</v>
      </c>
      <c r="X60" s="129" t="s">
        <v>96</v>
      </c>
      <c r="Y60" s="129">
        <v>10.771000000000001</v>
      </c>
      <c r="Z60" s="129">
        <v>7.0979999999999999</v>
      </c>
      <c r="AA60" s="12"/>
    </row>
    <row r="61" spans="1:27" x14ac:dyDescent="0.25">
      <c r="A61" s="9" t="s">
        <v>47</v>
      </c>
      <c r="B61" s="83">
        <v>2.7</v>
      </c>
      <c r="C61" s="83" t="s">
        <v>96</v>
      </c>
      <c r="D61" s="120" t="s">
        <v>96</v>
      </c>
      <c r="E61" s="118">
        <v>3.1</v>
      </c>
      <c r="F61" s="120" t="s">
        <v>96</v>
      </c>
      <c r="G61" s="118" t="s">
        <v>96</v>
      </c>
      <c r="H61" s="120" t="s">
        <v>96</v>
      </c>
      <c r="I61" s="118">
        <v>8.4</v>
      </c>
      <c r="J61" s="118">
        <v>2.4</v>
      </c>
      <c r="K61" s="118"/>
      <c r="L61" s="118">
        <v>1.1000000000000001</v>
      </c>
      <c r="M61" s="118" t="s">
        <v>96</v>
      </c>
      <c r="N61" s="118" t="s">
        <v>96</v>
      </c>
      <c r="O61" s="118" t="s">
        <v>96</v>
      </c>
      <c r="P61" s="118" t="s">
        <v>96</v>
      </c>
      <c r="Q61" s="118" t="s">
        <v>96</v>
      </c>
      <c r="R61" s="118" t="s">
        <v>96</v>
      </c>
      <c r="S61" s="118" t="s">
        <v>96</v>
      </c>
      <c r="T61" s="118" t="s">
        <v>96</v>
      </c>
      <c r="U61" s="118" t="s">
        <v>96</v>
      </c>
      <c r="V61" s="131" t="s">
        <v>96</v>
      </c>
      <c r="W61" s="131" t="s">
        <v>96</v>
      </c>
      <c r="X61" s="129" t="s">
        <v>96</v>
      </c>
      <c r="Y61" s="129" t="s">
        <v>96</v>
      </c>
      <c r="Z61" s="129" t="s">
        <v>96</v>
      </c>
      <c r="AA61" s="12"/>
    </row>
    <row r="62" spans="1:27" x14ac:dyDescent="0.25">
      <c r="A62" s="9" t="s">
        <v>48</v>
      </c>
      <c r="B62" s="83" t="s">
        <v>96</v>
      </c>
      <c r="C62" s="83" t="s">
        <v>96</v>
      </c>
      <c r="D62" s="120" t="s">
        <v>96</v>
      </c>
      <c r="E62" s="120" t="s">
        <v>96</v>
      </c>
      <c r="F62" s="120" t="s">
        <v>96</v>
      </c>
      <c r="G62" s="120" t="s">
        <v>96</v>
      </c>
      <c r="H62" s="120" t="s">
        <v>96</v>
      </c>
      <c r="I62" s="120" t="s">
        <v>96</v>
      </c>
      <c r="J62" s="120" t="s">
        <v>96</v>
      </c>
      <c r="K62" s="120" t="s">
        <v>96</v>
      </c>
      <c r="L62" s="120" t="s">
        <v>96</v>
      </c>
      <c r="M62" s="120" t="s">
        <v>96</v>
      </c>
      <c r="N62" s="120" t="s">
        <v>96</v>
      </c>
      <c r="O62" s="120" t="s">
        <v>96</v>
      </c>
      <c r="P62" s="120" t="s">
        <v>96</v>
      </c>
      <c r="Q62" s="120" t="s">
        <v>96</v>
      </c>
      <c r="R62" s="120" t="s">
        <v>96</v>
      </c>
      <c r="S62" s="118" t="s">
        <v>96</v>
      </c>
      <c r="T62" s="118" t="s">
        <v>96</v>
      </c>
      <c r="U62" s="118" t="s">
        <v>96</v>
      </c>
      <c r="V62" s="131" t="s">
        <v>96</v>
      </c>
      <c r="W62" s="131" t="s">
        <v>96</v>
      </c>
      <c r="X62" s="129" t="s">
        <v>96</v>
      </c>
      <c r="Y62" s="129" t="s">
        <v>96</v>
      </c>
      <c r="Z62" s="129" t="s">
        <v>96</v>
      </c>
      <c r="AA62" s="12"/>
    </row>
    <row r="63" spans="1:27" x14ac:dyDescent="0.25">
      <c r="A63" s="9" t="s">
        <v>49</v>
      </c>
      <c r="B63" s="83">
        <v>2.2000000000000002</v>
      </c>
      <c r="C63" s="83" t="s">
        <v>96</v>
      </c>
      <c r="D63" s="120" t="s">
        <v>96</v>
      </c>
      <c r="E63" s="120" t="s">
        <v>96</v>
      </c>
      <c r="F63" s="120" t="s">
        <v>96</v>
      </c>
      <c r="G63" s="120" t="s">
        <v>96</v>
      </c>
      <c r="H63" s="120" t="s">
        <v>96</v>
      </c>
      <c r="I63" s="120" t="s">
        <v>96</v>
      </c>
      <c r="J63" s="120" t="s">
        <v>96</v>
      </c>
      <c r="K63" s="120" t="s">
        <v>96</v>
      </c>
      <c r="L63" s="120" t="s">
        <v>96</v>
      </c>
      <c r="M63" s="120" t="s">
        <v>96</v>
      </c>
      <c r="N63" s="120" t="s">
        <v>96</v>
      </c>
      <c r="O63" s="120" t="s">
        <v>96</v>
      </c>
      <c r="P63" s="120" t="s">
        <v>96</v>
      </c>
      <c r="Q63" s="120" t="s">
        <v>96</v>
      </c>
      <c r="R63" s="120" t="s">
        <v>96</v>
      </c>
      <c r="S63" s="118" t="s">
        <v>96</v>
      </c>
      <c r="T63" s="118" t="s">
        <v>96</v>
      </c>
      <c r="U63" s="129">
        <v>20.6</v>
      </c>
      <c r="V63" s="131">
        <v>52.6</v>
      </c>
      <c r="W63" s="131">
        <v>3.8439999999999999</v>
      </c>
      <c r="X63" s="129" t="s">
        <v>96</v>
      </c>
      <c r="Y63" s="129">
        <v>19.126000000000001</v>
      </c>
      <c r="Z63" s="129" t="s">
        <v>96</v>
      </c>
      <c r="AA63" s="12"/>
    </row>
    <row r="64" spans="1:27" x14ac:dyDescent="0.25">
      <c r="A64" s="9" t="s">
        <v>50</v>
      </c>
      <c r="B64" s="83" t="s">
        <v>96</v>
      </c>
      <c r="C64" s="83" t="s">
        <v>96</v>
      </c>
      <c r="D64" s="120" t="s">
        <v>96</v>
      </c>
      <c r="E64" s="120" t="s">
        <v>96</v>
      </c>
      <c r="F64" s="120" t="s">
        <v>96</v>
      </c>
      <c r="G64" s="120" t="s">
        <v>96</v>
      </c>
      <c r="H64" s="120" t="s">
        <v>96</v>
      </c>
      <c r="I64" s="120" t="s">
        <v>96</v>
      </c>
      <c r="J64" s="120" t="s">
        <v>96</v>
      </c>
      <c r="K64" s="120" t="s">
        <v>96</v>
      </c>
      <c r="L64" s="120" t="s">
        <v>96</v>
      </c>
      <c r="M64" s="120" t="s">
        <v>96</v>
      </c>
      <c r="N64" s="120" t="s">
        <v>96</v>
      </c>
      <c r="O64" s="120" t="s">
        <v>96</v>
      </c>
      <c r="P64" s="120" t="s">
        <v>96</v>
      </c>
      <c r="Q64" s="120" t="s">
        <v>96</v>
      </c>
      <c r="R64" s="120" t="s">
        <v>96</v>
      </c>
      <c r="S64" s="118">
        <v>6.6</v>
      </c>
      <c r="T64" s="118" t="s">
        <v>96</v>
      </c>
      <c r="U64" s="118" t="s">
        <v>96</v>
      </c>
      <c r="V64" s="131" t="s">
        <v>96</v>
      </c>
      <c r="W64" s="131" t="s">
        <v>96</v>
      </c>
      <c r="X64" s="129" t="s">
        <v>96</v>
      </c>
      <c r="Y64" s="129" t="s">
        <v>96</v>
      </c>
      <c r="Z64" s="129" t="s">
        <v>96</v>
      </c>
      <c r="AA64" s="12"/>
    </row>
    <row r="65" spans="1:27" x14ac:dyDescent="0.25">
      <c r="A65" s="9" t="s">
        <v>51</v>
      </c>
      <c r="B65" s="83" t="s">
        <v>96</v>
      </c>
      <c r="C65" s="83" t="s">
        <v>96</v>
      </c>
      <c r="D65" s="120" t="s">
        <v>96</v>
      </c>
      <c r="E65" s="120" t="s">
        <v>96</v>
      </c>
      <c r="F65" s="120" t="s">
        <v>96</v>
      </c>
      <c r="G65" s="120" t="s">
        <v>96</v>
      </c>
      <c r="H65" s="120" t="s">
        <v>96</v>
      </c>
      <c r="I65" s="118">
        <v>5.2</v>
      </c>
      <c r="J65" s="118">
        <v>4.9000000000000004</v>
      </c>
      <c r="K65" s="118" t="s">
        <v>96</v>
      </c>
      <c r="L65" s="118" t="s">
        <v>96</v>
      </c>
      <c r="M65" s="118" t="s">
        <v>96</v>
      </c>
      <c r="N65" s="118" t="s">
        <v>96</v>
      </c>
      <c r="O65" s="118" t="s">
        <v>96</v>
      </c>
      <c r="P65" s="118" t="s">
        <v>96</v>
      </c>
      <c r="Q65" s="118" t="s">
        <v>96</v>
      </c>
      <c r="R65" s="118" t="s">
        <v>96</v>
      </c>
      <c r="S65" s="118" t="s">
        <v>96</v>
      </c>
      <c r="T65" s="118" t="s">
        <v>96</v>
      </c>
      <c r="U65" s="118" t="s">
        <v>96</v>
      </c>
      <c r="V65" s="131" t="s">
        <v>96</v>
      </c>
      <c r="W65" s="131" t="s">
        <v>96</v>
      </c>
      <c r="X65" s="129" t="s">
        <v>96</v>
      </c>
      <c r="Y65" s="129" t="s">
        <v>96</v>
      </c>
      <c r="Z65" s="129" t="s">
        <v>96</v>
      </c>
      <c r="AA65" s="12"/>
    </row>
    <row r="66" spans="1:27" x14ac:dyDescent="0.25">
      <c r="A66" s="9" t="s">
        <v>52</v>
      </c>
      <c r="B66" s="83">
        <v>21.2</v>
      </c>
      <c r="C66" s="83">
        <v>43.7</v>
      </c>
      <c r="D66" s="118">
        <v>5.2</v>
      </c>
      <c r="E66" s="120" t="s">
        <v>96</v>
      </c>
      <c r="F66" s="118">
        <v>4.0999999999999996</v>
      </c>
      <c r="G66" s="118">
        <v>0.8</v>
      </c>
      <c r="H66" s="118">
        <v>5.8</v>
      </c>
      <c r="I66" s="120" t="s">
        <v>96</v>
      </c>
      <c r="J66" s="118">
        <v>0.6</v>
      </c>
      <c r="K66" s="118" t="s">
        <v>96</v>
      </c>
      <c r="L66" s="118" t="s">
        <v>96</v>
      </c>
      <c r="M66" s="118" t="s">
        <v>96</v>
      </c>
      <c r="N66" s="118" t="s">
        <v>96</v>
      </c>
      <c r="O66" s="118">
        <v>20.399999999999999</v>
      </c>
      <c r="P66" s="118">
        <v>34.799999999999997</v>
      </c>
      <c r="Q66" s="118">
        <v>28.2</v>
      </c>
      <c r="R66" s="118">
        <v>33.200000000000003</v>
      </c>
      <c r="S66" s="129">
        <v>26</v>
      </c>
      <c r="T66" s="118" t="s">
        <v>96</v>
      </c>
      <c r="U66" s="131">
        <v>3.1</v>
      </c>
      <c r="V66" s="131">
        <v>2.8</v>
      </c>
      <c r="W66" s="131" t="s">
        <v>96</v>
      </c>
      <c r="X66" s="129" t="s">
        <v>96</v>
      </c>
      <c r="Y66" s="129" t="s">
        <v>96</v>
      </c>
      <c r="Z66" s="129" t="s">
        <v>96</v>
      </c>
      <c r="AA66" s="12"/>
    </row>
    <row r="67" spans="1:27" x14ac:dyDescent="0.25">
      <c r="A67" s="9" t="s">
        <v>53</v>
      </c>
      <c r="B67" s="83">
        <v>8.9</v>
      </c>
      <c r="C67" s="83">
        <v>24.2</v>
      </c>
      <c r="D67" s="118">
        <v>6.4</v>
      </c>
      <c r="E67" s="129">
        <v>6</v>
      </c>
      <c r="F67" s="118">
        <v>7.9</v>
      </c>
      <c r="G67" s="118">
        <v>5.3</v>
      </c>
      <c r="H67" s="118">
        <v>11.9</v>
      </c>
      <c r="I67" s="118">
        <v>14.4</v>
      </c>
      <c r="J67" s="118">
        <v>9.8000000000000007</v>
      </c>
      <c r="K67" s="118">
        <v>5.2</v>
      </c>
      <c r="L67" s="129">
        <v>11</v>
      </c>
      <c r="M67" s="118">
        <v>15.6</v>
      </c>
      <c r="N67" s="118">
        <v>20.8</v>
      </c>
      <c r="O67" s="118">
        <v>29.3</v>
      </c>
      <c r="P67" s="118">
        <v>15.8</v>
      </c>
      <c r="Q67" s="118">
        <v>15.9</v>
      </c>
      <c r="R67" s="118">
        <v>23.1</v>
      </c>
      <c r="S67" s="118">
        <v>16.899999999999999</v>
      </c>
      <c r="T67" s="118">
        <v>17.7</v>
      </c>
      <c r="U67" s="131">
        <v>11.9</v>
      </c>
      <c r="V67" s="131">
        <v>9.6999999999999993</v>
      </c>
      <c r="W67" s="131">
        <v>12.502000000000001</v>
      </c>
      <c r="X67" s="122">
        <v>4.5720000000000001</v>
      </c>
      <c r="Y67" s="122">
        <v>11.305</v>
      </c>
      <c r="Z67" s="122">
        <v>1.4139999999999999</v>
      </c>
      <c r="AA67" s="12"/>
    </row>
    <row r="68" spans="1:27" x14ac:dyDescent="0.25">
      <c r="A68" s="9" t="s">
        <v>54</v>
      </c>
      <c r="B68" s="83">
        <v>75.599999999999994</v>
      </c>
      <c r="C68" s="83">
        <v>55.6</v>
      </c>
      <c r="D68" s="118">
        <v>33.4</v>
      </c>
      <c r="E68" s="118">
        <v>34.5</v>
      </c>
      <c r="F68" s="118">
        <v>35.1</v>
      </c>
      <c r="G68" s="118">
        <v>30.1</v>
      </c>
      <c r="H68" s="118">
        <v>28.9</v>
      </c>
      <c r="I68" s="118">
        <v>49.1</v>
      </c>
      <c r="J68" s="118">
        <v>91.2</v>
      </c>
      <c r="K68" s="118"/>
      <c r="L68" s="118" t="s">
        <v>96</v>
      </c>
      <c r="M68" s="118" t="s">
        <v>96</v>
      </c>
      <c r="N68" s="118" t="s">
        <v>96</v>
      </c>
      <c r="O68" s="118">
        <v>25.6</v>
      </c>
      <c r="P68" s="118">
        <v>21</v>
      </c>
      <c r="Q68" s="118">
        <v>17.899999999999999</v>
      </c>
      <c r="R68" s="118">
        <v>25.8</v>
      </c>
      <c r="S68" s="118">
        <v>38.299999999999997</v>
      </c>
      <c r="T68" s="118"/>
      <c r="U68" s="131">
        <v>19.8</v>
      </c>
      <c r="V68" s="131">
        <v>18.600000000000001</v>
      </c>
      <c r="W68" s="131" t="s">
        <v>96</v>
      </c>
      <c r="X68" s="122">
        <v>20.5</v>
      </c>
      <c r="Y68" s="122">
        <v>5.47</v>
      </c>
      <c r="Z68" s="122" t="s">
        <v>96</v>
      </c>
      <c r="AA68" s="12"/>
    </row>
    <row r="69" spans="1:27" x14ac:dyDescent="0.25">
      <c r="A69" s="9" t="s">
        <v>55</v>
      </c>
      <c r="B69" s="83">
        <v>20.9</v>
      </c>
      <c r="C69" s="83">
        <v>24.3</v>
      </c>
      <c r="D69" s="118">
        <v>6.7</v>
      </c>
      <c r="E69" s="118">
        <v>11.7</v>
      </c>
      <c r="F69" s="118">
        <v>1.6</v>
      </c>
      <c r="G69" s="118" t="s">
        <v>96</v>
      </c>
      <c r="H69" s="120" t="s">
        <v>96</v>
      </c>
      <c r="I69" s="120" t="s">
        <v>96</v>
      </c>
      <c r="J69" s="120" t="s">
        <v>96</v>
      </c>
      <c r="K69" s="120" t="s">
        <v>96</v>
      </c>
      <c r="L69" s="118" t="s">
        <v>96</v>
      </c>
      <c r="M69" s="118" t="s">
        <v>96</v>
      </c>
      <c r="N69" s="118" t="s">
        <v>96</v>
      </c>
      <c r="O69" s="118" t="s">
        <v>96</v>
      </c>
      <c r="P69" s="118" t="s">
        <v>96</v>
      </c>
      <c r="Q69" s="118">
        <v>3.4</v>
      </c>
      <c r="R69" s="118">
        <v>1.8</v>
      </c>
      <c r="S69" s="118">
        <v>1.3</v>
      </c>
      <c r="T69" s="118">
        <v>3.1</v>
      </c>
      <c r="U69" s="131">
        <v>1.6</v>
      </c>
      <c r="V69" s="131" t="s">
        <v>96</v>
      </c>
      <c r="W69" s="131" t="s">
        <v>96</v>
      </c>
      <c r="X69" s="129" t="s">
        <v>96</v>
      </c>
      <c r="Y69" s="129" t="s">
        <v>96</v>
      </c>
      <c r="Z69" s="129" t="s">
        <v>96</v>
      </c>
      <c r="AA69" s="12"/>
    </row>
    <row r="70" spans="1:27" x14ac:dyDescent="0.25">
      <c r="A70" s="9" t="s">
        <v>56</v>
      </c>
      <c r="B70" s="83">
        <v>7</v>
      </c>
      <c r="C70" s="83">
        <v>11.9</v>
      </c>
      <c r="D70" s="118">
        <v>8.3000000000000007</v>
      </c>
      <c r="E70" s="120" t="s">
        <v>96</v>
      </c>
      <c r="F70" s="120" t="s">
        <v>96</v>
      </c>
      <c r="G70" s="120" t="s">
        <v>96</v>
      </c>
      <c r="H70" s="120" t="s">
        <v>96</v>
      </c>
      <c r="I70" s="120" t="s">
        <v>96</v>
      </c>
      <c r="J70" s="120" t="s">
        <v>96</v>
      </c>
      <c r="K70" s="120" t="s">
        <v>96</v>
      </c>
      <c r="L70" s="120" t="s">
        <v>96</v>
      </c>
      <c r="M70" s="120" t="s">
        <v>96</v>
      </c>
      <c r="N70" s="120" t="s">
        <v>96</v>
      </c>
      <c r="O70" s="120" t="s">
        <v>96</v>
      </c>
      <c r="P70" s="120" t="s">
        <v>96</v>
      </c>
      <c r="Q70" s="120" t="s">
        <v>96</v>
      </c>
      <c r="R70" s="120" t="s">
        <v>96</v>
      </c>
      <c r="S70" s="120" t="s">
        <v>96</v>
      </c>
      <c r="T70" s="120" t="s">
        <v>96</v>
      </c>
      <c r="U70" s="131">
        <v>30.2</v>
      </c>
      <c r="V70" s="131">
        <v>19.100000000000001</v>
      </c>
      <c r="W70" s="131" t="s">
        <v>96</v>
      </c>
      <c r="X70" s="129" t="s">
        <v>96</v>
      </c>
      <c r="Y70" s="129" t="s">
        <v>96</v>
      </c>
      <c r="Z70" s="129" t="s">
        <v>96</v>
      </c>
      <c r="AA70" s="12"/>
    </row>
    <row r="71" spans="1:27" x14ac:dyDescent="0.25">
      <c r="A71" s="9" t="s">
        <v>57</v>
      </c>
      <c r="B71" s="83">
        <v>47.6</v>
      </c>
      <c r="C71" s="83">
        <v>25.4</v>
      </c>
      <c r="D71" s="118">
        <v>56.3</v>
      </c>
      <c r="E71" s="118">
        <v>11.3</v>
      </c>
      <c r="F71" s="118">
        <v>11.5</v>
      </c>
      <c r="G71" s="118">
        <v>47.4</v>
      </c>
      <c r="H71" s="118">
        <v>18.100000000000001</v>
      </c>
      <c r="I71" s="118">
        <v>6.6</v>
      </c>
      <c r="J71" s="118">
        <v>34.799999999999997</v>
      </c>
      <c r="K71" s="118">
        <v>12.2</v>
      </c>
      <c r="L71" s="118" t="s">
        <v>96</v>
      </c>
      <c r="M71" s="118" t="s">
        <v>96</v>
      </c>
      <c r="N71" s="118">
        <v>23.8</v>
      </c>
      <c r="O71" s="118" t="s">
        <v>96</v>
      </c>
      <c r="P71" s="118" t="s">
        <v>96</v>
      </c>
      <c r="Q71" s="118" t="s">
        <v>96</v>
      </c>
      <c r="R71" s="118" t="s">
        <v>96</v>
      </c>
      <c r="S71" s="118" t="s">
        <v>96</v>
      </c>
      <c r="T71" s="118" t="s">
        <v>96</v>
      </c>
      <c r="U71" s="118" t="s">
        <v>96</v>
      </c>
      <c r="V71" s="131">
        <v>3.7</v>
      </c>
      <c r="W71" s="131">
        <v>3.19</v>
      </c>
      <c r="X71" s="129" t="s">
        <v>96</v>
      </c>
      <c r="Y71" s="129" t="s">
        <v>96</v>
      </c>
      <c r="Z71" s="129" t="s">
        <v>96</v>
      </c>
      <c r="AA71" s="12"/>
    </row>
    <row r="72" spans="1:27" x14ac:dyDescent="0.25">
      <c r="A72" s="9" t="s">
        <v>58</v>
      </c>
      <c r="B72" s="83">
        <v>66.099999999999994</v>
      </c>
      <c r="C72" s="83">
        <v>106.2</v>
      </c>
      <c r="D72" s="118">
        <v>102.3</v>
      </c>
      <c r="E72" s="118">
        <v>66.900000000000006</v>
      </c>
      <c r="F72" s="118">
        <v>76.400000000000006</v>
      </c>
      <c r="G72" s="118">
        <v>158.6</v>
      </c>
      <c r="H72" s="118">
        <v>154.1</v>
      </c>
      <c r="I72" s="118">
        <v>107.3</v>
      </c>
      <c r="J72" s="118">
        <v>81.599999999999994</v>
      </c>
      <c r="K72" s="118">
        <v>125.6</v>
      </c>
      <c r="L72" s="118">
        <v>118.4</v>
      </c>
      <c r="M72" s="118">
        <v>109.7</v>
      </c>
      <c r="N72" s="118">
        <v>66.099999999999994</v>
      </c>
      <c r="O72" s="118">
        <v>91.3</v>
      </c>
      <c r="P72" s="118">
        <v>111.5</v>
      </c>
      <c r="Q72" s="129">
        <v>88</v>
      </c>
      <c r="R72" s="118">
        <v>112.3</v>
      </c>
      <c r="S72" s="118">
        <v>65.3</v>
      </c>
      <c r="T72" s="118">
        <v>73.5</v>
      </c>
      <c r="U72" s="131">
        <v>101.3</v>
      </c>
      <c r="V72" s="131">
        <v>66.599999999999994</v>
      </c>
      <c r="W72" s="131">
        <v>39.633000000000003</v>
      </c>
      <c r="X72" s="122">
        <v>65.593000000000004</v>
      </c>
      <c r="Y72" s="122">
        <v>16.178999999999998</v>
      </c>
      <c r="Z72" s="122" t="s">
        <v>96</v>
      </c>
      <c r="AA72" s="12"/>
    </row>
    <row r="73" spans="1:27" x14ac:dyDescent="0.25">
      <c r="A73" s="9" t="s">
        <v>59</v>
      </c>
      <c r="B73" s="83">
        <v>4</v>
      </c>
      <c r="C73" s="83">
        <v>20.5</v>
      </c>
      <c r="D73" s="118">
        <v>3.9</v>
      </c>
      <c r="E73" s="118">
        <v>11.3</v>
      </c>
      <c r="F73" s="120" t="s">
        <v>96</v>
      </c>
      <c r="G73" s="118" t="s">
        <v>96</v>
      </c>
      <c r="H73" s="120" t="s">
        <v>96</v>
      </c>
      <c r="I73" s="120" t="s">
        <v>96</v>
      </c>
      <c r="J73" s="118">
        <v>5.3</v>
      </c>
      <c r="K73" s="118">
        <v>9.6999999999999993</v>
      </c>
      <c r="L73" s="118">
        <v>6.2</v>
      </c>
      <c r="M73" s="118" t="s">
        <v>96</v>
      </c>
      <c r="N73" s="118" t="s">
        <v>96</v>
      </c>
      <c r="O73" s="118" t="s">
        <v>96</v>
      </c>
      <c r="P73" s="118">
        <v>4.7</v>
      </c>
      <c r="Q73" s="118">
        <v>8.1</v>
      </c>
      <c r="R73" s="118">
        <v>2.6</v>
      </c>
      <c r="S73" s="129">
        <v>5</v>
      </c>
      <c r="T73" s="118" t="s">
        <v>96</v>
      </c>
      <c r="U73" s="131">
        <v>2.2999999999999998</v>
      </c>
      <c r="V73" s="131">
        <v>5.0999999999999996</v>
      </c>
      <c r="W73" s="131">
        <v>3.653</v>
      </c>
      <c r="X73" s="122">
        <v>3.5169999999999999</v>
      </c>
      <c r="Y73" s="122">
        <v>2.4540000000000002</v>
      </c>
      <c r="Z73" s="122">
        <v>0.85199999999999998</v>
      </c>
      <c r="AA73" s="12"/>
    </row>
    <row r="74" spans="1:27" ht="18" x14ac:dyDescent="0.25">
      <c r="A74" s="8" t="s">
        <v>175</v>
      </c>
      <c r="B74" s="82">
        <v>18.899999999999999</v>
      </c>
      <c r="C74" s="82">
        <v>61.5</v>
      </c>
      <c r="D74" s="120">
        <v>48.3</v>
      </c>
      <c r="E74" s="120">
        <v>44.3</v>
      </c>
      <c r="F74" s="120">
        <v>30.7</v>
      </c>
      <c r="G74" s="120">
        <v>36.5</v>
      </c>
      <c r="H74" s="120">
        <v>37.1</v>
      </c>
      <c r="I74" s="120">
        <v>438.5</v>
      </c>
      <c r="J74" s="120">
        <v>7.6</v>
      </c>
      <c r="K74" s="120" t="s">
        <v>96</v>
      </c>
      <c r="L74" s="120">
        <v>17.7</v>
      </c>
      <c r="M74" s="120">
        <v>14.2</v>
      </c>
      <c r="N74" s="120">
        <v>13.7</v>
      </c>
      <c r="O74" s="123">
        <v>46</v>
      </c>
      <c r="P74" s="120">
        <v>11.1</v>
      </c>
      <c r="Q74" s="120">
        <v>9.5</v>
      </c>
      <c r="R74" s="120">
        <v>46.4</v>
      </c>
      <c r="S74" s="120">
        <v>17.8</v>
      </c>
      <c r="T74" s="118" t="s">
        <v>96</v>
      </c>
      <c r="U74" s="130">
        <v>46.4</v>
      </c>
      <c r="V74" s="130">
        <v>19.3</v>
      </c>
      <c r="W74" s="130">
        <v>0.36299999999999999</v>
      </c>
      <c r="X74" s="124">
        <v>22.887</v>
      </c>
      <c r="Y74" s="124">
        <v>11.451000000000001</v>
      </c>
      <c r="Z74" s="124" t="s">
        <v>96</v>
      </c>
      <c r="AA74" s="12"/>
    </row>
    <row r="75" spans="1:27" x14ac:dyDescent="0.25">
      <c r="A75" s="77" t="s">
        <v>60</v>
      </c>
      <c r="B75" s="83">
        <v>0.8</v>
      </c>
      <c r="C75" s="83">
        <v>5.8</v>
      </c>
      <c r="D75" s="118">
        <v>4.8</v>
      </c>
      <c r="E75" s="118">
        <v>2.9</v>
      </c>
      <c r="F75" s="118">
        <v>1.5</v>
      </c>
      <c r="G75" s="120" t="s">
        <v>96</v>
      </c>
      <c r="H75" s="118">
        <v>10.3</v>
      </c>
      <c r="I75" s="118">
        <v>2.7</v>
      </c>
      <c r="J75" s="120" t="s">
        <v>96</v>
      </c>
      <c r="K75" s="120" t="s">
        <v>96</v>
      </c>
      <c r="L75" s="120" t="s">
        <v>96</v>
      </c>
      <c r="M75" s="120" t="s">
        <v>96</v>
      </c>
      <c r="N75" s="120" t="s">
        <v>96</v>
      </c>
      <c r="O75" s="120" t="s">
        <v>96</v>
      </c>
      <c r="P75" s="120" t="s">
        <v>96</v>
      </c>
      <c r="Q75" s="120" t="s">
        <v>96</v>
      </c>
      <c r="R75" s="120" t="s">
        <v>96</v>
      </c>
      <c r="S75" s="120" t="s">
        <v>96</v>
      </c>
      <c r="T75" s="118" t="s">
        <v>96</v>
      </c>
      <c r="U75" s="118" t="s">
        <v>96</v>
      </c>
      <c r="V75" s="131" t="s">
        <v>96</v>
      </c>
      <c r="W75" s="131" t="s">
        <v>96</v>
      </c>
      <c r="X75" s="129" t="s">
        <v>96</v>
      </c>
      <c r="Y75" s="129" t="s">
        <v>96</v>
      </c>
      <c r="Z75" s="129" t="s">
        <v>96</v>
      </c>
      <c r="AA75" s="12"/>
    </row>
    <row r="76" spans="1:27" x14ac:dyDescent="0.25">
      <c r="A76" s="9" t="s">
        <v>61</v>
      </c>
      <c r="B76" s="83">
        <v>4.7</v>
      </c>
      <c r="C76" s="83">
        <v>30.4</v>
      </c>
      <c r="D76" s="118">
        <v>37.700000000000003</v>
      </c>
      <c r="E76" s="118">
        <v>18.8</v>
      </c>
      <c r="F76" s="118">
        <v>21.2</v>
      </c>
      <c r="G76" s="118">
        <v>25.8</v>
      </c>
      <c r="H76" s="120" t="s">
        <v>96</v>
      </c>
      <c r="I76" s="118">
        <v>57.2</v>
      </c>
      <c r="J76" s="118">
        <v>7.6</v>
      </c>
      <c r="K76" s="118" t="s">
        <v>96</v>
      </c>
      <c r="L76" s="118">
        <v>12.9</v>
      </c>
      <c r="M76" s="118">
        <v>12.3</v>
      </c>
      <c r="N76" s="118">
        <v>2.4</v>
      </c>
      <c r="O76" s="129">
        <v>46</v>
      </c>
      <c r="P76" s="118">
        <v>11.1</v>
      </c>
      <c r="Q76" s="118">
        <v>9.5</v>
      </c>
      <c r="R76" s="118">
        <v>46.4</v>
      </c>
      <c r="S76" s="118">
        <v>17.8</v>
      </c>
      <c r="T76" s="118" t="s">
        <v>96</v>
      </c>
      <c r="U76" s="131">
        <v>46.4</v>
      </c>
      <c r="V76" s="131">
        <v>12.1</v>
      </c>
      <c r="W76" s="131" t="s">
        <v>96</v>
      </c>
      <c r="X76" s="122">
        <v>22.887</v>
      </c>
      <c r="Y76" s="122">
        <v>11.451000000000001</v>
      </c>
      <c r="Z76" s="122" t="s">
        <v>96</v>
      </c>
      <c r="AA76" s="12"/>
    </row>
    <row r="77" spans="1:27" x14ac:dyDescent="0.25">
      <c r="A77" s="9" t="s">
        <v>62</v>
      </c>
      <c r="B77" s="83" t="s">
        <v>96</v>
      </c>
      <c r="C77" s="83">
        <v>19.600000000000001</v>
      </c>
      <c r="D77" s="118">
        <v>1.6</v>
      </c>
      <c r="E77" s="118">
        <v>22.6</v>
      </c>
      <c r="F77" s="129">
        <v>8</v>
      </c>
      <c r="G77" s="118">
        <v>10.7</v>
      </c>
      <c r="H77" s="118">
        <v>26.8</v>
      </c>
      <c r="I77" s="120" t="s">
        <v>96</v>
      </c>
      <c r="J77" s="120" t="s">
        <v>96</v>
      </c>
      <c r="K77" s="120" t="s">
        <v>96</v>
      </c>
      <c r="L77" s="118" t="s">
        <v>96</v>
      </c>
      <c r="M77" s="118" t="s">
        <v>96</v>
      </c>
      <c r="N77" s="118" t="s">
        <v>96</v>
      </c>
      <c r="O77" s="118" t="s">
        <v>96</v>
      </c>
      <c r="P77" s="118" t="s">
        <v>96</v>
      </c>
      <c r="Q77" s="118" t="s">
        <v>96</v>
      </c>
      <c r="R77" s="118" t="s">
        <v>96</v>
      </c>
      <c r="S77" s="118" t="s">
        <v>96</v>
      </c>
      <c r="T77" s="118" t="s">
        <v>96</v>
      </c>
      <c r="U77" s="118" t="s">
        <v>96</v>
      </c>
      <c r="V77" s="131">
        <v>7.1</v>
      </c>
      <c r="W77" s="131">
        <v>0.36299999999999999</v>
      </c>
      <c r="X77" s="129" t="s">
        <v>96</v>
      </c>
      <c r="Y77" s="129" t="s">
        <v>96</v>
      </c>
      <c r="Z77" s="129" t="s">
        <v>96</v>
      </c>
      <c r="AA77" s="12"/>
    </row>
    <row r="78" spans="1:27" x14ac:dyDescent="0.25">
      <c r="A78" s="4" t="s">
        <v>63</v>
      </c>
      <c r="B78" s="83"/>
      <c r="C78" s="83"/>
      <c r="D78" s="120"/>
      <c r="E78" s="120"/>
      <c r="F78" s="120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81"/>
      <c r="V78" s="131"/>
      <c r="W78" s="131"/>
      <c r="X78" s="129" t="s">
        <v>96</v>
      </c>
      <c r="Y78" s="129" t="s">
        <v>96</v>
      </c>
      <c r="Z78" s="129"/>
      <c r="AA78" s="12"/>
    </row>
    <row r="79" spans="1:27" ht="19.5" x14ac:dyDescent="0.25">
      <c r="A79" s="14" t="s">
        <v>88</v>
      </c>
      <c r="B79" s="83" t="s">
        <v>96</v>
      </c>
      <c r="C79" s="83">
        <v>5.7</v>
      </c>
      <c r="D79" s="120" t="s">
        <v>96</v>
      </c>
      <c r="E79" s="129">
        <v>19</v>
      </c>
      <c r="F79" s="118">
        <v>5.5</v>
      </c>
      <c r="G79" s="118">
        <v>2.9</v>
      </c>
      <c r="H79" s="120" t="s">
        <v>96</v>
      </c>
      <c r="I79" s="120" t="s">
        <v>96</v>
      </c>
      <c r="J79" s="120" t="s">
        <v>96</v>
      </c>
      <c r="K79" s="120" t="s">
        <v>96</v>
      </c>
      <c r="L79" s="120" t="s">
        <v>96</v>
      </c>
      <c r="M79" s="120" t="s">
        <v>96</v>
      </c>
      <c r="N79" s="120" t="s">
        <v>96</v>
      </c>
      <c r="O79" s="120" t="s">
        <v>96</v>
      </c>
      <c r="P79" s="120" t="s">
        <v>96</v>
      </c>
      <c r="Q79" s="120" t="s">
        <v>96</v>
      </c>
      <c r="R79" s="120" t="s">
        <v>96</v>
      </c>
      <c r="S79" s="120" t="s">
        <v>96</v>
      </c>
      <c r="T79" s="120" t="s">
        <v>96</v>
      </c>
      <c r="U79" s="118" t="s">
        <v>96</v>
      </c>
      <c r="V79" s="131">
        <v>0.1</v>
      </c>
      <c r="W79" s="131">
        <v>0.36299999999999999</v>
      </c>
      <c r="X79" s="129" t="s">
        <v>96</v>
      </c>
      <c r="Y79" s="129" t="s">
        <v>96</v>
      </c>
      <c r="Z79" s="129" t="s">
        <v>96</v>
      </c>
      <c r="AA79" s="12"/>
    </row>
    <row r="80" spans="1:27" ht="19.5" x14ac:dyDescent="0.25">
      <c r="A80" s="14" t="s">
        <v>64</v>
      </c>
      <c r="B80" s="83" t="s">
        <v>96</v>
      </c>
      <c r="C80" s="83" t="s">
        <v>96</v>
      </c>
      <c r="D80" s="120" t="s">
        <v>96</v>
      </c>
      <c r="E80" s="120" t="s">
        <v>96</v>
      </c>
      <c r="F80" s="120" t="s">
        <v>96</v>
      </c>
      <c r="G80" s="120" t="s">
        <v>96</v>
      </c>
      <c r="H80" s="120" t="s">
        <v>96</v>
      </c>
      <c r="I80" s="120" t="s">
        <v>96</v>
      </c>
      <c r="J80" s="120" t="s">
        <v>96</v>
      </c>
      <c r="K80" s="120" t="s">
        <v>96</v>
      </c>
      <c r="L80" s="120" t="s">
        <v>96</v>
      </c>
      <c r="M80" s="120" t="s">
        <v>96</v>
      </c>
      <c r="N80" s="120" t="s">
        <v>96</v>
      </c>
      <c r="O80" s="120" t="s">
        <v>96</v>
      </c>
      <c r="P80" s="120" t="s">
        <v>96</v>
      </c>
      <c r="Q80" s="120" t="s">
        <v>96</v>
      </c>
      <c r="R80" s="120" t="s">
        <v>96</v>
      </c>
      <c r="S80" s="120" t="s">
        <v>96</v>
      </c>
      <c r="T80" s="120" t="s">
        <v>96</v>
      </c>
      <c r="U80" s="118" t="s">
        <v>96</v>
      </c>
      <c r="V80" s="131">
        <v>7</v>
      </c>
      <c r="W80" s="131" t="s">
        <v>96</v>
      </c>
      <c r="X80" s="129" t="s">
        <v>96</v>
      </c>
      <c r="Y80" s="129" t="s">
        <v>96</v>
      </c>
      <c r="Z80" s="129" t="s">
        <v>96</v>
      </c>
      <c r="AA80" s="12"/>
    </row>
    <row r="81" spans="1:27" ht="19.5" x14ac:dyDescent="0.25">
      <c r="A81" s="14" t="s">
        <v>87</v>
      </c>
      <c r="B81" s="83" t="s">
        <v>96</v>
      </c>
      <c r="C81" s="83">
        <v>13.9</v>
      </c>
      <c r="D81" s="120" t="s">
        <v>96</v>
      </c>
      <c r="E81" s="120" t="s">
        <v>96</v>
      </c>
      <c r="F81" s="120" t="s">
        <v>96</v>
      </c>
      <c r="G81" s="118">
        <v>7.8</v>
      </c>
      <c r="H81" s="120" t="s">
        <v>96</v>
      </c>
      <c r="I81" s="120" t="s">
        <v>96</v>
      </c>
      <c r="J81" s="120" t="s">
        <v>96</v>
      </c>
      <c r="K81" s="120" t="s">
        <v>96</v>
      </c>
      <c r="L81" s="118" t="s">
        <v>96</v>
      </c>
      <c r="M81" s="118" t="s">
        <v>96</v>
      </c>
      <c r="N81" s="118" t="s">
        <v>96</v>
      </c>
      <c r="O81" s="118" t="s">
        <v>96</v>
      </c>
      <c r="P81" s="118" t="s">
        <v>96</v>
      </c>
      <c r="Q81" s="118" t="s">
        <v>96</v>
      </c>
      <c r="R81" s="118" t="s">
        <v>96</v>
      </c>
      <c r="S81" s="118" t="s">
        <v>96</v>
      </c>
      <c r="T81" s="118" t="s">
        <v>96</v>
      </c>
      <c r="U81" s="118" t="s">
        <v>96</v>
      </c>
      <c r="V81" s="131" t="s">
        <v>96</v>
      </c>
      <c r="W81" s="131" t="s">
        <v>96</v>
      </c>
      <c r="X81" s="129" t="s">
        <v>96</v>
      </c>
      <c r="Y81" s="129" t="s">
        <v>96</v>
      </c>
      <c r="Z81" s="129" t="s">
        <v>96</v>
      </c>
      <c r="AA81" s="12"/>
    </row>
    <row r="82" spans="1:27" x14ac:dyDescent="0.25">
      <c r="A82" s="9" t="s">
        <v>65</v>
      </c>
      <c r="B82" s="83">
        <v>13.4</v>
      </c>
      <c r="C82" s="83">
        <v>5.6</v>
      </c>
      <c r="D82" s="118">
        <v>4.2</v>
      </c>
      <c r="E82" s="120" t="s">
        <v>96</v>
      </c>
      <c r="F82" s="120" t="s">
        <v>96</v>
      </c>
      <c r="G82" s="118" t="s">
        <v>96</v>
      </c>
      <c r="H82" s="120" t="s">
        <v>96</v>
      </c>
      <c r="I82" s="118">
        <v>378.7</v>
      </c>
      <c r="J82" s="120" t="s">
        <v>96</v>
      </c>
      <c r="K82" s="120" t="s">
        <v>96</v>
      </c>
      <c r="L82" s="118">
        <v>4.7</v>
      </c>
      <c r="M82" s="118">
        <v>1.9</v>
      </c>
      <c r="N82" s="118">
        <v>11.3</v>
      </c>
      <c r="O82" s="118" t="s">
        <v>96</v>
      </c>
      <c r="P82" s="118" t="s">
        <v>96</v>
      </c>
      <c r="Q82" s="118" t="s">
        <v>96</v>
      </c>
      <c r="R82" s="118" t="s">
        <v>96</v>
      </c>
      <c r="S82" s="118" t="s">
        <v>96</v>
      </c>
      <c r="T82" s="118" t="s">
        <v>96</v>
      </c>
      <c r="U82" s="118" t="s">
        <v>96</v>
      </c>
      <c r="V82" s="131" t="s">
        <v>96</v>
      </c>
      <c r="W82" s="131" t="s">
        <v>96</v>
      </c>
      <c r="X82" s="129" t="s">
        <v>96</v>
      </c>
      <c r="Y82" s="129" t="s">
        <v>96</v>
      </c>
      <c r="Z82" s="129" t="s">
        <v>96</v>
      </c>
      <c r="AA82" s="12"/>
    </row>
    <row r="83" spans="1:27" ht="18" x14ac:dyDescent="0.25">
      <c r="A83" s="8" t="s">
        <v>176</v>
      </c>
      <c r="B83" s="82">
        <v>151.6</v>
      </c>
      <c r="C83" s="82">
        <v>63.7</v>
      </c>
      <c r="D83" s="120">
        <v>78.099999999999994</v>
      </c>
      <c r="E83" s="120">
        <v>63.9</v>
      </c>
      <c r="F83" s="120">
        <v>119.5</v>
      </c>
      <c r="G83" s="120">
        <v>94.1</v>
      </c>
      <c r="H83" s="120">
        <v>110.2</v>
      </c>
      <c r="I83" s="120">
        <v>82.9</v>
      </c>
      <c r="J83" s="120">
        <v>90.8</v>
      </c>
      <c r="K83" s="120">
        <v>76.099999999999994</v>
      </c>
      <c r="L83" s="123">
        <v>40</v>
      </c>
      <c r="M83" s="120">
        <v>41.1</v>
      </c>
      <c r="N83" s="120">
        <v>20.2</v>
      </c>
      <c r="O83" s="120">
        <v>12.2</v>
      </c>
      <c r="P83" s="120">
        <v>47.9</v>
      </c>
      <c r="Q83" s="120">
        <v>202.7</v>
      </c>
      <c r="R83" s="120">
        <v>297.7</v>
      </c>
      <c r="S83" s="120">
        <v>159.9</v>
      </c>
      <c r="T83" s="120">
        <v>19.5</v>
      </c>
      <c r="U83" s="130">
        <v>282.7</v>
      </c>
      <c r="V83" s="130">
        <v>155.1</v>
      </c>
      <c r="W83" s="130">
        <v>116.658</v>
      </c>
      <c r="X83" s="124">
        <v>23.86</v>
      </c>
      <c r="Y83" s="124">
        <v>483.827</v>
      </c>
      <c r="Z83" s="124">
        <v>138.89500000000001</v>
      </c>
      <c r="AA83" s="12"/>
    </row>
    <row r="84" spans="1:27" x14ac:dyDescent="0.25">
      <c r="A84" s="9" t="s">
        <v>66</v>
      </c>
      <c r="B84" s="83" t="s">
        <v>96</v>
      </c>
      <c r="C84" s="83" t="s">
        <v>96</v>
      </c>
      <c r="D84" s="120" t="s">
        <v>96</v>
      </c>
      <c r="E84" s="120" t="s">
        <v>96</v>
      </c>
      <c r="F84" s="120" t="s">
        <v>96</v>
      </c>
      <c r="G84" s="120" t="s">
        <v>96</v>
      </c>
      <c r="H84" s="120" t="s">
        <v>96</v>
      </c>
      <c r="I84" s="120" t="s">
        <v>96</v>
      </c>
      <c r="J84" s="120" t="s">
        <v>96</v>
      </c>
      <c r="K84" s="120" t="s">
        <v>96</v>
      </c>
      <c r="L84" s="120" t="s">
        <v>96</v>
      </c>
      <c r="M84" s="120" t="s">
        <v>96</v>
      </c>
      <c r="N84" s="120" t="s">
        <v>96</v>
      </c>
      <c r="O84" s="120" t="s">
        <v>96</v>
      </c>
      <c r="P84" s="120" t="s">
        <v>96</v>
      </c>
      <c r="Q84" s="120" t="s">
        <v>96</v>
      </c>
      <c r="R84" s="120" t="s">
        <v>96</v>
      </c>
      <c r="S84" s="120" t="s">
        <v>96</v>
      </c>
      <c r="T84" s="120" t="s">
        <v>96</v>
      </c>
      <c r="U84" s="131">
        <v>2.7</v>
      </c>
      <c r="V84" s="131">
        <v>1.9</v>
      </c>
      <c r="W84" s="131" t="s">
        <v>96</v>
      </c>
      <c r="X84" s="129" t="s">
        <v>96</v>
      </c>
      <c r="Y84" s="129" t="s">
        <v>96</v>
      </c>
      <c r="Z84" s="129" t="s">
        <v>96</v>
      </c>
      <c r="AA84" s="12"/>
    </row>
    <row r="85" spans="1:27" x14ac:dyDescent="0.25">
      <c r="A85" s="9" t="s">
        <v>68</v>
      </c>
      <c r="B85" s="83" t="s">
        <v>96</v>
      </c>
      <c r="C85" s="83" t="s">
        <v>96</v>
      </c>
      <c r="D85" s="120" t="s">
        <v>96</v>
      </c>
      <c r="E85" s="120" t="s">
        <v>96</v>
      </c>
      <c r="F85" s="120" t="s">
        <v>96</v>
      </c>
      <c r="G85" s="120" t="s">
        <v>96</v>
      </c>
      <c r="H85" s="120" t="s">
        <v>96</v>
      </c>
      <c r="I85" s="120" t="s">
        <v>96</v>
      </c>
      <c r="J85" s="120" t="s">
        <v>96</v>
      </c>
      <c r="K85" s="120" t="s">
        <v>96</v>
      </c>
      <c r="L85" s="120" t="s">
        <v>96</v>
      </c>
      <c r="M85" s="120" t="s">
        <v>96</v>
      </c>
      <c r="N85" s="120" t="s">
        <v>96</v>
      </c>
      <c r="O85" s="120" t="s">
        <v>96</v>
      </c>
      <c r="P85" s="120" t="s">
        <v>96</v>
      </c>
      <c r="Q85" s="120" t="s">
        <v>96</v>
      </c>
      <c r="R85" s="120" t="s">
        <v>96</v>
      </c>
      <c r="S85" s="120" t="s">
        <v>96</v>
      </c>
      <c r="T85" s="120" t="s">
        <v>96</v>
      </c>
      <c r="U85" s="118" t="s">
        <v>96</v>
      </c>
      <c r="V85" s="131" t="s">
        <v>96</v>
      </c>
      <c r="W85" s="131" t="s">
        <v>96</v>
      </c>
      <c r="X85" s="129" t="s">
        <v>96</v>
      </c>
      <c r="Y85" s="129" t="s">
        <v>96</v>
      </c>
      <c r="Z85" s="129" t="s">
        <v>96</v>
      </c>
      <c r="AA85" s="12"/>
    </row>
    <row r="86" spans="1:27" x14ac:dyDescent="0.25">
      <c r="A86" s="9" t="s">
        <v>69</v>
      </c>
      <c r="B86" s="83">
        <v>29.3</v>
      </c>
      <c r="C86" s="83">
        <v>2.9</v>
      </c>
      <c r="D86" s="118">
        <v>11.1</v>
      </c>
      <c r="E86" s="118">
        <v>3.5</v>
      </c>
      <c r="F86" s="118">
        <v>3.5</v>
      </c>
      <c r="G86" s="118">
        <v>6.6</v>
      </c>
      <c r="H86" s="118">
        <v>3.1</v>
      </c>
      <c r="I86" s="120" t="s">
        <v>96</v>
      </c>
      <c r="J86" s="120" t="s">
        <v>96</v>
      </c>
      <c r="K86" s="120" t="s">
        <v>96</v>
      </c>
      <c r="L86" s="118" t="s">
        <v>96</v>
      </c>
      <c r="M86" s="118" t="s">
        <v>96</v>
      </c>
      <c r="N86" s="118" t="s">
        <v>96</v>
      </c>
      <c r="O86" s="118" t="s">
        <v>96</v>
      </c>
      <c r="P86" s="118" t="s">
        <v>96</v>
      </c>
      <c r="Q86" s="118" t="s">
        <v>96</v>
      </c>
      <c r="R86" s="118" t="s">
        <v>96</v>
      </c>
      <c r="S86" s="118" t="s">
        <v>96</v>
      </c>
      <c r="T86" s="118" t="s">
        <v>96</v>
      </c>
      <c r="U86" s="118" t="s">
        <v>96</v>
      </c>
      <c r="V86" s="131" t="s">
        <v>96</v>
      </c>
      <c r="W86" s="131" t="s">
        <v>96</v>
      </c>
      <c r="X86" s="129" t="s">
        <v>96</v>
      </c>
      <c r="Y86" s="129" t="s">
        <v>96</v>
      </c>
      <c r="Z86" s="129" t="s">
        <v>96</v>
      </c>
      <c r="AA86" s="12"/>
    </row>
    <row r="87" spans="1:27" x14ac:dyDescent="0.25">
      <c r="A87" s="9" t="s">
        <v>70</v>
      </c>
      <c r="B87" s="83">
        <v>23.8</v>
      </c>
      <c r="C87" s="83">
        <v>11.7</v>
      </c>
      <c r="D87" s="118">
        <v>3.1</v>
      </c>
      <c r="E87" s="118">
        <v>22.1</v>
      </c>
      <c r="F87" s="118">
        <v>19.5</v>
      </c>
      <c r="G87" s="118">
        <v>21</v>
      </c>
      <c r="H87" s="118">
        <v>24.4</v>
      </c>
      <c r="I87" s="118">
        <v>2.8</v>
      </c>
      <c r="J87" s="118">
        <v>3.9</v>
      </c>
      <c r="K87" s="118">
        <v>5.6</v>
      </c>
      <c r="L87" s="118" t="s">
        <v>96</v>
      </c>
      <c r="M87" s="129">
        <v>7</v>
      </c>
      <c r="N87" s="118" t="s">
        <v>96</v>
      </c>
      <c r="O87" s="118" t="s">
        <v>96</v>
      </c>
      <c r="P87" s="118" t="s">
        <v>96</v>
      </c>
      <c r="Q87" s="118" t="s">
        <v>96</v>
      </c>
      <c r="R87" s="118">
        <v>4.7</v>
      </c>
      <c r="S87" s="118" t="s">
        <v>96</v>
      </c>
      <c r="T87" s="118" t="s">
        <v>96</v>
      </c>
      <c r="U87" s="129">
        <v>4.2</v>
      </c>
      <c r="V87" s="131" t="s">
        <v>96</v>
      </c>
      <c r="W87" s="131">
        <v>20.51</v>
      </c>
      <c r="X87" s="129" t="s">
        <v>96</v>
      </c>
      <c r="Y87" s="129" t="s">
        <v>96</v>
      </c>
      <c r="Z87" s="129" t="s">
        <v>96</v>
      </c>
      <c r="AA87" s="12"/>
    </row>
    <row r="88" spans="1:27" x14ac:dyDescent="0.25">
      <c r="A88" s="9" t="s">
        <v>72</v>
      </c>
      <c r="B88" s="83">
        <v>8.5</v>
      </c>
      <c r="C88" s="83">
        <v>2.5</v>
      </c>
      <c r="D88" s="120" t="s">
        <v>96</v>
      </c>
      <c r="E88" s="120" t="s">
        <v>96</v>
      </c>
      <c r="F88" s="118">
        <v>16.100000000000001</v>
      </c>
      <c r="G88" s="118" t="s">
        <v>96</v>
      </c>
      <c r="H88" s="129">
        <v>5</v>
      </c>
      <c r="I88" s="118">
        <v>4.0999999999999996</v>
      </c>
      <c r="J88" s="118">
        <v>9.6</v>
      </c>
      <c r="K88" s="120" t="s">
        <v>96</v>
      </c>
      <c r="L88" s="118" t="s">
        <v>96</v>
      </c>
      <c r="M88" s="118" t="s">
        <v>96</v>
      </c>
      <c r="N88" s="118" t="s">
        <v>96</v>
      </c>
      <c r="O88" s="118" t="s">
        <v>96</v>
      </c>
      <c r="P88" s="118" t="s">
        <v>96</v>
      </c>
      <c r="Q88" s="118" t="s">
        <v>96</v>
      </c>
      <c r="R88" s="118">
        <v>44.3</v>
      </c>
      <c r="S88" s="118" t="s">
        <v>96</v>
      </c>
      <c r="T88" s="118">
        <v>11.5</v>
      </c>
      <c r="U88" s="118" t="s">
        <v>96</v>
      </c>
      <c r="V88" s="131">
        <v>7.6</v>
      </c>
      <c r="W88" s="131">
        <v>10.678000000000001</v>
      </c>
      <c r="X88" s="129" t="s">
        <v>96</v>
      </c>
      <c r="Y88" s="129" t="s">
        <v>96</v>
      </c>
      <c r="Z88" s="129" t="s">
        <v>96</v>
      </c>
      <c r="AA88" s="12"/>
    </row>
    <row r="89" spans="1:27" x14ac:dyDescent="0.25">
      <c r="A89" s="9" t="s">
        <v>73</v>
      </c>
      <c r="B89" s="83" t="s">
        <v>96</v>
      </c>
      <c r="C89" s="83" t="s">
        <v>96</v>
      </c>
      <c r="D89" s="120" t="s">
        <v>96</v>
      </c>
      <c r="E89" s="120" t="s">
        <v>96</v>
      </c>
      <c r="F89" s="120" t="s">
        <v>96</v>
      </c>
      <c r="G89" s="120" t="s">
        <v>96</v>
      </c>
      <c r="H89" s="120" t="s">
        <v>96</v>
      </c>
      <c r="I89" s="120" t="s">
        <v>96</v>
      </c>
      <c r="J89" s="120" t="s">
        <v>96</v>
      </c>
      <c r="K89" s="120" t="s">
        <v>96</v>
      </c>
      <c r="L89" s="120" t="s">
        <v>96</v>
      </c>
      <c r="M89" s="120" t="s">
        <v>96</v>
      </c>
      <c r="N89" s="120" t="s">
        <v>96</v>
      </c>
      <c r="O89" s="120" t="s">
        <v>96</v>
      </c>
      <c r="P89" s="120" t="s">
        <v>96</v>
      </c>
      <c r="Q89" s="120" t="s">
        <v>96</v>
      </c>
      <c r="R89" s="120" t="s">
        <v>96</v>
      </c>
      <c r="S89" s="120" t="s">
        <v>96</v>
      </c>
      <c r="T89" s="120" t="s">
        <v>96</v>
      </c>
      <c r="U89" s="118" t="s">
        <v>96</v>
      </c>
      <c r="V89" s="131" t="s">
        <v>96</v>
      </c>
      <c r="W89" s="131" t="s">
        <v>96</v>
      </c>
      <c r="X89" s="129" t="s">
        <v>96</v>
      </c>
      <c r="Y89" s="129" t="s">
        <v>96</v>
      </c>
      <c r="Z89" s="129" t="s">
        <v>96</v>
      </c>
      <c r="AA89" s="12"/>
    </row>
    <row r="90" spans="1:27" x14ac:dyDescent="0.25">
      <c r="A90" s="9" t="s">
        <v>74</v>
      </c>
      <c r="B90" s="83">
        <v>6</v>
      </c>
      <c r="C90" s="83">
        <v>3.7</v>
      </c>
      <c r="D90" s="118">
        <v>5.6</v>
      </c>
      <c r="E90" s="120" t="s">
        <v>96</v>
      </c>
      <c r="F90" s="118">
        <v>3.4</v>
      </c>
      <c r="G90" s="118">
        <v>1.5</v>
      </c>
      <c r="H90" s="120" t="s">
        <v>96</v>
      </c>
      <c r="I90" s="118">
        <v>3.1</v>
      </c>
      <c r="J90" s="118">
        <v>8.3000000000000007</v>
      </c>
      <c r="K90" s="118">
        <v>5.6</v>
      </c>
      <c r="L90" s="118">
        <v>0.9</v>
      </c>
      <c r="M90" s="118" t="s">
        <v>96</v>
      </c>
      <c r="N90" s="118" t="s">
        <v>96</v>
      </c>
      <c r="O90" s="118">
        <v>0.6</v>
      </c>
      <c r="P90" s="118" t="s">
        <v>96</v>
      </c>
      <c r="Q90" s="118" t="s">
        <v>96</v>
      </c>
      <c r="R90" s="118" t="s">
        <v>96</v>
      </c>
      <c r="S90" s="118">
        <v>1.7</v>
      </c>
      <c r="T90" s="129">
        <v>3</v>
      </c>
      <c r="U90" s="118" t="s">
        <v>96</v>
      </c>
      <c r="V90" s="131" t="s">
        <v>96</v>
      </c>
      <c r="W90" s="131" t="s">
        <v>96</v>
      </c>
      <c r="X90" s="129" t="s">
        <v>96</v>
      </c>
      <c r="Y90" s="129" t="s">
        <v>96</v>
      </c>
      <c r="Z90" s="129" t="s">
        <v>96</v>
      </c>
      <c r="AA90" s="12"/>
    </row>
    <row r="91" spans="1:27" x14ac:dyDescent="0.25">
      <c r="A91" s="9" t="s">
        <v>75</v>
      </c>
      <c r="B91" s="83">
        <v>10.1</v>
      </c>
      <c r="C91" s="83">
        <v>9.1999999999999993</v>
      </c>
      <c r="D91" s="120" t="s">
        <v>96</v>
      </c>
      <c r="E91" s="120" t="s">
        <v>96</v>
      </c>
      <c r="F91" s="118">
        <v>2.4</v>
      </c>
      <c r="G91" s="118">
        <v>9.6</v>
      </c>
      <c r="H91" s="118">
        <v>19.2</v>
      </c>
      <c r="I91" s="118">
        <v>7.8</v>
      </c>
      <c r="J91" s="118">
        <v>8.9</v>
      </c>
      <c r="K91" s="118">
        <v>12.9</v>
      </c>
      <c r="L91" s="118">
        <v>17.2</v>
      </c>
      <c r="M91" s="129">
        <v>21</v>
      </c>
      <c r="N91" s="118">
        <v>4.3</v>
      </c>
      <c r="O91" s="118" t="s">
        <v>96</v>
      </c>
      <c r="P91" s="118" t="s">
        <v>96</v>
      </c>
      <c r="Q91" s="118">
        <v>177.4</v>
      </c>
      <c r="R91" s="118">
        <v>70.400000000000006</v>
      </c>
      <c r="S91" s="118">
        <v>71.7</v>
      </c>
      <c r="T91" s="129">
        <v>5</v>
      </c>
      <c r="U91" s="131">
        <v>174.1</v>
      </c>
      <c r="V91" s="131">
        <v>41.2</v>
      </c>
      <c r="W91" s="131">
        <v>74.522999999999996</v>
      </c>
      <c r="X91" s="122">
        <v>11.885999999999999</v>
      </c>
      <c r="Y91" s="122">
        <v>483.827</v>
      </c>
      <c r="Z91" s="122">
        <v>126.07299999999999</v>
      </c>
      <c r="AA91" s="12"/>
    </row>
    <row r="92" spans="1:27" x14ac:dyDescent="0.25">
      <c r="A92" s="9" t="s">
        <v>76</v>
      </c>
      <c r="B92" s="83">
        <v>55.1</v>
      </c>
      <c r="C92" s="83" t="s">
        <v>96</v>
      </c>
      <c r="D92" s="129">
        <v>16</v>
      </c>
      <c r="E92" s="120" t="s">
        <v>96</v>
      </c>
      <c r="F92" s="118">
        <v>18.100000000000001</v>
      </c>
      <c r="G92" s="118">
        <v>13.5</v>
      </c>
      <c r="H92" s="118">
        <v>6.3</v>
      </c>
      <c r="I92" s="118">
        <v>18.100000000000001</v>
      </c>
      <c r="J92" s="118">
        <v>1.7</v>
      </c>
      <c r="K92" s="118">
        <v>7.4</v>
      </c>
      <c r="L92" s="118" t="s">
        <v>96</v>
      </c>
      <c r="M92" s="118" t="s">
        <v>96</v>
      </c>
      <c r="N92" s="118" t="s">
        <v>96</v>
      </c>
      <c r="O92" s="118" t="s">
        <v>96</v>
      </c>
      <c r="P92" s="118" t="s">
        <v>96</v>
      </c>
      <c r="Q92" s="118" t="s">
        <v>96</v>
      </c>
      <c r="R92" s="118">
        <v>148.80000000000001</v>
      </c>
      <c r="S92" s="118">
        <v>76.400000000000006</v>
      </c>
      <c r="T92" s="118" t="s">
        <v>96</v>
      </c>
      <c r="U92" s="131">
        <v>55.5</v>
      </c>
      <c r="V92" s="131">
        <v>80.3</v>
      </c>
      <c r="W92" s="131">
        <v>10.946999999999999</v>
      </c>
      <c r="X92" s="122">
        <v>11.974</v>
      </c>
      <c r="Y92" s="129" t="s">
        <v>96</v>
      </c>
      <c r="Z92" s="129">
        <v>12.821999999999999</v>
      </c>
      <c r="AA92" s="12"/>
    </row>
    <row r="93" spans="1:27" x14ac:dyDescent="0.25">
      <c r="A93" s="9" t="s">
        <v>77</v>
      </c>
      <c r="B93" s="83">
        <v>18.8</v>
      </c>
      <c r="C93" s="83">
        <v>33.6</v>
      </c>
      <c r="D93" s="118">
        <v>42.3</v>
      </c>
      <c r="E93" s="118">
        <v>38.299999999999997</v>
      </c>
      <c r="F93" s="118">
        <v>56.5</v>
      </c>
      <c r="G93" s="118">
        <v>41.9</v>
      </c>
      <c r="H93" s="118">
        <v>52.1</v>
      </c>
      <c r="I93" s="129">
        <v>47</v>
      </c>
      <c r="J93" s="118">
        <v>58.3</v>
      </c>
      <c r="K93" s="118">
        <v>44.7</v>
      </c>
      <c r="L93" s="118">
        <v>21.9</v>
      </c>
      <c r="M93" s="118">
        <v>13.2</v>
      </c>
      <c r="N93" s="118">
        <v>15.9</v>
      </c>
      <c r="O93" s="118">
        <v>11.5</v>
      </c>
      <c r="P93" s="118">
        <v>47.9</v>
      </c>
      <c r="Q93" s="118">
        <v>25.4</v>
      </c>
      <c r="R93" s="118">
        <v>29.5</v>
      </c>
      <c r="S93" s="118">
        <v>10.1</v>
      </c>
      <c r="T93" s="118" t="s">
        <v>96</v>
      </c>
      <c r="U93" s="131">
        <v>46.1</v>
      </c>
      <c r="V93" s="131">
        <v>24</v>
      </c>
      <c r="W93" s="131" t="s">
        <v>96</v>
      </c>
      <c r="X93" s="129" t="s">
        <v>96</v>
      </c>
      <c r="Y93" s="129" t="s">
        <v>96</v>
      </c>
      <c r="Z93" s="129" t="s">
        <v>96</v>
      </c>
      <c r="AA93" s="12"/>
    </row>
    <row r="94" spans="1:27" ht="18" x14ac:dyDescent="0.25">
      <c r="A94" s="8" t="s">
        <v>91</v>
      </c>
      <c r="B94" s="82">
        <v>27.6</v>
      </c>
      <c r="C94" s="82">
        <v>14.6</v>
      </c>
      <c r="D94" s="120">
        <v>12.3</v>
      </c>
      <c r="E94" s="120">
        <v>7.5</v>
      </c>
      <c r="F94" s="120">
        <v>3.5</v>
      </c>
      <c r="G94" s="123">
        <v>4</v>
      </c>
      <c r="H94" s="120">
        <v>8.8000000000000007</v>
      </c>
      <c r="I94" s="120" t="s">
        <v>96</v>
      </c>
      <c r="J94" s="120">
        <v>4.7</v>
      </c>
      <c r="K94" s="120">
        <v>5.9</v>
      </c>
      <c r="L94" s="120">
        <v>15.3</v>
      </c>
      <c r="M94" s="120">
        <v>6.8</v>
      </c>
      <c r="N94" s="120">
        <v>4.3</v>
      </c>
      <c r="O94" s="120">
        <v>2.4</v>
      </c>
      <c r="P94" s="120">
        <v>9.6</v>
      </c>
      <c r="Q94" s="123">
        <v>5</v>
      </c>
      <c r="R94" s="120">
        <v>9.1</v>
      </c>
      <c r="S94" s="120">
        <v>24.3</v>
      </c>
      <c r="T94" s="123">
        <v>33</v>
      </c>
      <c r="U94" s="130">
        <v>5.8</v>
      </c>
      <c r="V94" s="130">
        <v>30.6</v>
      </c>
      <c r="W94" s="130">
        <v>16.256</v>
      </c>
      <c r="X94" s="124">
        <v>34.542000000000002</v>
      </c>
      <c r="Y94" s="124">
        <v>11.673999999999999</v>
      </c>
      <c r="Z94" s="124">
        <v>18.538</v>
      </c>
      <c r="AA94" s="12"/>
    </row>
    <row r="95" spans="1:27" x14ac:dyDescent="0.25">
      <c r="A95" s="9" t="s">
        <v>67</v>
      </c>
      <c r="B95" s="83" t="s">
        <v>96</v>
      </c>
      <c r="C95" s="83" t="s">
        <v>96</v>
      </c>
      <c r="D95" s="120" t="s">
        <v>96</v>
      </c>
      <c r="E95" s="120" t="s">
        <v>96</v>
      </c>
      <c r="F95" s="120" t="s">
        <v>96</v>
      </c>
      <c r="G95" s="120" t="s">
        <v>96</v>
      </c>
      <c r="H95" s="120" t="s">
        <v>96</v>
      </c>
      <c r="I95" s="120" t="s">
        <v>96</v>
      </c>
      <c r="J95" s="120" t="s">
        <v>96</v>
      </c>
      <c r="K95" s="120" t="s">
        <v>96</v>
      </c>
      <c r="L95" s="120" t="s">
        <v>96</v>
      </c>
      <c r="M95" s="120" t="s">
        <v>96</v>
      </c>
      <c r="N95" s="120" t="s">
        <v>96</v>
      </c>
      <c r="O95" s="120" t="s">
        <v>96</v>
      </c>
      <c r="P95" s="120" t="s">
        <v>96</v>
      </c>
      <c r="Q95" s="120" t="s">
        <v>96</v>
      </c>
      <c r="R95" s="118" t="s">
        <v>96</v>
      </c>
      <c r="S95" s="118" t="s">
        <v>96</v>
      </c>
      <c r="T95" s="118" t="s">
        <v>96</v>
      </c>
      <c r="U95" s="131">
        <v>3.4</v>
      </c>
      <c r="V95" s="131" t="s">
        <v>96</v>
      </c>
      <c r="W95" s="131" t="s">
        <v>96</v>
      </c>
      <c r="X95" s="129" t="s">
        <v>96</v>
      </c>
      <c r="Y95" s="129" t="s">
        <v>96</v>
      </c>
      <c r="Z95" s="129" t="s">
        <v>96</v>
      </c>
      <c r="AA95" s="12"/>
    </row>
    <row r="96" spans="1:27" x14ac:dyDescent="0.25">
      <c r="A96" s="9" t="s">
        <v>78</v>
      </c>
      <c r="B96" s="83" t="s">
        <v>96</v>
      </c>
      <c r="C96" s="83" t="s">
        <v>96</v>
      </c>
      <c r="D96" s="120" t="s">
        <v>96</v>
      </c>
      <c r="E96" s="120" t="s">
        <v>96</v>
      </c>
      <c r="F96" s="120" t="s">
        <v>96</v>
      </c>
      <c r="G96" s="120" t="s">
        <v>96</v>
      </c>
      <c r="H96" s="120" t="s">
        <v>96</v>
      </c>
      <c r="I96" s="120" t="s">
        <v>96</v>
      </c>
      <c r="J96" s="120" t="s">
        <v>96</v>
      </c>
      <c r="K96" s="120" t="s">
        <v>96</v>
      </c>
      <c r="L96" s="120" t="s">
        <v>96</v>
      </c>
      <c r="M96" s="120" t="s">
        <v>96</v>
      </c>
      <c r="N96" s="120" t="s">
        <v>96</v>
      </c>
      <c r="O96" s="120" t="s">
        <v>96</v>
      </c>
      <c r="P96" s="120" t="s">
        <v>96</v>
      </c>
      <c r="Q96" s="120" t="s">
        <v>96</v>
      </c>
      <c r="R96" s="118">
        <v>5.7</v>
      </c>
      <c r="S96" s="118">
        <v>5.9</v>
      </c>
      <c r="T96" s="118">
        <v>0.6</v>
      </c>
      <c r="U96" s="131">
        <v>0.5</v>
      </c>
      <c r="V96" s="131">
        <v>4.4000000000000004</v>
      </c>
      <c r="W96" s="131" t="s">
        <v>96</v>
      </c>
      <c r="X96" s="122">
        <v>7.7119999999999997</v>
      </c>
      <c r="Y96" s="129" t="s">
        <v>96</v>
      </c>
      <c r="Z96" s="129" t="s">
        <v>96</v>
      </c>
      <c r="AA96" s="12"/>
    </row>
    <row r="97" spans="1:27" x14ac:dyDescent="0.25">
      <c r="A97" s="9" t="s">
        <v>71</v>
      </c>
      <c r="B97" s="83" t="s">
        <v>96</v>
      </c>
      <c r="C97" s="83" t="s">
        <v>96</v>
      </c>
      <c r="D97" s="120" t="s">
        <v>96</v>
      </c>
      <c r="E97" s="120" t="s">
        <v>96</v>
      </c>
      <c r="F97" s="120" t="s">
        <v>96</v>
      </c>
      <c r="G97" s="120" t="s">
        <v>96</v>
      </c>
      <c r="H97" s="120" t="s">
        <v>96</v>
      </c>
      <c r="I97" s="120" t="s">
        <v>96</v>
      </c>
      <c r="J97" s="120" t="s">
        <v>96</v>
      </c>
      <c r="K97" s="120" t="s">
        <v>96</v>
      </c>
      <c r="L97" s="120" t="s">
        <v>96</v>
      </c>
      <c r="M97" s="120" t="s">
        <v>96</v>
      </c>
      <c r="N97" s="120" t="s">
        <v>96</v>
      </c>
      <c r="O97" s="120" t="s">
        <v>96</v>
      </c>
      <c r="P97" s="120" t="s">
        <v>96</v>
      </c>
      <c r="Q97" s="120" t="s">
        <v>96</v>
      </c>
      <c r="R97" s="118" t="s">
        <v>96</v>
      </c>
      <c r="S97" s="118" t="s">
        <v>96</v>
      </c>
      <c r="T97" s="118" t="s">
        <v>96</v>
      </c>
      <c r="U97" s="118" t="s">
        <v>96</v>
      </c>
      <c r="V97" s="131" t="s">
        <v>96</v>
      </c>
      <c r="W97" s="131" t="s">
        <v>96</v>
      </c>
      <c r="X97" s="129" t="s">
        <v>96</v>
      </c>
      <c r="Y97" s="129" t="s">
        <v>96</v>
      </c>
      <c r="Z97" s="129" t="s">
        <v>96</v>
      </c>
      <c r="AA97" s="12"/>
    </row>
    <row r="98" spans="1:27" x14ac:dyDescent="0.25">
      <c r="A98" s="9" t="s">
        <v>79</v>
      </c>
      <c r="B98" s="83" t="s">
        <v>96</v>
      </c>
      <c r="C98" s="83" t="s">
        <v>96</v>
      </c>
      <c r="D98" s="120" t="s">
        <v>96</v>
      </c>
      <c r="E98" s="120" t="s">
        <v>96</v>
      </c>
      <c r="F98" s="120" t="s">
        <v>96</v>
      </c>
      <c r="G98" s="120" t="s">
        <v>96</v>
      </c>
      <c r="H98" s="120" t="s">
        <v>96</v>
      </c>
      <c r="I98" s="120" t="s">
        <v>96</v>
      </c>
      <c r="J98" s="120" t="s">
        <v>96</v>
      </c>
      <c r="K98" s="120" t="s">
        <v>96</v>
      </c>
      <c r="L98" s="120" t="s">
        <v>96</v>
      </c>
      <c r="M98" s="120" t="s">
        <v>96</v>
      </c>
      <c r="N98" s="120" t="s">
        <v>96</v>
      </c>
      <c r="O98" s="120" t="s">
        <v>96</v>
      </c>
      <c r="P98" s="120" t="s">
        <v>96</v>
      </c>
      <c r="Q98" s="120" t="s">
        <v>96</v>
      </c>
      <c r="R98" s="118" t="s">
        <v>96</v>
      </c>
      <c r="S98" s="118" t="s">
        <v>96</v>
      </c>
      <c r="T98" s="118" t="s">
        <v>96</v>
      </c>
      <c r="U98" s="118" t="s">
        <v>96</v>
      </c>
      <c r="V98" s="131" t="s">
        <v>96</v>
      </c>
      <c r="W98" s="131" t="s">
        <v>96</v>
      </c>
      <c r="X98" s="129" t="s">
        <v>96</v>
      </c>
      <c r="Y98" s="129" t="s">
        <v>96</v>
      </c>
      <c r="Z98" s="129" t="s">
        <v>96</v>
      </c>
      <c r="AA98" s="12"/>
    </row>
    <row r="99" spans="1:27" x14ac:dyDescent="0.25">
      <c r="A99" s="9" t="s">
        <v>80</v>
      </c>
      <c r="B99" s="83">
        <v>27.6</v>
      </c>
      <c r="C99" s="83">
        <v>7.8</v>
      </c>
      <c r="D99" s="118">
        <v>6.5</v>
      </c>
      <c r="E99" s="118">
        <v>3.6</v>
      </c>
      <c r="F99" s="120" t="s">
        <v>96</v>
      </c>
      <c r="G99" s="120" t="s">
        <v>96</v>
      </c>
      <c r="H99" s="120" t="s">
        <v>96</v>
      </c>
      <c r="I99" s="120" t="s">
        <v>96</v>
      </c>
      <c r="J99" s="120" t="s">
        <v>96</v>
      </c>
      <c r="K99" s="120" t="s">
        <v>96</v>
      </c>
      <c r="L99" s="118">
        <v>9.9</v>
      </c>
      <c r="M99" s="118">
        <v>6.8</v>
      </c>
      <c r="N99" s="118" t="s">
        <v>96</v>
      </c>
      <c r="O99" s="118">
        <v>2.2999999999999998</v>
      </c>
      <c r="P99" s="118">
        <v>8.1999999999999993</v>
      </c>
      <c r="Q99" s="118">
        <v>1.4</v>
      </c>
      <c r="R99" s="118" t="s">
        <v>96</v>
      </c>
      <c r="S99" s="129">
        <v>12</v>
      </c>
      <c r="T99" s="118">
        <v>2.6</v>
      </c>
      <c r="U99" s="118" t="s">
        <v>96</v>
      </c>
      <c r="V99" s="131">
        <v>26.2</v>
      </c>
      <c r="W99" s="131">
        <v>4.2060000000000004</v>
      </c>
      <c r="X99" s="122">
        <v>24.094999999999999</v>
      </c>
      <c r="Y99" s="122">
        <v>10.865</v>
      </c>
      <c r="Z99" s="122">
        <v>9.2360000000000007</v>
      </c>
      <c r="AA99" s="12"/>
    </row>
    <row r="100" spans="1:27" x14ac:dyDescent="0.25">
      <c r="A100" s="9" t="s">
        <v>81</v>
      </c>
      <c r="B100" s="83" t="s">
        <v>96</v>
      </c>
      <c r="C100" s="83">
        <v>3.6</v>
      </c>
      <c r="D100" s="118">
        <v>5.8</v>
      </c>
      <c r="E100" s="120" t="s">
        <v>96</v>
      </c>
      <c r="F100" s="118">
        <v>3.5</v>
      </c>
      <c r="G100" s="129">
        <v>4</v>
      </c>
      <c r="H100" s="118">
        <v>6.8</v>
      </c>
      <c r="I100" s="120" t="s">
        <v>96</v>
      </c>
      <c r="J100" s="118">
        <v>4.7</v>
      </c>
      <c r="K100" s="118">
        <v>5.9</v>
      </c>
      <c r="L100" s="118">
        <v>5.5</v>
      </c>
      <c r="M100" s="118" t="s">
        <v>96</v>
      </c>
      <c r="N100" s="118">
        <v>4.3</v>
      </c>
      <c r="O100" s="118">
        <v>0.1</v>
      </c>
      <c r="P100" s="118">
        <v>1.4</v>
      </c>
      <c r="Q100" s="118">
        <v>3.5</v>
      </c>
      <c r="R100" s="118">
        <v>1.5</v>
      </c>
      <c r="S100" s="118" t="s">
        <v>96</v>
      </c>
      <c r="T100" s="118">
        <v>1.5</v>
      </c>
      <c r="U100" s="118" t="s">
        <v>96</v>
      </c>
      <c r="V100" s="131" t="s">
        <v>96</v>
      </c>
      <c r="W100" s="131" t="s">
        <v>96</v>
      </c>
      <c r="X100" s="129" t="s">
        <v>96</v>
      </c>
      <c r="Y100" s="129" t="s">
        <v>96</v>
      </c>
      <c r="Z100" s="129" t="s">
        <v>96</v>
      </c>
      <c r="AA100" s="12"/>
    </row>
    <row r="101" spans="1:27" x14ac:dyDescent="0.25">
      <c r="A101" s="9" t="s">
        <v>82</v>
      </c>
      <c r="B101" s="83" t="s">
        <v>96</v>
      </c>
      <c r="C101" s="83">
        <v>3.1</v>
      </c>
      <c r="D101" s="120" t="s">
        <v>96</v>
      </c>
      <c r="E101" s="129">
        <v>4</v>
      </c>
      <c r="F101" s="120" t="s">
        <v>96</v>
      </c>
      <c r="G101" s="118" t="s">
        <v>96</v>
      </c>
      <c r="H101" s="120" t="s">
        <v>96</v>
      </c>
      <c r="I101" s="120" t="s">
        <v>96</v>
      </c>
      <c r="J101" s="120" t="s">
        <v>96</v>
      </c>
      <c r="K101" s="120" t="s">
        <v>96</v>
      </c>
      <c r="L101" s="118" t="s">
        <v>96</v>
      </c>
      <c r="M101" s="118" t="s">
        <v>96</v>
      </c>
      <c r="N101" s="118" t="s">
        <v>96</v>
      </c>
      <c r="O101" s="118" t="s">
        <v>96</v>
      </c>
      <c r="P101" s="118" t="s">
        <v>96</v>
      </c>
      <c r="Q101" s="118" t="s">
        <v>96</v>
      </c>
      <c r="R101" s="118" t="s">
        <v>96</v>
      </c>
      <c r="S101" s="118">
        <v>2.1</v>
      </c>
      <c r="T101" s="118" t="s">
        <v>96</v>
      </c>
      <c r="U101" s="118" t="s">
        <v>96</v>
      </c>
      <c r="V101" s="131" t="s">
        <v>96</v>
      </c>
      <c r="W101" s="131" t="s">
        <v>96</v>
      </c>
      <c r="X101" s="129" t="s">
        <v>96</v>
      </c>
      <c r="Y101" s="129" t="s">
        <v>96</v>
      </c>
      <c r="Z101" s="129" t="s">
        <v>96</v>
      </c>
      <c r="AA101" s="12"/>
    </row>
    <row r="102" spans="1:27" x14ac:dyDescent="0.25">
      <c r="A102" s="72" t="s">
        <v>83</v>
      </c>
      <c r="B102" s="83" t="s">
        <v>96</v>
      </c>
      <c r="C102" s="83" t="s">
        <v>96</v>
      </c>
      <c r="D102" s="120" t="s">
        <v>96</v>
      </c>
      <c r="E102" s="120" t="s">
        <v>96</v>
      </c>
      <c r="F102" s="120" t="s">
        <v>96</v>
      </c>
      <c r="G102" s="120" t="s">
        <v>96</v>
      </c>
      <c r="H102" s="120" t="s">
        <v>96</v>
      </c>
      <c r="I102" s="120" t="s">
        <v>96</v>
      </c>
      <c r="J102" s="120" t="s">
        <v>96</v>
      </c>
      <c r="K102" s="120" t="s">
        <v>96</v>
      </c>
      <c r="L102" s="120" t="s">
        <v>96</v>
      </c>
      <c r="M102" s="120" t="s">
        <v>96</v>
      </c>
      <c r="N102" s="120" t="s">
        <v>96</v>
      </c>
      <c r="O102" s="120" t="s">
        <v>96</v>
      </c>
      <c r="P102" s="120" t="s">
        <v>96</v>
      </c>
      <c r="Q102" s="120" t="s">
        <v>96</v>
      </c>
      <c r="R102" s="120" t="s">
        <v>96</v>
      </c>
      <c r="S102" s="120" t="s">
        <v>96</v>
      </c>
      <c r="T102" s="120" t="s">
        <v>96</v>
      </c>
      <c r="U102" s="118" t="s">
        <v>96</v>
      </c>
      <c r="V102" s="131" t="s">
        <v>96</v>
      </c>
      <c r="W102" s="131" t="s">
        <v>96</v>
      </c>
      <c r="X102" s="129" t="s">
        <v>96</v>
      </c>
      <c r="Y102" s="129" t="s">
        <v>96</v>
      </c>
      <c r="Z102" s="129" t="s">
        <v>96</v>
      </c>
      <c r="AA102" s="12"/>
    </row>
    <row r="103" spans="1:27" x14ac:dyDescent="0.25">
      <c r="A103" s="72" t="s">
        <v>84</v>
      </c>
      <c r="B103" s="83" t="s">
        <v>96</v>
      </c>
      <c r="C103" s="83" t="s">
        <v>96</v>
      </c>
      <c r="D103" s="120" t="s">
        <v>96</v>
      </c>
      <c r="E103" s="120" t="s">
        <v>96</v>
      </c>
      <c r="F103" s="120" t="s">
        <v>96</v>
      </c>
      <c r="G103" s="118" t="s">
        <v>96</v>
      </c>
      <c r="H103" s="129">
        <v>1</v>
      </c>
      <c r="I103" s="120" t="s">
        <v>96</v>
      </c>
      <c r="J103" s="120" t="s">
        <v>96</v>
      </c>
      <c r="K103" s="120" t="s">
        <v>96</v>
      </c>
      <c r="L103" s="118" t="s">
        <v>96</v>
      </c>
      <c r="M103" s="118" t="s">
        <v>96</v>
      </c>
      <c r="N103" s="118" t="s">
        <v>96</v>
      </c>
      <c r="O103" s="118" t="s">
        <v>96</v>
      </c>
      <c r="P103" s="118" t="s">
        <v>96</v>
      </c>
      <c r="Q103" s="118" t="s">
        <v>96</v>
      </c>
      <c r="R103" s="118">
        <v>1.9</v>
      </c>
      <c r="S103" s="118">
        <v>4.3</v>
      </c>
      <c r="T103" s="118">
        <v>28.2</v>
      </c>
      <c r="U103" s="129">
        <v>2</v>
      </c>
      <c r="V103" s="131" t="s">
        <v>96</v>
      </c>
      <c r="W103" s="131">
        <v>12.05</v>
      </c>
      <c r="X103" s="122">
        <v>2.7349999999999999</v>
      </c>
      <c r="Y103" s="122">
        <v>0.80900000000000005</v>
      </c>
      <c r="Z103" s="122">
        <v>9.3019999999999996</v>
      </c>
      <c r="AA103" s="12"/>
    </row>
    <row r="104" spans="1:27" ht="19.5" x14ac:dyDescent="0.25">
      <c r="A104" s="72" t="s">
        <v>85</v>
      </c>
      <c r="B104" s="83" t="s">
        <v>96</v>
      </c>
      <c r="C104" s="83" t="s">
        <v>96</v>
      </c>
      <c r="D104" s="120" t="s">
        <v>96</v>
      </c>
      <c r="E104" s="120" t="s">
        <v>96</v>
      </c>
      <c r="F104" s="120" t="s">
        <v>96</v>
      </c>
      <c r="G104" s="120" t="s">
        <v>96</v>
      </c>
      <c r="H104" s="129">
        <v>1</v>
      </c>
      <c r="I104" s="120" t="s">
        <v>96</v>
      </c>
      <c r="J104" s="120" t="s">
        <v>96</v>
      </c>
      <c r="K104" s="120" t="s">
        <v>96</v>
      </c>
      <c r="L104" s="120" t="s">
        <v>96</v>
      </c>
      <c r="M104" s="120" t="s">
        <v>96</v>
      </c>
      <c r="N104" s="120" t="s">
        <v>96</v>
      </c>
      <c r="O104" s="120" t="s">
        <v>96</v>
      </c>
      <c r="P104" s="120" t="s">
        <v>96</v>
      </c>
      <c r="Q104" s="120" t="s">
        <v>96</v>
      </c>
      <c r="R104" s="120" t="s">
        <v>96</v>
      </c>
      <c r="S104" s="120" t="s">
        <v>96</v>
      </c>
      <c r="T104" s="120" t="s">
        <v>96</v>
      </c>
      <c r="U104" s="118" t="s">
        <v>96</v>
      </c>
      <c r="V104" s="131" t="s">
        <v>96</v>
      </c>
      <c r="W104" s="131" t="s">
        <v>96</v>
      </c>
      <c r="X104" s="129" t="s">
        <v>96</v>
      </c>
      <c r="Y104" s="129" t="s">
        <v>96</v>
      </c>
      <c r="Z104" s="129" t="s">
        <v>96</v>
      </c>
      <c r="AA104" s="12"/>
    </row>
    <row r="105" spans="1:27" ht="20.25" thickBot="1" x14ac:dyDescent="0.3">
      <c r="A105" s="78" t="s">
        <v>86</v>
      </c>
      <c r="B105" s="84" t="s">
        <v>96</v>
      </c>
      <c r="C105" s="84" t="s">
        <v>96</v>
      </c>
      <c r="D105" s="79" t="s">
        <v>96</v>
      </c>
      <c r="E105" s="79" t="s">
        <v>96</v>
      </c>
      <c r="F105" s="79" t="s">
        <v>96</v>
      </c>
      <c r="G105" s="79" t="s">
        <v>96</v>
      </c>
      <c r="H105" s="79" t="s">
        <v>96</v>
      </c>
      <c r="I105" s="79" t="s">
        <v>96</v>
      </c>
      <c r="J105" s="79" t="s">
        <v>96</v>
      </c>
      <c r="K105" s="79" t="s">
        <v>96</v>
      </c>
      <c r="L105" s="79" t="s">
        <v>96</v>
      </c>
      <c r="M105" s="79" t="s">
        <v>96</v>
      </c>
      <c r="N105" s="79" t="s">
        <v>96</v>
      </c>
      <c r="O105" s="79" t="s">
        <v>96</v>
      </c>
      <c r="P105" s="79" t="s">
        <v>96</v>
      </c>
      <c r="Q105" s="79" t="s">
        <v>96</v>
      </c>
      <c r="R105" s="79" t="s">
        <v>96</v>
      </c>
      <c r="S105" s="79" t="s">
        <v>96</v>
      </c>
      <c r="T105" s="79" t="s">
        <v>96</v>
      </c>
      <c r="U105" s="127" t="s">
        <v>96</v>
      </c>
      <c r="V105" s="127" t="s">
        <v>96</v>
      </c>
      <c r="W105" s="127" t="s">
        <v>96</v>
      </c>
      <c r="X105" s="128" t="s">
        <v>96</v>
      </c>
      <c r="Y105" s="128" t="s">
        <v>96</v>
      </c>
      <c r="Z105" s="128" t="s">
        <v>96</v>
      </c>
      <c r="AA105" s="12"/>
    </row>
    <row r="106" spans="1:27" x14ac:dyDescent="0.25">
      <c r="A106" s="7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Z106" s="12"/>
      <c r="AA106" s="12"/>
    </row>
    <row r="107" spans="1:27" x14ac:dyDescent="0.25">
      <c r="A107" s="74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</row>
    <row r="108" spans="1:27" x14ac:dyDescent="0.25">
      <c r="A108" s="73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</row>
    <row r="109" spans="1:27" x14ac:dyDescent="0.25">
      <c r="A109" s="73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</row>
    <row r="110" spans="1:27" x14ac:dyDescent="0.25">
      <c r="A110" s="73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</row>
    <row r="111" spans="1:27" x14ac:dyDescent="0.25">
      <c r="A111" s="73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</row>
    <row r="112" spans="1:27" x14ac:dyDescent="0.25">
      <c r="A112" s="73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</row>
    <row r="113" spans="1:14" x14ac:dyDescent="0.25">
      <c r="A113" s="73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</row>
    <row r="114" spans="1:14" x14ac:dyDescent="0.25">
      <c r="A114" s="73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</row>
    <row r="115" spans="1:14" x14ac:dyDescent="0.25">
      <c r="A115" s="73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</row>
    <row r="116" spans="1:14" x14ac:dyDescent="0.25">
      <c r="A116" s="73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</row>
    <row r="117" spans="1:14" x14ac:dyDescent="0.25">
      <c r="A117" s="73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</row>
    <row r="118" spans="1:14" x14ac:dyDescent="0.25">
      <c r="A118" s="74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</row>
    <row r="119" spans="1:14" x14ac:dyDescent="0.25">
      <c r="A119" s="73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</row>
    <row r="120" spans="1:14" x14ac:dyDescent="0.25">
      <c r="A120" s="73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</row>
    <row r="121" spans="1:14" x14ac:dyDescent="0.25">
      <c r="A121" s="73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</row>
    <row r="122" spans="1:14" x14ac:dyDescent="0.25">
      <c r="A122" s="73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</row>
    <row r="123" spans="1:14" x14ac:dyDescent="0.25">
      <c r="A123" s="73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</row>
    <row r="124" spans="1:14" x14ac:dyDescent="0.25">
      <c r="A124" s="73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</row>
    <row r="125" spans="1:14" x14ac:dyDescent="0.25">
      <c r="A125" s="73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</row>
    <row r="126" spans="1:14" x14ac:dyDescent="0.25">
      <c r="A126" s="73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</row>
    <row r="127" spans="1:14" x14ac:dyDescent="0.25">
      <c r="A127" s="73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</row>
    <row r="128" spans="1:14" x14ac:dyDescent="0.25">
      <c r="A128" s="73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</row>
    <row r="129" spans="1:14" x14ac:dyDescent="0.25">
      <c r="A129" s="73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</row>
  </sheetData>
  <mergeCells count="3">
    <mergeCell ref="A2:Z2"/>
    <mergeCell ref="A3:Z3"/>
    <mergeCell ref="A4:Z4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24"/>
  <sheetViews>
    <sheetView topLeftCell="A82" zoomScale="80" zoomScaleNormal="80" workbookViewId="0">
      <pane xSplit="1" topLeftCell="B1" activePane="topRight" state="frozen"/>
      <selection pane="topRight" activeCell="AB16" sqref="AB16"/>
    </sheetView>
  </sheetViews>
  <sheetFormatPr defaultColWidth="9.140625" defaultRowHeight="15" x14ac:dyDescent="0.25"/>
  <cols>
    <col min="1" max="1" width="19.5703125" style="1" customWidth="1"/>
    <col min="2" max="24" width="9.140625" style="1"/>
    <col min="25" max="25" width="9.140625" style="12"/>
    <col min="26" max="16384" width="9.140625" style="1"/>
  </cols>
  <sheetData>
    <row r="1" spans="1:27" ht="30" customHeight="1" x14ac:dyDescent="0.25"/>
    <row r="2" spans="1:27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7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7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7" x14ac:dyDescent="0.25">
      <c r="A5" s="11" t="s">
        <v>218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Z5" s="12"/>
      <c r="AA5" s="12"/>
    </row>
    <row r="6" spans="1:27" ht="15.75" thickBot="1" x14ac:dyDescent="0.3">
      <c r="A6" s="24" t="s">
        <v>182</v>
      </c>
      <c r="B6" s="24"/>
      <c r="C6" s="24"/>
      <c r="D6" s="24"/>
      <c r="E6" s="24"/>
      <c r="F6" s="24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Z6" s="12"/>
      <c r="AA6" s="12"/>
    </row>
    <row r="7" spans="1:27" ht="15.75" thickBot="1" x14ac:dyDescent="0.3">
      <c r="A7" s="10"/>
      <c r="B7" s="2">
        <v>2000</v>
      </c>
      <c r="C7" s="168">
        <v>2001</v>
      </c>
      <c r="D7" s="168">
        <v>2002</v>
      </c>
      <c r="E7" s="168">
        <v>2003</v>
      </c>
      <c r="F7" s="2">
        <v>2004</v>
      </c>
      <c r="G7" s="168">
        <v>2005</v>
      </c>
      <c r="H7" s="2">
        <v>2006</v>
      </c>
      <c r="I7" s="168">
        <v>2007</v>
      </c>
      <c r="J7" s="168">
        <v>2008</v>
      </c>
      <c r="K7" s="168">
        <v>2009</v>
      </c>
      <c r="L7" s="168">
        <v>2010</v>
      </c>
      <c r="M7" s="168">
        <v>2011</v>
      </c>
      <c r="N7" s="168">
        <v>2012</v>
      </c>
      <c r="O7" s="168">
        <v>2013</v>
      </c>
      <c r="P7" s="168">
        <v>2014</v>
      </c>
      <c r="Q7" s="168">
        <v>2015</v>
      </c>
      <c r="R7" s="168">
        <v>2016</v>
      </c>
      <c r="S7" s="168">
        <v>2017</v>
      </c>
      <c r="T7" s="2">
        <v>2018</v>
      </c>
      <c r="U7" s="2">
        <v>2019</v>
      </c>
      <c r="V7" s="167">
        <v>2020</v>
      </c>
      <c r="W7" s="2">
        <v>2021</v>
      </c>
      <c r="X7" s="2">
        <v>2022</v>
      </c>
      <c r="Y7" s="2">
        <v>2023</v>
      </c>
      <c r="Z7" s="2">
        <v>2024</v>
      </c>
      <c r="AA7" s="12"/>
    </row>
    <row r="8" spans="1:27" x14ac:dyDescent="0.25">
      <c r="A8" s="48" t="s">
        <v>0</v>
      </c>
      <c r="B8" s="42">
        <v>12609.1</v>
      </c>
      <c r="C8" s="42">
        <v>13059.8</v>
      </c>
      <c r="D8" s="42">
        <v>14177.1</v>
      </c>
      <c r="E8" s="42">
        <v>15165.8</v>
      </c>
      <c r="F8" s="22">
        <v>16092.9</v>
      </c>
      <c r="G8" s="120">
        <v>17530</v>
      </c>
      <c r="H8" s="120">
        <v>19969</v>
      </c>
      <c r="I8" s="120">
        <v>26307</v>
      </c>
      <c r="J8" s="120">
        <v>27367</v>
      </c>
      <c r="K8" s="22">
        <v>28546.1</v>
      </c>
      <c r="L8" s="121">
        <v>25518</v>
      </c>
      <c r="M8" s="121">
        <v>26761</v>
      </c>
      <c r="N8" s="121">
        <v>28378</v>
      </c>
      <c r="O8" s="121">
        <v>30663</v>
      </c>
      <c r="P8" s="121">
        <v>36236</v>
      </c>
      <c r="Q8" s="121">
        <v>35203</v>
      </c>
      <c r="R8" s="121">
        <v>31791</v>
      </c>
      <c r="S8" s="126">
        <v>32987</v>
      </c>
      <c r="T8" s="22">
        <v>32421.200000000001</v>
      </c>
      <c r="U8" s="105">
        <v>38503</v>
      </c>
      <c r="V8" s="113">
        <v>39802</v>
      </c>
      <c r="W8" s="113">
        <v>49102</v>
      </c>
      <c r="X8" s="121">
        <v>57203</v>
      </c>
      <c r="Y8" s="121">
        <v>58681</v>
      </c>
      <c r="Z8" s="26">
        <v>62270</v>
      </c>
      <c r="AA8" s="12"/>
    </row>
    <row r="9" spans="1:27" ht="18" x14ac:dyDescent="0.25">
      <c r="A9" s="8" t="s">
        <v>247</v>
      </c>
      <c r="B9" s="42">
        <v>3246</v>
      </c>
      <c r="C9" s="22">
        <v>3201.3</v>
      </c>
      <c r="D9" s="22">
        <v>3622.6</v>
      </c>
      <c r="E9" s="22">
        <v>4267.8</v>
      </c>
      <c r="F9" s="22">
        <v>4731</v>
      </c>
      <c r="G9" s="120">
        <v>5153</v>
      </c>
      <c r="H9" s="120">
        <f>SUM(H10:H27)</f>
        <v>5151</v>
      </c>
      <c r="I9" s="120">
        <v>6992</v>
      </c>
      <c r="J9" s="120">
        <v>6769</v>
      </c>
      <c r="K9" s="22">
        <v>7551</v>
      </c>
      <c r="L9" s="121">
        <v>6808</v>
      </c>
      <c r="M9" s="121">
        <v>7029</v>
      </c>
      <c r="N9" s="121">
        <v>7140</v>
      </c>
      <c r="O9" s="121">
        <v>7256</v>
      </c>
      <c r="P9" s="121">
        <v>8005</v>
      </c>
      <c r="Q9" s="121">
        <v>9591</v>
      </c>
      <c r="R9" s="121">
        <v>8491</v>
      </c>
      <c r="S9" s="120">
        <v>9771</v>
      </c>
      <c r="T9" s="22">
        <v>9967.5</v>
      </c>
      <c r="U9" s="105">
        <v>11878</v>
      </c>
      <c r="V9" s="133">
        <v>12053</v>
      </c>
      <c r="W9" s="133">
        <v>14283</v>
      </c>
      <c r="X9" s="121">
        <v>17648</v>
      </c>
      <c r="Y9" s="121">
        <v>16455</v>
      </c>
      <c r="Z9" s="26">
        <v>16772</v>
      </c>
      <c r="AA9" s="12"/>
    </row>
    <row r="10" spans="1:27" x14ac:dyDescent="0.25">
      <c r="A10" s="9" t="s">
        <v>1</v>
      </c>
      <c r="B10" s="44">
        <v>360.5</v>
      </c>
      <c r="C10" s="21">
        <v>375.3</v>
      </c>
      <c r="D10" s="21">
        <v>325.39999999999998</v>
      </c>
      <c r="E10" s="21">
        <v>355.1</v>
      </c>
      <c r="F10" s="21">
        <v>386.2</v>
      </c>
      <c r="G10" s="118">
        <v>486</v>
      </c>
      <c r="H10" s="118">
        <v>638</v>
      </c>
      <c r="I10" s="118">
        <v>665</v>
      </c>
      <c r="J10" s="118">
        <v>669</v>
      </c>
      <c r="K10" s="21">
        <v>758.5</v>
      </c>
      <c r="L10" s="117">
        <v>853</v>
      </c>
      <c r="M10" s="117">
        <v>962</v>
      </c>
      <c r="N10" s="117">
        <v>996</v>
      </c>
      <c r="O10" s="117">
        <v>981</v>
      </c>
      <c r="P10" s="117">
        <v>1079</v>
      </c>
      <c r="Q10" s="117">
        <v>1251</v>
      </c>
      <c r="R10" s="117">
        <v>1140</v>
      </c>
      <c r="S10" s="118">
        <v>1056</v>
      </c>
      <c r="T10" s="21">
        <v>1033.5999999999999</v>
      </c>
      <c r="U10" s="139">
        <v>1072</v>
      </c>
      <c r="V10" s="134">
        <v>935</v>
      </c>
      <c r="W10" s="134">
        <v>1016</v>
      </c>
      <c r="X10" s="117">
        <v>628</v>
      </c>
      <c r="Y10" s="117">
        <v>661</v>
      </c>
      <c r="Z10" s="20">
        <v>669</v>
      </c>
      <c r="AA10" s="12"/>
    </row>
    <row r="11" spans="1:27" x14ac:dyDescent="0.25">
      <c r="A11" s="9" t="s">
        <v>2</v>
      </c>
      <c r="B11" s="44">
        <v>90</v>
      </c>
      <c r="C11" s="44">
        <v>118.6</v>
      </c>
      <c r="D11" s="21">
        <v>119.7</v>
      </c>
      <c r="E11" s="21">
        <v>115</v>
      </c>
      <c r="F11" s="21">
        <v>113.7</v>
      </c>
      <c r="G11" s="118">
        <v>119</v>
      </c>
      <c r="H11" s="118">
        <v>114</v>
      </c>
      <c r="I11" s="118">
        <v>141</v>
      </c>
      <c r="J11" s="118">
        <v>115</v>
      </c>
      <c r="K11" s="21">
        <v>131.4</v>
      </c>
      <c r="L11" s="117">
        <v>138</v>
      </c>
      <c r="M11" s="117">
        <v>139</v>
      </c>
      <c r="N11" s="117">
        <v>157</v>
      </c>
      <c r="O11" s="117">
        <v>212</v>
      </c>
      <c r="P11" s="117">
        <v>200</v>
      </c>
      <c r="Q11" s="117">
        <v>218</v>
      </c>
      <c r="R11" s="117">
        <v>99</v>
      </c>
      <c r="S11" s="118">
        <v>73</v>
      </c>
      <c r="T11" s="21">
        <v>70.2</v>
      </c>
      <c r="U11" s="139">
        <v>146</v>
      </c>
      <c r="V11" s="134">
        <v>175</v>
      </c>
      <c r="W11" s="134">
        <v>235</v>
      </c>
      <c r="X11" s="117">
        <v>291</v>
      </c>
      <c r="Y11" s="117">
        <v>258</v>
      </c>
      <c r="Z11" s="20">
        <v>400</v>
      </c>
      <c r="AA11" s="12"/>
    </row>
    <row r="12" spans="1:27" x14ac:dyDescent="0.25">
      <c r="A12" s="9" t="s">
        <v>3</v>
      </c>
      <c r="B12" s="44">
        <v>81.900000000000006</v>
      </c>
      <c r="C12" s="21">
        <v>94.3</v>
      </c>
      <c r="D12" s="21">
        <v>103.7</v>
      </c>
      <c r="E12" s="21">
        <v>111.9</v>
      </c>
      <c r="F12" s="21">
        <v>144.80000000000001</v>
      </c>
      <c r="G12" s="118">
        <v>133</v>
      </c>
      <c r="H12" s="118">
        <v>154</v>
      </c>
      <c r="I12" s="118">
        <v>208</v>
      </c>
      <c r="J12" s="118">
        <v>216</v>
      </c>
      <c r="K12" s="21">
        <v>227.4</v>
      </c>
      <c r="L12" s="117">
        <v>239</v>
      </c>
      <c r="M12" s="117">
        <v>256</v>
      </c>
      <c r="N12" s="117">
        <v>306</v>
      </c>
      <c r="O12" s="117">
        <v>260</v>
      </c>
      <c r="P12" s="117">
        <v>315</v>
      </c>
      <c r="Q12" s="117">
        <v>331</v>
      </c>
      <c r="R12" s="117">
        <v>329</v>
      </c>
      <c r="S12" s="118">
        <v>414</v>
      </c>
      <c r="T12" s="21">
        <v>365.4</v>
      </c>
      <c r="U12" s="139">
        <v>514</v>
      </c>
      <c r="V12" s="134">
        <v>481</v>
      </c>
      <c r="W12" s="134">
        <v>650</v>
      </c>
      <c r="X12" s="117">
        <v>755</v>
      </c>
      <c r="Y12" s="117">
        <v>778</v>
      </c>
      <c r="Z12" s="20">
        <v>820</v>
      </c>
      <c r="AA12" s="12"/>
    </row>
    <row r="13" spans="1:27" x14ac:dyDescent="0.25">
      <c r="A13" s="9" t="s">
        <v>4</v>
      </c>
      <c r="B13" s="44">
        <v>209.8</v>
      </c>
      <c r="C13" s="21">
        <v>253</v>
      </c>
      <c r="D13" s="21">
        <v>314.2</v>
      </c>
      <c r="E13" s="21">
        <v>274.7</v>
      </c>
      <c r="F13" s="21">
        <v>255.7</v>
      </c>
      <c r="G13" s="118">
        <v>260</v>
      </c>
      <c r="H13" s="118">
        <v>234</v>
      </c>
      <c r="I13" s="118">
        <v>300</v>
      </c>
      <c r="J13" s="118">
        <v>327</v>
      </c>
      <c r="K13" s="21">
        <v>369.5</v>
      </c>
      <c r="L13" s="117">
        <v>350</v>
      </c>
      <c r="M13" s="117">
        <v>401</v>
      </c>
      <c r="N13" s="117">
        <v>406</v>
      </c>
      <c r="O13" s="117">
        <v>491</v>
      </c>
      <c r="P13" s="117">
        <v>537</v>
      </c>
      <c r="Q13" s="117">
        <v>464</v>
      </c>
      <c r="R13" s="117">
        <v>462</v>
      </c>
      <c r="S13" s="118">
        <v>655</v>
      </c>
      <c r="T13" s="21">
        <v>794.2</v>
      </c>
      <c r="U13" s="139">
        <v>778</v>
      </c>
      <c r="V13" s="134">
        <v>845</v>
      </c>
      <c r="W13" s="134">
        <v>981</v>
      </c>
      <c r="X13" s="117">
        <v>935</v>
      </c>
      <c r="Y13" s="117">
        <v>1002</v>
      </c>
      <c r="Z13" s="20">
        <v>1160</v>
      </c>
      <c r="AA13" s="12"/>
    </row>
    <row r="14" spans="1:27" x14ac:dyDescent="0.25">
      <c r="A14" s="9" t="s">
        <v>5</v>
      </c>
      <c r="B14" s="44">
        <v>36.4</v>
      </c>
      <c r="C14" s="21">
        <v>34.200000000000003</v>
      </c>
      <c r="D14" s="21">
        <v>41.5</v>
      </c>
      <c r="E14" s="21">
        <v>46.4</v>
      </c>
      <c r="F14" s="21">
        <v>49.9</v>
      </c>
      <c r="G14" s="118">
        <v>43</v>
      </c>
      <c r="H14" s="118">
        <v>49</v>
      </c>
      <c r="I14" s="118">
        <v>48</v>
      </c>
      <c r="J14" s="118">
        <v>54</v>
      </c>
      <c r="K14" s="21">
        <v>63.2</v>
      </c>
      <c r="L14" s="117">
        <v>56</v>
      </c>
      <c r="M14" s="117">
        <v>107</v>
      </c>
      <c r="N14" s="117">
        <v>100</v>
      </c>
      <c r="O14" s="117">
        <v>80</v>
      </c>
      <c r="P14" s="117">
        <v>78</v>
      </c>
      <c r="Q14" s="117">
        <v>51</v>
      </c>
      <c r="R14" s="117">
        <v>27</v>
      </c>
      <c r="S14" s="118">
        <v>129</v>
      </c>
      <c r="T14" s="21">
        <v>154.1</v>
      </c>
      <c r="U14" s="139">
        <v>182</v>
      </c>
      <c r="V14" s="134">
        <v>195</v>
      </c>
      <c r="W14" s="134">
        <v>295</v>
      </c>
      <c r="X14" s="117">
        <v>269</v>
      </c>
      <c r="Y14" s="117">
        <v>304</v>
      </c>
      <c r="Z14" s="20">
        <v>295</v>
      </c>
      <c r="AA14" s="12"/>
    </row>
    <row r="15" spans="1:27" x14ac:dyDescent="0.25">
      <c r="A15" s="9" t="s">
        <v>6</v>
      </c>
      <c r="B15" s="44">
        <v>55.4</v>
      </c>
      <c r="C15" s="21">
        <v>68.7</v>
      </c>
      <c r="D15" s="21">
        <v>73.599999999999994</v>
      </c>
      <c r="E15" s="21">
        <v>115.8</v>
      </c>
      <c r="F15" s="21">
        <v>123.5</v>
      </c>
      <c r="G15" s="118">
        <v>130</v>
      </c>
      <c r="H15" s="118">
        <v>120</v>
      </c>
      <c r="I15" s="118">
        <v>213</v>
      </c>
      <c r="J15" s="118">
        <v>291</v>
      </c>
      <c r="K15" s="21">
        <v>293.60000000000002</v>
      </c>
      <c r="L15" s="117">
        <v>273</v>
      </c>
      <c r="M15" s="117">
        <v>295</v>
      </c>
      <c r="N15" s="117">
        <v>275</v>
      </c>
      <c r="O15" s="117">
        <v>353</v>
      </c>
      <c r="P15" s="117">
        <v>479</v>
      </c>
      <c r="Q15" s="117">
        <v>378</v>
      </c>
      <c r="R15" s="117">
        <v>348</v>
      </c>
      <c r="S15" s="118">
        <v>440</v>
      </c>
      <c r="T15" s="21">
        <v>378.5</v>
      </c>
      <c r="U15" s="139">
        <v>470</v>
      </c>
      <c r="V15" s="134">
        <v>612</v>
      </c>
      <c r="W15" s="134">
        <v>568</v>
      </c>
      <c r="X15" s="117">
        <v>705</v>
      </c>
      <c r="Y15" s="117">
        <v>819</v>
      </c>
      <c r="Z15" s="20">
        <v>740</v>
      </c>
      <c r="AA15" s="12"/>
    </row>
    <row r="16" spans="1:27" x14ac:dyDescent="0.25">
      <c r="A16" s="9" t="s">
        <v>7</v>
      </c>
      <c r="B16" s="44">
        <v>33.700000000000003</v>
      </c>
      <c r="C16" s="21">
        <v>48.4</v>
      </c>
      <c r="D16" s="21">
        <v>41.9</v>
      </c>
      <c r="E16" s="21">
        <v>55.5</v>
      </c>
      <c r="F16" s="21">
        <v>55.2</v>
      </c>
      <c r="G16" s="118">
        <v>61</v>
      </c>
      <c r="H16" s="118">
        <v>43</v>
      </c>
      <c r="I16" s="118">
        <v>84</v>
      </c>
      <c r="J16" s="118">
        <v>100</v>
      </c>
      <c r="K16" s="21">
        <v>102.1</v>
      </c>
      <c r="L16" s="117">
        <v>74</v>
      </c>
      <c r="M16" s="117">
        <v>77</v>
      </c>
      <c r="N16" s="117">
        <v>86</v>
      </c>
      <c r="O16" s="117">
        <v>152</v>
      </c>
      <c r="P16" s="117">
        <v>179</v>
      </c>
      <c r="Q16" s="117">
        <v>135</v>
      </c>
      <c r="R16" s="117">
        <v>155</v>
      </c>
      <c r="S16" s="118">
        <v>119</v>
      </c>
      <c r="T16" s="21">
        <v>120</v>
      </c>
      <c r="U16" s="139">
        <v>130</v>
      </c>
      <c r="V16" s="134">
        <v>137</v>
      </c>
      <c r="W16" s="134">
        <v>186</v>
      </c>
      <c r="X16" s="117">
        <v>198</v>
      </c>
      <c r="Y16" s="117">
        <v>219</v>
      </c>
      <c r="Z16" s="20">
        <v>220</v>
      </c>
      <c r="AA16" s="12"/>
    </row>
    <row r="17" spans="1:27" x14ac:dyDescent="0.25">
      <c r="A17" s="9" t="s">
        <v>8</v>
      </c>
      <c r="B17" s="44">
        <v>60.6</v>
      </c>
      <c r="C17" s="21">
        <v>68.3</v>
      </c>
      <c r="D17" s="21">
        <v>69.8</v>
      </c>
      <c r="E17" s="21">
        <v>75.400000000000006</v>
      </c>
      <c r="F17" s="21">
        <v>102.5</v>
      </c>
      <c r="G17" s="118">
        <v>96</v>
      </c>
      <c r="H17" s="118">
        <v>74</v>
      </c>
      <c r="I17" s="118">
        <v>82</v>
      </c>
      <c r="J17" s="118">
        <v>159</v>
      </c>
      <c r="K17" s="21">
        <v>107.5</v>
      </c>
      <c r="L17" s="117">
        <v>98</v>
      </c>
      <c r="M17" s="117">
        <v>91</v>
      </c>
      <c r="N17" s="117">
        <v>141</v>
      </c>
      <c r="O17" s="117">
        <v>189</v>
      </c>
      <c r="P17" s="117">
        <v>172</v>
      </c>
      <c r="Q17" s="117">
        <v>244</v>
      </c>
      <c r="R17" s="117">
        <v>226</v>
      </c>
      <c r="S17" s="118">
        <v>258</v>
      </c>
      <c r="T17" s="21">
        <v>325.2</v>
      </c>
      <c r="U17" s="139">
        <v>344</v>
      </c>
      <c r="V17" s="134">
        <v>330</v>
      </c>
      <c r="W17" s="134">
        <v>319</v>
      </c>
      <c r="X17" s="117">
        <v>377</v>
      </c>
      <c r="Y17" s="117">
        <v>406</v>
      </c>
      <c r="Z17" s="20">
        <v>501</v>
      </c>
      <c r="AA17" s="12"/>
    </row>
    <row r="18" spans="1:27" x14ac:dyDescent="0.25">
      <c r="A18" s="9" t="s">
        <v>9</v>
      </c>
      <c r="B18" s="44">
        <v>131.9</v>
      </c>
      <c r="C18" s="21">
        <v>174.9</v>
      </c>
      <c r="D18" s="21">
        <v>159.9</v>
      </c>
      <c r="E18" s="21">
        <v>175.4</v>
      </c>
      <c r="F18" s="21">
        <v>196.5</v>
      </c>
      <c r="G18" s="118">
        <v>226</v>
      </c>
      <c r="H18" s="118">
        <v>306</v>
      </c>
      <c r="I18" s="118">
        <v>380</v>
      </c>
      <c r="J18" s="118">
        <v>366</v>
      </c>
      <c r="K18" s="21">
        <v>496.2</v>
      </c>
      <c r="L18" s="117">
        <v>513</v>
      </c>
      <c r="M18" s="117">
        <v>462</v>
      </c>
      <c r="N18" s="117">
        <v>601</v>
      </c>
      <c r="O18" s="117">
        <v>580</v>
      </c>
      <c r="P18" s="117">
        <v>711</v>
      </c>
      <c r="Q18" s="117">
        <v>574</v>
      </c>
      <c r="R18" s="117">
        <v>616</v>
      </c>
      <c r="S18" s="118">
        <v>812</v>
      </c>
      <c r="T18" s="21">
        <v>654.1</v>
      </c>
      <c r="U18" s="139">
        <v>938</v>
      </c>
      <c r="V18" s="134">
        <v>1053</v>
      </c>
      <c r="W18" s="134">
        <v>881</v>
      </c>
      <c r="X18" s="117">
        <v>545</v>
      </c>
      <c r="Y18" s="117">
        <v>575</v>
      </c>
      <c r="Z18" s="20">
        <v>501</v>
      </c>
      <c r="AA18" s="12"/>
    </row>
    <row r="19" spans="1:27" x14ac:dyDescent="0.25">
      <c r="A19" s="9" t="s">
        <v>10</v>
      </c>
      <c r="B19" s="44">
        <v>1550.5</v>
      </c>
      <c r="C19" s="21">
        <v>1315.2</v>
      </c>
      <c r="D19" s="21">
        <v>1630.8</v>
      </c>
      <c r="E19" s="21">
        <v>2113.8000000000002</v>
      </c>
      <c r="F19" s="21">
        <v>2473.9</v>
      </c>
      <c r="G19" s="118">
        <v>2715</v>
      </c>
      <c r="H19" s="118">
        <v>2486</v>
      </c>
      <c r="I19" s="118">
        <v>3656</v>
      </c>
      <c r="J19" s="118">
        <v>3242</v>
      </c>
      <c r="K19" s="21">
        <v>3613</v>
      </c>
      <c r="L19" s="117">
        <v>2963</v>
      </c>
      <c r="M19" s="117">
        <v>2800</v>
      </c>
      <c r="N19" s="117">
        <v>2380</v>
      </c>
      <c r="O19" s="117">
        <v>1784</v>
      </c>
      <c r="P19" s="117">
        <v>1677</v>
      </c>
      <c r="Q19" s="117">
        <v>3219</v>
      </c>
      <c r="R19" s="117">
        <v>2808</v>
      </c>
      <c r="S19" s="118">
        <v>3529</v>
      </c>
      <c r="T19" s="21">
        <v>3714.7</v>
      </c>
      <c r="U19" s="139">
        <v>4076</v>
      </c>
      <c r="V19" s="134">
        <v>4486</v>
      </c>
      <c r="W19" s="134">
        <v>5788</v>
      </c>
      <c r="X19" s="117">
        <v>9457</v>
      </c>
      <c r="Y19" s="117">
        <v>7678</v>
      </c>
      <c r="Z19" s="20">
        <v>7950</v>
      </c>
      <c r="AA19" s="12"/>
    </row>
    <row r="20" spans="1:27" x14ac:dyDescent="0.25">
      <c r="A20" s="9" t="s">
        <v>11</v>
      </c>
      <c r="B20" s="44">
        <v>151.80000000000001</v>
      </c>
      <c r="C20" s="21">
        <v>151</v>
      </c>
      <c r="D20" s="21">
        <v>131.4</v>
      </c>
      <c r="E20" s="21">
        <v>122.1</v>
      </c>
      <c r="F20" s="21">
        <v>119.2</v>
      </c>
      <c r="G20" s="118">
        <v>110</v>
      </c>
      <c r="H20" s="118">
        <v>83</v>
      </c>
      <c r="I20" s="118">
        <v>83</v>
      </c>
      <c r="J20" s="118">
        <v>93</v>
      </c>
      <c r="K20" s="21">
        <v>83.5</v>
      </c>
      <c r="L20" s="117">
        <v>72</v>
      </c>
      <c r="M20" s="117">
        <v>136</v>
      </c>
      <c r="N20" s="117">
        <v>164</v>
      </c>
      <c r="O20" s="117">
        <v>133</v>
      </c>
      <c r="P20" s="117">
        <v>197</v>
      </c>
      <c r="Q20" s="117">
        <v>201</v>
      </c>
      <c r="R20" s="117">
        <v>109</v>
      </c>
      <c r="S20" s="118">
        <v>100</v>
      </c>
      <c r="T20" s="21">
        <v>120.4</v>
      </c>
      <c r="U20" s="139">
        <v>186</v>
      </c>
      <c r="V20" s="134">
        <v>219</v>
      </c>
      <c r="W20" s="134">
        <v>227</v>
      </c>
      <c r="X20" s="117">
        <v>190</v>
      </c>
      <c r="Y20" s="117">
        <v>195</v>
      </c>
      <c r="Z20" s="20">
        <v>200</v>
      </c>
      <c r="AA20" s="12"/>
    </row>
    <row r="21" spans="1:27" x14ac:dyDescent="0.25">
      <c r="A21" s="9" t="s">
        <v>12</v>
      </c>
      <c r="B21" s="44">
        <v>76.2</v>
      </c>
      <c r="C21" s="21">
        <v>94.6</v>
      </c>
      <c r="D21" s="21">
        <v>95</v>
      </c>
      <c r="E21" s="21">
        <v>116.2</v>
      </c>
      <c r="F21" s="21">
        <v>103.3</v>
      </c>
      <c r="G21" s="118">
        <v>112</v>
      </c>
      <c r="H21" s="118">
        <v>128</v>
      </c>
      <c r="I21" s="118">
        <v>114</v>
      </c>
      <c r="J21" s="118">
        <v>123</v>
      </c>
      <c r="K21" s="21">
        <v>135.6</v>
      </c>
      <c r="L21" s="117">
        <v>111</v>
      </c>
      <c r="M21" s="117">
        <v>156</v>
      </c>
      <c r="N21" s="117">
        <v>150</v>
      </c>
      <c r="O21" s="117">
        <v>216</v>
      </c>
      <c r="P21" s="117">
        <v>235</v>
      </c>
      <c r="Q21" s="117">
        <v>264</v>
      </c>
      <c r="R21" s="117">
        <v>215</v>
      </c>
      <c r="S21" s="118">
        <v>322</v>
      </c>
      <c r="T21" s="21">
        <v>289.60000000000002</v>
      </c>
      <c r="U21" s="139">
        <v>331</v>
      </c>
      <c r="V21" s="134">
        <v>267</v>
      </c>
      <c r="W21" s="134">
        <v>316</v>
      </c>
      <c r="X21" s="117">
        <v>385</v>
      </c>
      <c r="Y21" s="117">
        <v>427</v>
      </c>
      <c r="Z21" s="20">
        <v>332</v>
      </c>
      <c r="AA21" s="12"/>
    </row>
    <row r="22" spans="1:27" x14ac:dyDescent="0.25">
      <c r="A22" s="9" t="s">
        <v>13</v>
      </c>
      <c r="B22" s="44">
        <v>45.1</v>
      </c>
      <c r="C22" s="21">
        <v>70</v>
      </c>
      <c r="D22" s="21">
        <v>55.5</v>
      </c>
      <c r="E22" s="21">
        <v>100.6</v>
      </c>
      <c r="F22" s="21">
        <v>88.9</v>
      </c>
      <c r="G22" s="118">
        <v>97</v>
      </c>
      <c r="H22" s="118">
        <v>130</v>
      </c>
      <c r="I22" s="118">
        <v>145</v>
      </c>
      <c r="J22" s="118">
        <v>141</v>
      </c>
      <c r="K22" s="21">
        <v>129.6</v>
      </c>
      <c r="L22" s="117">
        <v>162</v>
      </c>
      <c r="M22" s="117">
        <v>165</v>
      </c>
      <c r="N22" s="117">
        <v>140</v>
      </c>
      <c r="O22" s="117">
        <v>209</v>
      </c>
      <c r="P22" s="117">
        <v>234</v>
      </c>
      <c r="Q22" s="117">
        <v>319</v>
      </c>
      <c r="R22" s="117">
        <v>308</v>
      </c>
      <c r="S22" s="118">
        <v>220</v>
      </c>
      <c r="T22" s="21">
        <v>226.5</v>
      </c>
      <c r="U22" s="139">
        <v>256</v>
      </c>
      <c r="V22" s="134">
        <v>237</v>
      </c>
      <c r="W22" s="134">
        <v>282</v>
      </c>
      <c r="X22" s="117">
        <v>331</v>
      </c>
      <c r="Y22" s="117">
        <v>325</v>
      </c>
      <c r="Z22" s="20">
        <v>287</v>
      </c>
      <c r="AA22" s="12"/>
    </row>
    <row r="23" spans="1:27" x14ac:dyDescent="0.25">
      <c r="A23" s="9" t="s">
        <v>14</v>
      </c>
      <c r="B23" s="44">
        <v>114.1</v>
      </c>
      <c r="C23" s="21">
        <v>125.4</v>
      </c>
      <c r="D23" s="21">
        <v>167.8</v>
      </c>
      <c r="E23" s="21">
        <v>149.5</v>
      </c>
      <c r="F23" s="21">
        <v>161.69999999999999</v>
      </c>
      <c r="G23" s="118">
        <v>222</v>
      </c>
      <c r="H23" s="118">
        <v>283</v>
      </c>
      <c r="I23" s="118">
        <v>376</v>
      </c>
      <c r="J23" s="118">
        <v>391</v>
      </c>
      <c r="K23" s="21">
        <v>412</v>
      </c>
      <c r="L23" s="117">
        <v>392</v>
      </c>
      <c r="M23" s="117">
        <v>397</v>
      </c>
      <c r="N23" s="117">
        <v>459</v>
      </c>
      <c r="O23" s="117">
        <v>498</v>
      </c>
      <c r="P23" s="117">
        <v>549</v>
      </c>
      <c r="Q23" s="117">
        <v>502</v>
      </c>
      <c r="R23" s="117">
        <v>599</v>
      </c>
      <c r="S23" s="118">
        <v>644</v>
      </c>
      <c r="T23" s="21">
        <v>589.29999999999995</v>
      </c>
      <c r="U23" s="139">
        <v>719</v>
      </c>
      <c r="V23" s="134">
        <v>547</v>
      </c>
      <c r="W23" s="134">
        <v>609</v>
      </c>
      <c r="X23" s="117">
        <v>237</v>
      </c>
      <c r="Y23" s="117">
        <v>297</v>
      </c>
      <c r="Z23" s="20">
        <v>282</v>
      </c>
      <c r="AA23" s="12"/>
    </row>
    <row r="24" spans="1:27" x14ac:dyDescent="0.25">
      <c r="A24" s="9" t="s">
        <v>15</v>
      </c>
      <c r="B24" s="44">
        <v>93.6</v>
      </c>
      <c r="C24" s="21">
        <v>99.3</v>
      </c>
      <c r="D24" s="21">
        <v>131.19999999999999</v>
      </c>
      <c r="E24" s="21">
        <v>170.7</v>
      </c>
      <c r="F24" s="21">
        <v>182.1</v>
      </c>
      <c r="G24" s="118">
        <v>166</v>
      </c>
      <c r="H24" s="118">
        <v>156</v>
      </c>
      <c r="I24" s="118">
        <v>214</v>
      </c>
      <c r="J24" s="118">
        <v>213</v>
      </c>
      <c r="K24" s="21">
        <v>270.2</v>
      </c>
      <c r="L24" s="117">
        <v>235</v>
      </c>
      <c r="M24" s="117">
        <v>230</v>
      </c>
      <c r="N24" s="117">
        <v>184</v>
      </c>
      <c r="O24" s="117">
        <v>291</v>
      </c>
      <c r="P24" s="117">
        <v>299</v>
      </c>
      <c r="Q24" s="117">
        <v>177</v>
      </c>
      <c r="R24" s="117">
        <v>161</v>
      </c>
      <c r="S24" s="118">
        <v>151</v>
      </c>
      <c r="T24" s="21">
        <v>152.69999999999999</v>
      </c>
      <c r="U24" s="139">
        <v>394</v>
      </c>
      <c r="V24" s="134">
        <v>370</v>
      </c>
      <c r="W24" s="134">
        <v>276</v>
      </c>
      <c r="X24" s="117">
        <v>475</v>
      </c>
      <c r="Y24" s="117">
        <v>512</v>
      </c>
      <c r="Z24" s="20">
        <v>610</v>
      </c>
      <c r="AA24" s="12"/>
    </row>
    <row r="25" spans="1:27" x14ac:dyDescent="0.25">
      <c r="A25" s="9" t="s">
        <v>16</v>
      </c>
      <c r="B25" s="44">
        <v>99.3</v>
      </c>
      <c r="C25" s="21">
        <v>62.1</v>
      </c>
      <c r="D25" s="21">
        <v>105.6</v>
      </c>
      <c r="E25" s="21">
        <v>111.8</v>
      </c>
      <c r="F25" s="21">
        <v>93.1</v>
      </c>
      <c r="G25" s="118">
        <v>95</v>
      </c>
      <c r="H25" s="118">
        <v>106</v>
      </c>
      <c r="I25" s="118">
        <v>168</v>
      </c>
      <c r="J25" s="118">
        <v>194</v>
      </c>
      <c r="K25" s="21">
        <v>225.1</v>
      </c>
      <c r="L25" s="117">
        <v>190</v>
      </c>
      <c r="M25" s="117">
        <v>170</v>
      </c>
      <c r="N25" s="117">
        <v>203</v>
      </c>
      <c r="O25" s="117">
        <v>293</v>
      </c>
      <c r="P25" s="117">
        <v>370</v>
      </c>
      <c r="Q25" s="117">
        <v>434</v>
      </c>
      <c r="R25" s="117">
        <v>275</v>
      </c>
      <c r="S25" s="118">
        <v>303</v>
      </c>
      <c r="T25" s="21">
        <v>355.1</v>
      </c>
      <c r="U25" s="139">
        <v>403</v>
      </c>
      <c r="V25" s="134">
        <v>318</v>
      </c>
      <c r="W25" s="134">
        <v>505</v>
      </c>
      <c r="X25" s="117">
        <v>576</v>
      </c>
      <c r="Y25" s="117">
        <v>642</v>
      </c>
      <c r="Z25" s="20">
        <v>598</v>
      </c>
      <c r="AA25" s="12"/>
    </row>
    <row r="26" spans="1:27" x14ac:dyDescent="0.25">
      <c r="A26" s="9" t="s">
        <v>17</v>
      </c>
      <c r="B26" s="44">
        <v>53.6</v>
      </c>
      <c r="C26" s="21">
        <v>48</v>
      </c>
      <c r="D26" s="21">
        <v>55.6</v>
      </c>
      <c r="E26" s="21">
        <v>58.1</v>
      </c>
      <c r="F26" s="21">
        <v>78.5</v>
      </c>
      <c r="G26" s="118">
        <v>83</v>
      </c>
      <c r="H26" s="118">
        <v>47</v>
      </c>
      <c r="I26" s="118">
        <v>115</v>
      </c>
      <c r="J26" s="118">
        <v>76</v>
      </c>
      <c r="K26" s="21">
        <v>91.8</v>
      </c>
      <c r="L26" s="117">
        <v>73</v>
      </c>
      <c r="M26" s="117">
        <v>160</v>
      </c>
      <c r="N26" s="117">
        <v>172</v>
      </c>
      <c r="O26" s="117">
        <v>223</v>
      </c>
      <c r="P26" s="117">
        <v>200</v>
      </c>
      <c r="Q26" s="117">
        <v>256</v>
      </c>
      <c r="R26" s="117">
        <v>292</v>
      </c>
      <c r="S26" s="118">
        <v>328</v>
      </c>
      <c r="T26" s="21">
        <v>401.8</v>
      </c>
      <c r="U26" s="139">
        <v>396</v>
      </c>
      <c r="V26" s="134">
        <v>345</v>
      </c>
      <c r="W26" s="134">
        <v>424</v>
      </c>
      <c r="X26" s="117">
        <v>502</v>
      </c>
      <c r="Y26" s="117">
        <v>523</v>
      </c>
      <c r="Z26" s="20">
        <v>557</v>
      </c>
      <c r="AA26" s="12"/>
    </row>
    <row r="27" spans="1:27" x14ac:dyDescent="0.25">
      <c r="A27" s="9" t="s">
        <v>18</v>
      </c>
      <c r="B27" s="44" t="s">
        <v>96</v>
      </c>
      <c r="C27" s="44" t="s">
        <v>96</v>
      </c>
      <c r="D27" s="44" t="s">
        <v>96</v>
      </c>
      <c r="E27" s="44" t="s">
        <v>96</v>
      </c>
      <c r="F27" s="44" t="s">
        <v>96</v>
      </c>
      <c r="G27" s="44" t="s">
        <v>96</v>
      </c>
      <c r="H27" s="44" t="s">
        <v>96</v>
      </c>
      <c r="I27" s="44" t="s">
        <v>96</v>
      </c>
      <c r="J27" s="44" t="s">
        <v>96</v>
      </c>
      <c r="K27" s="21">
        <v>40.5</v>
      </c>
      <c r="L27" s="117">
        <v>16</v>
      </c>
      <c r="M27" s="117">
        <v>26</v>
      </c>
      <c r="N27" s="117">
        <v>222</v>
      </c>
      <c r="O27" s="117">
        <v>312</v>
      </c>
      <c r="P27" s="117">
        <v>497</v>
      </c>
      <c r="Q27" s="117">
        <v>575</v>
      </c>
      <c r="R27" s="117">
        <v>321</v>
      </c>
      <c r="S27" s="118">
        <v>221</v>
      </c>
      <c r="T27" s="21">
        <v>222.2</v>
      </c>
      <c r="U27" s="139">
        <v>543</v>
      </c>
      <c r="V27" s="134">
        <v>504</v>
      </c>
      <c r="W27" s="134">
        <v>724</v>
      </c>
      <c r="X27" s="117">
        <v>793</v>
      </c>
      <c r="Y27" s="117">
        <v>833</v>
      </c>
      <c r="Z27" s="20">
        <v>650</v>
      </c>
      <c r="AA27" s="12"/>
    </row>
    <row r="28" spans="1:27" ht="18" x14ac:dyDescent="0.25">
      <c r="A28" s="8" t="s">
        <v>95</v>
      </c>
      <c r="B28" s="42">
        <v>565.20000000000005</v>
      </c>
      <c r="C28" s="22">
        <v>577.4</v>
      </c>
      <c r="D28" s="22">
        <v>705.1</v>
      </c>
      <c r="E28" s="22">
        <v>817</v>
      </c>
      <c r="F28" s="22">
        <v>824</v>
      </c>
      <c r="G28" s="120">
        <v>879</v>
      </c>
      <c r="H28" s="22">
        <f>SUM(H29:H40)-H32-H33</f>
        <v>884.4</v>
      </c>
      <c r="I28" s="22">
        <v>1490</v>
      </c>
      <c r="J28" s="22">
        <v>1504</v>
      </c>
      <c r="K28" s="22">
        <v>1660.2</v>
      </c>
      <c r="L28" s="121">
        <v>1198</v>
      </c>
      <c r="M28" s="121">
        <v>1308</v>
      </c>
      <c r="N28" s="121">
        <v>1487</v>
      </c>
      <c r="O28" s="121">
        <v>1647</v>
      </c>
      <c r="P28" s="121">
        <v>2818</v>
      </c>
      <c r="Q28" s="121">
        <v>2499</v>
      </c>
      <c r="R28" s="121">
        <v>2030</v>
      </c>
      <c r="S28" s="120">
        <v>1832</v>
      </c>
      <c r="T28" s="22">
        <v>2338.3000000000002</v>
      </c>
      <c r="U28" s="105">
        <v>3025</v>
      </c>
      <c r="V28" s="133">
        <v>3295</v>
      </c>
      <c r="W28" s="133">
        <v>4454</v>
      </c>
      <c r="X28" s="121">
        <v>4842</v>
      </c>
      <c r="Y28" s="121">
        <v>4771</v>
      </c>
      <c r="Z28" s="26">
        <v>4892</v>
      </c>
      <c r="AA28" s="12"/>
    </row>
    <row r="29" spans="1:27" x14ac:dyDescent="0.25">
      <c r="A29" s="9" t="s">
        <v>19</v>
      </c>
      <c r="B29" s="44">
        <v>19.3</v>
      </c>
      <c r="C29" s="21">
        <v>30.7</v>
      </c>
      <c r="D29" s="21">
        <v>31.5</v>
      </c>
      <c r="E29" s="21">
        <v>29</v>
      </c>
      <c r="F29" s="21">
        <v>33.5</v>
      </c>
      <c r="G29" s="118">
        <v>31</v>
      </c>
      <c r="H29" s="118">
        <v>35</v>
      </c>
      <c r="I29" s="118">
        <v>57</v>
      </c>
      <c r="J29" s="118">
        <v>44</v>
      </c>
      <c r="K29" s="21">
        <v>50.2</v>
      </c>
      <c r="L29" s="117">
        <v>44</v>
      </c>
      <c r="M29" s="117">
        <v>63</v>
      </c>
      <c r="N29" s="117">
        <v>59</v>
      </c>
      <c r="O29" s="117">
        <v>65</v>
      </c>
      <c r="P29" s="117">
        <v>71</v>
      </c>
      <c r="Q29" s="117">
        <v>50</v>
      </c>
      <c r="R29" s="117">
        <v>83</v>
      </c>
      <c r="S29" s="118">
        <v>70</v>
      </c>
      <c r="T29" s="21">
        <v>108.5</v>
      </c>
      <c r="U29" s="139">
        <v>137</v>
      </c>
      <c r="V29" s="134">
        <v>132</v>
      </c>
      <c r="W29" s="134">
        <v>199</v>
      </c>
      <c r="X29" s="117">
        <v>181</v>
      </c>
      <c r="Y29" s="117">
        <v>176</v>
      </c>
      <c r="Z29" s="20">
        <v>211</v>
      </c>
      <c r="AA29" s="12"/>
    </row>
    <row r="30" spans="1:27" x14ac:dyDescent="0.25">
      <c r="A30" s="9" t="s">
        <v>20</v>
      </c>
      <c r="B30" s="44">
        <v>96.7</v>
      </c>
      <c r="C30" s="21">
        <v>39.6</v>
      </c>
      <c r="D30" s="21">
        <v>36.200000000000003</v>
      </c>
      <c r="E30" s="21">
        <v>46.5</v>
      </c>
      <c r="F30" s="21">
        <v>41.7</v>
      </c>
      <c r="G30" s="118">
        <v>42</v>
      </c>
      <c r="H30" s="118">
        <v>47</v>
      </c>
      <c r="I30" s="118">
        <v>59</v>
      </c>
      <c r="J30" s="118">
        <v>69</v>
      </c>
      <c r="K30" s="21">
        <v>50.6</v>
      </c>
      <c r="L30" s="117">
        <v>42</v>
      </c>
      <c r="M30" s="117">
        <v>43</v>
      </c>
      <c r="N30" s="117">
        <v>41</v>
      </c>
      <c r="O30" s="117">
        <v>41</v>
      </c>
      <c r="P30" s="117">
        <v>40</v>
      </c>
      <c r="Q30" s="117">
        <v>40</v>
      </c>
      <c r="R30" s="117">
        <v>47</v>
      </c>
      <c r="S30" s="118">
        <v>85</v>
      </c>
      <c r="T30" s="21">
        <v>119.3</v>
      </c>
      <c r="U30" s="139">
        <v>119</v>
      </c>
      <c r="V30" s="134">
        <v>105</v>
      </c>
      <c r="W30" s="134">
        <v>114</v>
      </c>
      <c r="X30" s="117">
        <v>128</v>
      </c>
      <c r="Y30" s="117">
        <v>138</v>
      </c>
      <c r="Z30" s="20">
        <v>152</v>
      </c>
      <c r="AA30" s="12"/>
    </row>
    <row r="31" spans="1:27" x14ac:dyDescent="0.25">
      <c r="A31" s="9" t="s">
        <v>21</v>
      </c>
      <c r="B31" s="44">
        <v>49.3</v>
      </c>
      <c r="C31" s="21">
        <v>54.9</v>
      </c>
      <c r="D31" s="21">
        <v>52.6</v>
      </c>
      <c r="E31" s="21">
        <v>51.8</v>
      </c>
      <c r="F31" s="21">
        <v>51.7</v>
      </c>
      <c r="G31" s="118">
        <v>49</v>
      </c>
      <c r="H31" s="118">
        <v>74</v>
      </c>
      <c r="I31" s="118">
        <v>84</v>
      </c>
      <c r="J31" s="118">
        <v>105</v>
      </c>
      <c r="K31" s="21">
        <v>112.6</v>
      </c>
      <c r="L31" s="117">
        <v>105</v>
      </c>
      <c r="M31" s="117">
        <v>133</v>
      </c>
      <c r="N31" s="117">
        <v>137</v>
      </c>
      <c r="O31" s="117">
        <v>118</v>
      </c>
      <c r="P31" s="117">
        <v>152</v>
      </c>
      <c r="Q31" s="117">
        <v>146</v>
      </c>
      <c r="R31" s="117">
        <v>151</v>
      </c>
      <c r="S31" s="118">
        <v>144</v>
      </c>
      <c r="T31" s="21">
        <v>141.9</v>
      </c>
      <c r="U31" s="139">
        <v>125</v>
      </c>
      <c r="V31" s="134">
        <v>152</v>
      </c>
      <c r="W31" s="134">
        <v>191</v>
      </c>
      <c r="X31" s="117">
        <v>203</v>
      </c>
      <c r="Y31" s="117">
        <v>169</v>
      </c>
      <c r="Z31" s="20">
        <v>169</v>
      </c>
      <c r="AA31" s="12"/>
    </row>
    <row r="32" spans="1:27" x14ac:dyDescent="0.25">
      <c r="A32" s="4" t="s">
        <v>63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7"/>
      <c r="M32" s="117"/>
      <c r="N32" s="117"/>
      <c r="O32" s="117"/>
      <c r="P32" s="117"/>
      <c r="Q32" s="117"/>
      <c r="R32" s="117"/>
      <c r="S32" s="118"/>
      <c r="T32" s="118"/>
      <c r="U32" s="139"/>
      <c r="V32" s="134"/>
      <c r="W32" s="134"/>
      <c r="X32" s="117"/>
      <c r="Y32" s="117"/>
      <c r="Z32" s="20"/>
      <c r="AA32" s="12"/>
    </row>
    <row r="33" spans="1:27" ht="19.5" x14ac:dyDescent="0.25">
      <c r="A33" s="14" t="s">
        <v>23</v>
      </c>
      <c r="B33" s="44">
        <v>1.3</v>
      </c>
      <c r="C33" s="118">
        <v>1</v>
      </c>
      <c r="D33" s="21">
        <v>0.9</v>
      </c>
      <c r="E33" s="21">
        <v>1</v>
      </c>
      <c r="F33" s="21">
        <v>0.9</v>
      </c>
      <c r="G33" s="118">
        <v>4</v>
      </c>
      <c r="H33" s="118">
        <v>2</v>
      </c>
      <c r="I33" s="118">
        <v>4</v>
      </c>
      <c r="J33" s="118">
        <v>8</v>
      </c>
      <c r="K33" s="21">
        <v>7.5</v>
      </c>
      <c r="L33" s="117">
        <v>10</v>
      </c>
      <c r="M33" s="117">
        <v>7</v>
      </c>
      <c r="N33" s="117">
        <v>8</v>
      </c>
      <c r="O33" s="117">
        <v>11</v>
      </c>
      <c r="P33" s="117">
        <v>10</v>
      </c>
      <c r="Q33" s="117">
        <v>11</v>
      </c>
      <c r="R33" s="117">
        <v>13</v>
      </c>
      <c r="S33" s="118">
        <v>13</v>
      </c>
      <c r="T33" s="21">
        <v>8.3000000000000007</v>
      </c>
      <c r="U33" s="139">
        <v>5</v>
      </c>
      <c r="V33" s="134">
        <v>9</v>
      </c>
      <c r="W33" s="134">
        <v>12</v>
      </c>
      <c r="X33" s="117">
        <v>20</v>
      </c>
      <c r="Y33" s="117">
        <v>20</v>
      </c>
      <c r="Z33" s="20">
        <v>14</v>
      </c>
      <c r="AA33" s="12"/>
    </row>
    <row r="34" spans="1:27" ht="19.5" x14ac:dyDescent="0.25">
      <c r="A34" s="14" t="s">
        <v>93</v>
      </c>
      <c r="B34" s="44">
        <v>48</v>
      </c>
      <c r="C34" s="118">
        <v>54</v>
      </c>
      <c r="D34" s="44">
        <v>51.7</v>
      </c>
      <c r="E34" s="44">
        <v>50.8</v>
      </c>
      <c r="F34" s="44">
        <v>50.800000000000004</v>
      </c>
      <c r="G34" s="118">
        <v>45</v>
      </c>
      <c r="H34" s="44">
        <v>72</v>
      </c>
      <c r="I34" s="118">
        <v>80</v>
      </c>
      <c r="J34" s="118">
        <v>97</v>
      </c>
      <c r="K34" s="21">
        <v>105.1</v>
      </c>
      <c r="L34" s="117">
        <v>96</v>
      </c>
      <c r="M34" s="117">
        <v>126</v>
      </c>
      <c r="N34" s="117">
        <v>128</v>
      </c>
      <c r="O34" s="117">
        <v>107</v>
      </c>
      <c r="P34" s="117">
        <v>142</v>
      </c>
      <c r="Q34" s="117">
        <v>135</v>
      </c>
      <c r="R34" s="117">
        <v>138</v>
      </c>
      <c r="S34" s="118">
        <v>131</v>
      </c>
      <c r="T34" s="21">
        <v>133.6</v>
      </c>
      <c r="U34" s="139">
        <v>120</v>
      </c>
      <c r="V34" s="134">
        <v>143</v>
      </c>
      <c r="W34" s="134">
        <v>180</v>
      </c>
      <c r="X34" s="117">
        <v>184</v>
      </c>
      <c r="Y34" s="117">
        <v>149</v>
      </c>
      <c r="Z34" s="20">
        <v>155</v>
      </c>
      <c r="AA34" s="12"/>
    </row>
    <row r="35" spans="1:27" x14ac:dyDescent="0.25">
      <c r="A35" s="9" t="s">
        <v>24</v>
      </c>
      <c r="B35" s="44">
        <v>64.3</v>
      </c>
      <c r="C35" s="21">
        <v>68.5</v>
      </c>
      <c r="D35" s="21">
        <v>88</v>
      </c>
      <c r="E35" s="21">
        <v>85</v>
      </c>
      <c r="F35" s="21">
        <v>86.2</v>
      </c>
      <c r="G35" s="118">
        <v>93</v>
      </c>
      <c r="H35" s="118">
        <v>91</v>
      </c>
      <c r="I35" s="118">
        <v>141</v>
      </c>
      <c r="J35" s="118">
        <v>142</v>
      </c>
      <c r="K35" s="21">
        <v>158.69999999999999</v>
      </c>
      <c r="L35" s="117">
        <v>144</v>
      </c>
      <c r="M35" s="117">
        <v>163</v>
      </c>
      <c r="N35" s="117">
        <v>147</v>
      </c>
      <c r="O35" s="117">
        <v>297</v>
      </c>
      <c r="P35" s="117">
        <v>431</v>
      </c>
      <c r="Q35" s="117">
        <v>409</v>
      </c>
      <c r="R35" s="117">
        <v>270</v>
      </c>
      <c r="S35" s="118">
        <v>185</v>
      </c>
      <c r="T35" s="21">
        <v>244.1</v>
      </c>
      <c r="U35" s="139">
        <v>292</v>
      </c>
      <c r="V35" s="134">
        <v>245</v>
      </c>
      <c r="W35" s="134">
        <v>364</v>
      </c>
      <c r="X35" s="117">
        <v>366</v>
      </c>
      <c r="Y35" s="117">
        <v>414</v>
      </c>
      <c r="Z35" s="20">
        <v>400</v>
      </c>
      <c r="AA35" s="12"/>
    </row>
    <row r="36" spans="1:27" x14ac:dyDescent="0.25">
      <c r="A36" s="9" t="s">
        <v>25</v>
      </c>
      <c r="B36" s="44">
        <v>49.2</v>
      </c>
      <c r="C36" s="21">
        <v>52.9</v>
      </c>
      <c r="D36" s="21">
        <v>73</v>
      </c>
      <c r="E36" s="21">
        <v>105.6</v>
      </c>
      <c r="F36" s="21">
        <v>90.7</v>
      </c>
      <c r="G36" s="118">
        <v>98</v>
      </c>
      <c r="H36" s="118">
        <v>109</v>
      </c>
      <c r="I36" s="118">
        <v>269</v>
      </c>
      <c r="J36" s="118">
        <v>247</v>
      </c>
      <c r="K36" s="21">
        <v>209.3</v>
      </c>
      <c r="L36" s="117">
        <v>121</v>
      </c>
      <c r="M36" s="117">
        <v>118</v>
      </c>
      <c r="N36" s="117">
        <v>139</v>
      </c>
      <c r="O36" s="117">
        <v>214</v>
      </c>
      <c r="P36" s="117">
        <v>558</v>
      </c>
      <c r="Q36" s="117">
        <v>440</v>
      </c>
      <c r="R36" s="117">
        <v>415</v>
      </c>
      <c r="S36" s="118">
        <v>278</v>
      </c>
      <c r="T36" s="21">
        <v>259.89999999999998</v>
      </c>
      <c r="U36" s="139">
        <v>290</v>
      </c>
      <c r="V36" s="134">
        <v>409</v>
      </c>
      <c r="W36" s="134">
        <v>564</v>
      </c>
      <c r="X36" s="117">
        <v>615</v>
      </c>
      <c r="Y36" s="117">
        <v>585</v>
      </c>
      <c r="Z36" s="20">
        <v>602</v>
      </c>
      <c r="AA36" s="12"/>
    </row>
    <row r="37" spans="1:27" x14ac:dyDescent="0.25">
      <c r="A37" s="9" t="s">
        <v>26</v>
      </c>
      <c r="B37" s="44">
        <v>171.9</v>
      </c>
      <c r="C37" s="21">
        <v>205</v>
      </c>
      <c r="D37" s="21">
        <v>261.89999999999998</v>
      </c>
      <c r="E37" s="21">
        <v>328.7</v>
      </c>
      <c r="F37" s="21">
        <v>336.5</v>
      </c>
      <c r="G37" s="118">
        <v>373</v>
      </c>
      <c r="H37" s="118">
        <v>364</v>
      </c>
      <c r="I37" s="118">
        <v>575</v>
      </c>
      <c r="J37" s="118">
        <v>541</v>
      </c>
      <c r="K37" s="21">
        <v>628.5</v>
      </c>
      <c r="L37" s="117">
        <v>443</v>
      </c>
      <c r="M37" s="117">
        <v>491</v>
      </c>
      <c r="N37" s="117">
        <v>582</v>
      </c>
      <c r="O37" s="117">
        <v>493</v>
      </c>
      <c r="P37" s="117">
        <v>873</v>
      </c>
      <c r="Q37" s="117">
        <v>830</v>
      </c>
      <c r="R37" s="117">
        <v>596</v>
      </c>
      <c r="S37" s="118">
        <v>692</v>
      </c>
      <c r="T37" s="21">
        <v>859.9</v>
      </c>
      <c r="U37" s="139">
        <v>1390</v>
      </c>
      <c r="V37" s="134">
        <v>1665</v>
      </c>
      <c r="W37" s="134">
        <v>2282</v>
      </c>
      <c r="X37" s="117">
        <v>2591</v>
      </c>
      <c r="Y37" s="117">
        <v>2493</v>
      </c>
      <c r="Z37" s="20">
        <v>2700</v>
      </c>
      <c r="AA37" s="12"/>
    </row>
    <row r="38" spans="1:27" x14ac:dyDescent="0.25">
      <c r="A38" s="9" t="s">
        <v>27</v>
      </c>
      <c r="B38" s="47">
        <v>0.2</v>
      </c>
      <c r="C38" s="21">
        <v>0.6</v>
      </c>
      <c r="D38" s="129">
        <v>0.3</v>
      </c>
      <c r="E38" s="21">
        <v>0.7</v>
      </c>
      <c r="F38" s="129">
        <v>0.2</v>
      </c>
      <c r="G38" s="118">
        <v>2</v>
      </c>
      <c r="H38" s="118">
        <v>0.4</v>
      </c>
      <c r="I38" s="118">
        <v>3</v>
      </c>
      <c r="J38" s="118">
        <v>7</v>
      </c>
      <c r="K38" s="21">
        <v>6</v>
      </c>
      <c r="L38" s="117">
        <v>2</v>
      </c>
      <c r="M38" s="117">
        <v>5</v>
      </c>
      <c r="N38" s="117">
        <v>5</v>
      </c>
      <c r="O38" s="117">
        <v>3</v>
      </c>
      <c r="P38" s="117">
        <v>8</v>
      </c>
      <c r="Q38" s="117">
        <v>8</v>
      </c>
      <c r="R38" s="117">
        <v>12</v>
      </c>
      <c r="S38" s="118">
        <v>16</v>
      </c>
      <c r="T38" s="21">
        <v>30.1</v>
      </c>
      <c r="U38" s="139">
        <v>40</v>
      </c>
      <c r="V38" s="134">
        <v>32</v>
      </c>
      <c r="W38" s="134">
        <v>36</v>
      </c>
      <c r="X38" s="117">
        <v>36</v>
      </c>
      <c r="Y38" s="117">
        <v>55</v>
      </c>
      <c r="Z38" s="20">
        <v>56</v>
      </c>
      <c r="AA38" s="12"/>
    </row>
    <row r="39" spans="1:27" x14ac:dyDescent="0.25">
      <c r="A39" s="9" t="s">
        <v>28</v>
      </c>
      <c r="B39" s="44">
        <v>45</v>
      </c>
      <c r="C39" s="21">
        <v>44.5</v>
      </c>
      <c r="D39" s="21">
        <v>52</v>
      </c>
      <c r="E39" s="21">
        <v>50.3</v>
      </c>
      <c r="F39" s="21">
        <v>56.7</v>
      </c>
      <c r="G39" s="118">
        <v>55</v>
      </c>
      <c r="H39" s="118">
        <v>51</v>
      </c>
      <c r="I39" s="118">
        <v>67</v>
      </c>
      <c r="J39" s="118">
        <v>83</v>
      </c>
      <c r="K39" s="21">
        <v>102.7</v>
      </c>
      <c r="L39" s="117">
        <v>117</v>
      </c>
      <c r="M39" s="117">
        <v>142</v>
      </c>
      <c r="N39" s="117">
        <v>182</v>
      </c>
      <c r="O39" s="117">
        <v>147</v>
      </c>
      <c r="P39" s="117">
        <v>194</v>
      </c>
      <c r="Q39" s="117">
        <v>187</v>
      </c>
      <c r="R39" s="117">
        <v>144</v>
      </c>
      <c r="S39" s="118">
        <v>123</v>
      </c>
      <c r="T39" s="21">
        <v>151.69999999999999</v>
      </c>
      <c r="U39" s="139">
        <v>186</v>
      </c>
      <c r="V39" s="134">
        <v>185</v>
      </c>
      <c r="W39" s="134">
        <v>220</v>
      </c>
      <c r="X39" s="117">
        <v>246</v>
      </c>
      <c r="Y39" s="117">
        <v>280</v>
      </c>
      <c r="Z39" s="20">
        <v>219</v>
      </c>
      <c r="AA39" s="12"/>
    </row>
    <row r="40" spans="1:27" x14ac:dyDescent="0.25">
      <c r="A40" s="9" t="s">
        <v>29</v>
      </c>
      <c r="B40" s="44">
        <v>33.6</v>
      </c>
      <c r="C40" s="21">
        <v>33.299999999999997</v>
      </c>
      <c r="D40" s="21">
        <v>42</v>
      </c>
      <c r="E40" s="21">
        <v>44.2</v>
      </c>
      <c r="F40" s="21">
        <v>47.9</v>
      </c>
      <c r="G40" s="118">
        <v>42</v>
      </c>
      <c r="H40" s="118">
        <v>41</v>
      </c>
      <c r="I40" s="118">
        <v>60</v>
      </c>
      <c r="J40" s="118">
        <v>64</v>
      </c>
      <c r="K40" s="21">
        <v>79.3</v>
      </c>
      <c r="L40" s="117">
        <v>56</v>
      </c>
      <c r="M40" s="117">
        <v>55</v>
      </c>
      <c r="N40" s="117">
        <v>85</v>
      </c>
      <c r="O40" s="117">
        <v>94</v>
      </c>
      <c r="P40" s="117">
        <v>168</v>
      </c>
      <c r="Q40" s="117">
        <v>152</v>
      </c>
      <c r="R40" s="117">
        <v>117</v>
      </c>
      <c r="S40" s="118">
        <v>103</v>
      </c>
      <c r="T40" s="21">
        <v>108.9</v>
      </c>
      <c r="U40" s="139">
        <v>201</v>
      </c>
      <c r="V40" s="134">
        <v>164</v>
      </c>
      <c r="W40" s="134">
        <v>231</v>
      </c>
      <c r="X40" s="117">
        <v>216</v>
      </c>
      <c r="Y40" s="117">
        <v>241</v>
      </c>
      <c r="Z40" s="20">
        <v>230</v>
      </c>
      <c r="AA40" s="12"/>
    </row>
    <row r="41" spans="1:27" x14ac:dyDescent="0.25">
      <c r="A41" s="9" t="s">
        <v>30</v>
      </c>
      <c r="B41" s="44">
        <v>35.9</v>
      </c>
      <c r="C41" s="21">
        <v>47.3</v>
      </c>
      <c r="D41" s="21">
        <v>67.5</v>
      </c>
      <c r="E41" s="21">
        <v>75</v>
      </c>
      <c r="F41" s="21">
        <v>79.099999999999994</v>
      </c>
      <c r="G41" s="118">
        <v>96</v>
      </c>
      <c r="H41" s="118">
        <v>72</v>
      </c>
      <c r="I41" s="118">
        <v>177</v>
      </c>
      <c r="J41" s="118">
        <v>202</v>
      </c>
      <c r="K41" s="21">
        <v>262.39999999999998</v>
      </c>
      <c r="L41" s="117">
        <v>123</v>
      </c>
      <c r="M41" s="117">
        <v>96</v>
      </c>
      <c r="N41" s="117">
        <v>111</v>
      </c>
      <c r="O41" s="117">
        <v>176</v>
      </c>
      <c r="P41" s="117">
        <v>324</v>
      </c>
      <c r="Q41" s="117">
        <v>238</v>
      </c>
      <c r="R41" s="117">
        <v>195</v>
      </c>
      <c r="S41" s="118">
        <v>138</v>
      </c>
      <c r="T41" s="21">
        <v>314.10000000000002</v>
      </c>
      <c r="U41" s="139">
        <v>245</v>
      </c>
      <c r="V41" s="134">
        <v>207</v>
      </c>
      <c r="W41" s="134">
        <v>251</v>
      </c>
      <c r="X41" s="117">
        <v>260</v>
      </c>
      <c r="Y41" s="117">
        <v>220</v>
      </c>
      <c r="Z41" s="20">
        <v>152</v>
      </c>
      <c r="AA41" s="12"/>
    </row>
    <row r="42" spans="1:27" ht="18" x14ac:dyDescent="0.25">
      <c r="A42" s="8" t="s">
        <v>220</v>
      </c>
      <c r="B42" s="42">
        <v>2349.2999999999997</v>
      </c>
      <c r="C42" s="42">
        <f>SUM(C43:C49)</f>
        <v>2446</v>
      </c>
      <c r="D42" s="42">
        <f>SUM(D43:D49)</f>
        <v>2713.7000000000003</v>
      </c>
      <c r="E42" s="42">
        <f>SUM(E43:E49)</f>
        <v>2600.8000000000002</v>
      </c>
      <c r="F42" s="42">
        <f>SUM(F43:F49)</f>
        <v>2769</v>
      </c>
      <c r="G42" s="120">
        <v>2762</v>
      </c>
      <c r="H42" s="42">
        <f>SUM(H43:H49)</f>
        <v>3512</v>
      </c>
      <c r="I42" s="42">
        <f>SUM(I43:I49)</f>
        <v>4657</v>
      </c>
      <c r="J42" s="42">
        <f>SUM(J43:J49)</f>
        <v>4895</v>
      </c>
      <c r="K42" s="22">
        <f>SUM(K43:K49)</f>
        <v>4612.1000000000004</v>
      </c>
      <c r="L42" s="121">
        <v>4068</v>
      </c>
      <c r="M42" s="121">
        <v>4093</v>
      </c>
      <c r="N42" s="121">
        <v>4371</v>
      </c>
      <c r="O42" s="121">
        <v>4596</v>
      </c>
      <c r="P42" s="121">
        <v>5514</v>
      </c>
      <c r="Q42" s="121">
        <v>4749</v>
      </c>
      <c r="R42" s="121">
        <v>4231</v>
      </c>
      <c r="S42" s="120">
        <v>4626</v>
      </c>
      <c r="T42" s="22">
        <v>4112.5</v>
      </c>
      <c r="U42" s="22">
        <v>5106</v>
      </c>
      <c r="V42" s="133">
        <v>5426</v>
      </c>
      <c r="W42" s="133">
        <v>6747</v>
      </c>
      <c r="X42" s="121">
        <v>8461</v>
      </c>
      <c r="Y42" s="121">
        <v>8826</v>
      </c>
      <c r="Z42" s="26">
        <v>8264</v>
      </c>
      <c r="AA42" s="12"/>
    </row>
    <row r="43" spans="1:27" x14ac:dyDescent="0.25">
      <c r="A43" s="9" t="s">
        <v>31</v>
      </c>
      <c r="B43" s="44">
        <v>57.4</v>
      </c>
      <c r="C43" s="21">
        <v>53.2</v>
      </c>
      <c r="D43" s="21">
        <v>94.2</v>
      </c>
      <c r="E43" s="21">
        <v>55.2</v>
      </c>
      <c r="F43" s="21">
        <v>39.6</v>
      </c>
      <c r="G43" s="118">
        <v>53</v>
      </c>
      <c r="H43" s="118">
        <v>42</v>
      </c>
      <c r="I43" s="118">
        <v>35</v>
      </c>
      <c r="J43" s="118">
        <v>61</v>
      </c>
      <c r="K43" s="21">
        <v>109.1</v>
      </c>
      <c r="L43" s="117">
        <v>90</v>
      </c>
      <c r="M43" s="117">
        <v>87</v>
      </c>
      <c r="N43" s="117">
        <v>57</v>
      </c>
      <c r="O43" s="117">
        <v>72</v>
      </c>
      <c r="P43" s="117">
        <v>166</v>
      </c>
      <c r="Q43" s="117">
        <v>119</v>
      </c>
      <c r="R43" s="117">
        <v>136</v>
      </c>
      <c r="S43" s="118">
        <v>110</v>
      </c>
      <c r="T43" s="21">
        <v>90.1</v>
      </c>
      <c r="U43" s="139">
        <v>137</v>
      </c>
      <c r="V43" s="134">
        <v>152</v>
      </c>
      <c r="W43" s="134">
        <v>204</v>
      </c>
      <c r="X43" s="117">
        <v>350</v>
      </c>
      <c r="Y43" s="117">
        <v>383</v>
      </c>
      <c r="Z43" s="20">
        <v>384</v>
      </c>
      <c r="AA43" s="12"/>
    </row>
    <row r="44" spans="1:27" x14ac:dyDescent="0.25">
      <c r="A44" s="9" t="s">
        <v>32</v>
      </c>
      <c r="B44" s="44">
        <v>25.7</v>
      </c>
      <c r="C44" s="21">
        <v>49.6</v>
      </c>
      <c r="D44" s="21">
        <v>43.8</v>
      </c>
      <c r="E44" s="21">
        <v>39.799999999999997</v>
      </c>
      <c r="F44" s="21">
        <v>32.799999999999997</v>
      </c>
      <c r="G44" s="118">
        <v>31</v>
      </c>
      <c r="H44" s="118">
        <v>44</v>
      </c>
      <c r="I44" s="118">
        <v>74</v>
      </c>
      <c r="J44" s="118">
        <v>48</v>
      </c>
      <c r="K44" s="21">
        <v>55.3</v>
      </c>
      <c r="L44" s="117">
        <v>48</v>
      </c>
      <c r="M44" s="117">
        <v>53</v>
      </c>
      <c r="N44" s="117">
        <v>44</v>
      </c>
      <c r="O44" s="117">
        <v>46</v>
      </c>
      <c r="P44" s="117">
        <v>50</v>
      </c>
      <c r="Q44" s="117">
        <v>43</v>
      </c>
      <c r="R44" s="117">
        <v>27</v>
      </c>
      <c r="S44" s="118">
        <v>55</v>
      </c>
      <c r="T44" s="21">
        <v>62.6</v>
      </c>
      <c r="U44" s="139">
        <v>67</v>
      </c>
      <c r="V44" s="134">
        <v>56</v>
      </c>
      <c r="W44" s="134">
        <v>102</v>
      </c>
      <c r="X44" s="117">
        <v>104</v>
      </c>
      <c r="Y44" s="117">
        <v>100</v>
      </c>
      <c r="Z44" s="20">
        <v>99</v>
      </c>
      <c r="AA44" s="12"/>
    </row>
    <row r="45" spans="1:27" x14ac:dyDescent="0.25">
      <c r="A45" s="9" t="s">
        <v>33</v>
      </c>
      <c r="B45" s="44"/>
      <c r="C45" s="21"/>
      <c r="D45" s="21"/>
      <c r="E45" s="21"/>
      <c r="F45" s="21"/>
      <c r="G45" s="118"/>
      <c r="H45" s="118"/>
      <c r="I45" s="118"/>
      <c r="J45" s="118"/>
      <c r="K45" s="21"/>
      <c r="L45" s="117"/>
      <c r="M45" s="117"/>
      <c r="N45" s="117"/>
      <c r="O45" s="117"/>
      <c r="P45" s="117">
        <v>440</v>
      </c>
      <c r="Q45" s="117">
        <v>152</v>
      </c>
      <c r="R45" s="117">
        <v>122</v>
      </c>
      <c r="S45" s="118">
        <v>617</v>
      </c>
      <c r="T45" s="21">
        <v>417.7</v>
      </c>
      <c r="U45" s="139">
        <v>580</v>
      </c>
      <c r="V45" s="134">
        <v>607</v>
      </c>
      <c r="W45" s="134">
        <v>451</v>
      </c>
      <c r="X45" s="117">
        <v>705</v>
      </c>
      <c r="Y45" s="117">
        <v>904</v>
      </c>
      <c r="Z45" s="20">
        <v>910</v>
      </c>
      <c r="AA45" s="12"/>
    </row>
    <row r="46" spans="1:27" x14ac:dyDescent="0.25">
      <c r="A46" s="9" t="s">
        <v>34</v>
      </c>
      <c r="B46" s="44">
        <v>1076.0999999999999</v>
      </c>
      <c r="C46" s="21">
        <v>1144.5</v>
      </c>
      <c r="D46" s="21">
        <v>1248.5</v>
      </c>
      <c r="E46" s="21">
        <v>1167.5</v>
      </c>
      <c r="F46" s="21">
        <v>1305.8</v>
      </c>
      <c r="G46" s="118">
        <v>1352</v>
      </c>
      <c r="H46" s="118">
        <v>1876</v>
      </c>
      <c r="I46" s="118">
        <v>2598</v>
      </c>
      <c r="J46" s="118">
        <v>2817</v>
      </c>
      <c r="K46" s="21">
        <v>2444</v>
      </c>
      <c r="L46" s="117">
        <v>1990</v>
      </c>
      <c r="M46" s="117">
        <v>1896</v>
      </c>
      <c r="N46" s="117">
        <v>1913</v>
      </c>
      <c r="O46" s="117">
        <v>2205</v>
      </c>
      <c r="P46" s="117">
        <v>2394</v>
      </c>
      <c r="Q46" s="117">
        <v>2031</v>
      </c>
      <c r="R46" s="117">
        <v>1813</v>
      </c>
      <c r="S46" s="118">
        <v>1810</v>
      </c>
      <c r="T46" s="21">
        <v>1590.3</v>
      </c>
      <c r="U46" s="139">
        <v>1985</v>
      </c>
      <c r="V46" s="134">
        <v>2188</v>
      </c>
      <c r="W46" s="134">
        <v>3266</v>
      </c>
      <c r="X46" s="117">
        <v>4461</v>
      </c>
      <c r="Y46" s="117">
        <v>4243</v>
      </c>
      <c r="Z46" s="20">
        <v>3800</v>
      </c>
      <c r="AA46" s="12"/>
    </row>
    <row r="47" spans="1:27" x14ac:dyDescent="0.25">
      <c r="A47" s="9" t="s">
        <v>35</v>
      </c>
      <c r="B47" s="44">
        <v>359.1</v>
      </c>
      <c r="C47" s="21">
        <v>366.2</v>
      </c>
      <c r="D47" s="21">
        <v>402.9</v>
      </c>
      <c r="E47" s="21">
        <v>436.6</v>
      </c>
      <c r="F47" s="21">
        <v>493.2</v>
      </c>
      <c r="G47" s="118">
        <v>456</v>
      </c>
      <c r="H47" s="118">
        <v>558</v>
      </c>
      <c r="I47" s="118">
        <v>554</v>
      </c>
      <c r="J47" s="118">
        <v>271</v>
      </c>
      <c r="K47" s="21">
        <v>268.3</v>
      </c>
      <c r="L47" s="117">
        <v>282</v>
      </c>
      <c r="M47" s="117">
        <v>383</v>
      </c>
      <c r="N47" s="117">
        <v>449</v>
      </c>
      <c r="O47" s="117">
        <v>394</v>
      </c>
      <c r="P47" s="117">
        <v>421</v>
      </c>
      <c r="Q47" s="117">
        <v>374</v>
      </c>
      <c r="R47" s="117">
        <v>407</v>
      </c>
      <c r="S47" s="118">
        <v>268</v>
      </c>
      <c r="T47" s="21">
        <v>228.1</v>
      </c>
      <c r="U47" s="139">
        <v>202</v>
      </c>
      <c r="V47" s="134">
        <v>291</v>
      </c>
      <c r="W47" s="134">
        <v>440</v>
      </c>
      <c r="X47" s="117">
        <v>477</v>
      </c>
      <c r="Y47" s="117">
        <v>546</v>
      </c>
      <c r="Z47" s="20">
        <v>480</v>
      </c>
      <c r="AA47" s="12"/>
    </row>
    <row r="48" spans="1:27" x14ac:dyDescent="0.25">
      <c r="A48" s="9" t="s">
        <v>36</v>
      </c>
      <c r="B48" s="44">
        <v>216.9</v>
      </c>
      <c r="C48" s="44">
        <v>230.9</v>
      </c>
      <c r="D48" s="21">
        <v>274.89999999999998</v>
      </c>
      <c r="E48" s="21">
        <v>272.89999999999998</v>
      </c>
      <c r="F48" s="21">
        <v>243.1</v>
      </c>
      <c r="G48" s="118">
        <v>203</v>
      </c>
      <c r="H48" s="118">
        <v>261</v>
      </c>
      <c r="I48" s="118">
        <v>415</v>
      </c>
      <c r="J48" s="118">
        <v>434</v>
      </c>
      <c r="K48" s="21">
        <v>435.7</v>
      </c>
      <c r="L48" s="117">
        <v>325</v>
      </c>
      <c r="M48" s="117">
        <v>359</v>
      </c>
      <c r="N48" s="117">
        <v>538</v>
      </c>
      <c r="O48" s="117">
        <v>492</v>
      </c>
      <c r="P48" s="117">
        <v>684</v>
      </c>
      <c r="Q48" s="117">
        <v>485</v>
      </c>
      <c r="R48" s="117">
        <v>360</v>
      </c>
      <c r="S48" s="118">
        <v>329</v>
      </c>
      <c r="T48" s="21">
        <v>285.10000000000002</v>
      </c>
      <c r="U48" s="139">
        <v>360</v>
      </c>
      <c r="V48" s="134">
        <v>339</v>
      </c>
      <c r="W48" s="134">
        <v>388</v>
      </c>
      <c r="X48" s="117">
        <v>508</v>
      </c>
      <c r="Y48" s="117">
        <v>510</v>
      </c>
      <c r="Z48" s="20">
        <v>519</v>
      </c>
      <c r="AA48" s="12"/>
    </row>
    <row r="49" spans="1:27" x14ac:dyDescent="0.25">
      <c r="A49" s="9" t="s">
        <v>37</v>
      </c>
      <c r="B49" s="44">
        <v>614.1</v>
      </c>
      <c r="C49" s="21">
        <v>601.6</v>
      </c>
      <c r="D49" s="21">
        <v>649.4</v>
      </c>
      <c r="E49" s="21">
        <v>628.79999999999995</v>
      </c>
      <c r="F49" s="21">
        <v>654.5</v>
      </c>
      <c r="G49" s="118">
        <v>667</v>
      </c>
      <c r="H49" s="118">
        <v>731</v>
      </c>
      <c r="I49" s="118">
        <v>981</v>
      </c>
      <c r="J49" s="118">
        <v>1264</v>
      </c>
      <c r="K49" s="21">
        <v>1299.7</v>
      </c>
      <c r="L49" s="117">
        <v>1332</v>
      </c>
      <c r="M49" s="117">
        <v>1315</v>
      </c>
      <c r="N49" s="117">
        <v>1370</v>
      </c>
      <c r="O49" s="117">
        <v>1387</v>
      </c>
      <c r="P49" s="117">
        <v>1352</v>
      </c>
      <c r="Q49" s="117">
        <v>1544</v>
      </c>
      <c r="R49" s="117">
        <v>1366</v>
      </c>
      <c r="S49" s="118">
        <v>1376</v>
      </c>
      <c r="T49" s="21">
        <v>1241</v>
      </c>
      <c r="U49" s="139">
        <v>1368</v>
      </c>
      <c r="V49" s="134">
        <v>1322</v>
      </c>
      <c r="W49" s="134">
        <v>1455</v>
      </c>
      <c r="X49" s="117">
        <v>1430</v>
      </c>
      <c r="Y49" s="117">
        <v>1743</v>
      </c>
      <c r="Z49" s="20">
        <v>1820</v>
      </c>
      <c r="AA49" s="12"/>
    </row>
    <row r="50" spans="1:27" x14ac:dyDescent="0.25">
      <c r="A50" s="9" t="s">
        <v>38</v>
      </c>
      <c r="B50" s="44"/>
      <c r="C50" s="21"/>
      <c r="D50" s="21"/>
      <c r="E50" s="21"/>
      <c r="F50" s="21"/>
      <c r="G50" s="118"/>
      <c r="H50" s="118"/>
      <c r="I50" s="118"/>
      <c r="J50" s="118"/>
      <c r="K50" s="21"/>
      <c r="L50" s="117"/>
      <c r="M50" s="117"/>
      <c r="N50" s="117"/>
      <c r="O50" s="117"/>
      <c r="P50" s="117">
        <v>7</v>
      </c>
      <c r="Q50" s="117" t="s">
        <v>96</v>
      </c>
      <c r="R50" s="117" t="s">
        <v>96</v>
      </c>
      <c r="S50" s="118">
        <v>61</v>
      </c>
      <c r="T50" s="21">
        <v>197.4</v>
      </c>
      <c r="U50" s="139">
        <v>408</v>
      </c>
      <c r="V50" s="134">
        <v>471</v>
      </c>
      <c r="W50" s="134">
        <v>442</v>
      </c>
      <c r="X50" s="117">
        <v>425</v>
      </c>
      <c r="Y50" s="117">
        <v>398</v>
      </c>
      <c r="Z50" s="20">
        <v>252</v>
      </c>
      <c r="AA50" s="12"/>
    </row>
    <row r="51" spans="1:27" ht="18" x14ac:dyDescent="0.25">
      <c r="A51" s="8" t="s">
        <v>115</v>
      </c>
      <c r="B51" s="42">
        <v>1232</v>
      </c>
      <c r="C51" s="42">
        <f>SUM(C52:C58)</f>
        <v>1320.3000000000002</v>
      </c>
      <c r="D51" s="42">
        <f>SUM(D52:D58)</f>
        <v>1240</v>
      </c>
      <c r="E51" s="42">
        <f>SUM(E52:E58)</f>
        <v>1286.0999999999999</v>
      </c>
      <c r="F51" s="42">
        <f>SUM(F52:F58)</f>
        <v>1233.3999999999999</v>
      </c>
      <c r="G51" s="120">
        <v>1327</v>
      </c>
      <c r="H51" s="42">
        <f>SUM(H52:H58)</f>
        <v>1501</v>
      </c>
      <c r="I51" s="42">
        <f>SUM(I52:I58)</f>
        <v>1894</v>
      </c>
      <c r="J51" s="42">
        <f>SUM(J52:J58)</f>
        <v>1770</v>
      </c>
      <c r="K51" s="22">
        <f>SUM(K52:K58)</f>
        <v>1972.1</v>
      </c>
      <c r="L51" s="121">
        <v>1957</v>
      </c>
      <c r="M51" s="121">
        <v>1986</v>
      </c>
      <c r="N51" s="121">
        <v>2513</v>
      </c>
      <c r="O51" s="121">
        <v>2792</v>
      </c>
      <c r="P51" s="121">
        <v>3841</v>
      </c>
      <c r="Q51" s="121">
        <v>3563</v>
      </c>
      <c r="R51" s="121">
        <v>3635</v>
      </c>
      <c r="S51" s="120">
        <v>3370</v>
      </c>
      <c r="T51" s="22">
        <v>2134</v>
      </c>
      <c r="U51" s="105">
        <v>2397</v>
      </c>
      <c r="V51" s="133">
        <v>2494</v>
      </c>
      <c r="W51" s="133">
        <v>3256</v>
      </c>
      <c r="X51" s="121">
        <v>4354</v>
      </c>
      <c r="Y51" s="121">
        <v>5228</v>
      </c>
      <c r="Z51" s="26">
        <v>6794</v>
      </c>
      <c r="AA51" s="12"/>
    </row>
    <row r="52" spans="1:27" x14ac:dyDescent="0.25">
      <c r="A52" s="9" t="s">
        <v>39</v>
      </c>
      <c r="B52" s="44">
        <v>396.2</v>
      </c>
      <c r="C52" s="21">
        <v>496.6</v>
      </c>
      <c r="D52" s="21">
        <v>432.9</v>
      </c>
      <c r="E52" s="21">
        <v>494.6</v>
      </c>
      <c r="F52" s="21">
        <v>465</v>
      </c>
      <c r="G52" s="118">
        <v>505</v>
      </c>
      <c r="H52" s="118">
        <v>613</v>
      </c>
      <c r="I52" s="118">
        <v>677</v>
      </c>
      <c r="J52" s="118">
        <v>706</v>
      </c>
      <c r="K52" s="21">
        <v>884.7</v>
      </c>
      <c r="L52" s="117">
        <v>1001</v>
      </c>
      <c r="M52" s="117">
        <v>1022</v>
      </c>
      <c r="N52" s="117">
        <v>1174</v>
      </c>
      <c r="O52" s="117">
        <v>1298</v>
      </c>
      <c r="P52" s="117">
        <v>1385</v>
      </c>
      <c r="Q52" s="117">
        <v>1404</v>
      </c>
      <c r="R52" s="117">
        <v>1597</v>
      </c>
      <c r="S52" s="118">
        <v>1447</v>
      </c>
      <c r="T52" s="21">
        <v>568.1</v>
      </c>
      <c r="U52" s="139">
        <v>564</v>
      </c>
      <c r="V52" s="134">
        <v>488</v>
      </c>
      <c r="W52" s="134">
        <v>486</v>
      </c>
      <c r="X52" s="117">
        <v>520</v>
      </c>
      <c r="Y52" s="117">
        <v>1084</v>
      </c>
      <c r="Z52" s="20">
        <v>2350</v>
      </c>
      <c r="AA52" s="12"/>
    </row>
    <row r="53" spans="1:27" x14ac:dyDescent="0.25">
      <c r="A53" s="9" t="s">
        <v>99</v>
      </c>
      <c r="B53" s="44">
        <v>10.9</v>
      </c>
      <c r="C53" s="21">
        <v>20.2</v>
      </c>
      <c r="D53" s="21">
        <v>8.8000000000000007</v>
      </c>
      <c r="E53" s="21">
        <v>17.600000000000001</v>
      </c>
      <c r="F53" s="21">
        <v>11.9</v>
      </c>
      <c r="G53" s="118">
        <v>13</v>
      </c>
      <c r="H53" s="118">
        <v>18</v>
      </c>
      <c r="I53" s="118">
        <v>229</v>
      </c>
      <c r="J53" s="118">
        <v>47</v>
      </c>
      <c r="K53" s="21">
        <v>33</v>
      </c>
      <c r="L53" s="117">
        <v>47</v>
      </c>
      <c r="M53" s="117">
        <v>74</v>
      </c>
      <c r="N53" s="117">
        <v>63</v>
      </c>
      <c r="O53" s="117">
        <v>58</v>
      </c>
      <c r="P53" s="117">
        <v>177</v>
      </c>
      <c r="Q53" s="117">
        <v>136</v>
      </c>
      <c r="R53" s="117">
        <v>171</v>
      </c>
      <c r="S53" s="118">
        <v>165</v>
      </c>
      <c r="T53" s="21">
        <v>142.6</v>
      </c>
      <c r="U53" s="139">
        <v>114</v>
      </c>
      <c r="V53" s="134">
        <v>96</v>
      </c>
      <c r="W53" s="134">
        <v>72</v>
      </c>
      <c r="X53" s="117">
        <v>77</v>
      </c>
      <c r="Y53" s="117">
        <v>103</v>
      </c>
      <c r="Z53" s="20">
        <v>104</v>
      </c>
      <c r="AA53" s="12"/>
    </row>
    <row r="54" spans="1:27" ht="19.5" x14ac:dyDescent="0.25">
      <c r="A54" s="9" t="s">
        <v>41</v>
      </c>
      <c r="B54" s="44">
        <v>164.1</v>
      </c>
      <c r="C54" s="21">
        <v>171</v>
      </c>
      <c r="D54" s="21">
        <v>188.6</v>
      </c>
      <c r="E54" s="21">
        <v>161.80000000000001</v>
      </c>
      <c r="F54" s="21">
        <v>179.2</v>
      </c>
      <c r="G54" s="118">
        <v>208</v>
      </c>
      <c r="H54" s="118">
        <v>208</v>
      </c>
      <c r="I54" s="118">
        <v>204</v>
      </c>
      <c r="J54" s="118">
        <v>210</v>
      </c>
      <c r="K54" s="21">
        <v>240.7</v>
      </c>
      <c r="L54" s="117">
        <v>228</v>
      </c>
      <c r="M54" s="117">
        <v>237</v>
      </c>
      <c r="N54" s="117">
        <v>252</v>
      </c>
      <c r="O54" s="117">
        <v>261</v>
      </c>
      <c r="P54" s="117">
        <v>298</v>
      </c>
      <c r="Q54" s="117">
        <v>342</v>
      </c>
      <c r="R54" s="117">
        <v>264</v>
      </c>
      <c r="S54" s="118">
        <v>274</v>
      </c>
      <c r="T54" s="21">
        <v>343.9</v>
      </c>
      <c r="U54" s="139">
        <v>324</v>
      </c>
      <c r="V54" s="134">
        <v>385</v>
      </c>
      <c r="W54" s="134">
        <v>394</v>
      </c>
      <c r="X54" s="117">
        <v>345</v>
      </c>
      <c r="Y54" s="117">
        <v>321</v>
      </c>
      <c r="Z54" s="20">
        <v>370</v>
      </c>
      <c r="AA54" s="12"/>
    </row>
    <row r="55" spans="1:27" ht="19.5" x14ac:dyDescent="0.25">
      <c r="A55" s="9" t="s">
        <v>42</v>
      </c>
      <c r="B55" s="44">
        <v>45.1</v>
      </c>
      <c r="C55" s="21">
        <v>60.1</v>
      </c>
      <c r="D55" s="21">
        <v>58.6</v>
      </c>
      <c r="E55" s="21">
        <v>62.8</v>
      </c>
      <c r="F55" s="21">
        <v>50.8</v>
      </c>
      <c r="G55" s="118">
        <v>47</v>
      </c>
      <c r="H55" s="118">
        <v>57</v>
      </c>
      <c r="I55" s="118">
        <v>65</v>
      </c>
      <c r="J55" s="118">
        <v>83</v>
      </c>
      <c r="K55" s="21">
        <v>57.8</v>
      </c>
      <c r="L55" s="117">
        <v>56</v>
      </c>
      <c r="M55" s="117">
        <v>69</v>
      </c>
      <c r="N55" s="117">
        <v>60</v>
      </c>
      <c r="O55" s="117">
        <v>86</v>
      </c>
      <c r="P55" s="117">
        <v>128</v>
      </c>
      <c r="Q55" s="117">
        <v>157</v>
      </c>
      <c r="R55" s="117">
        <v>112</v>
      </c>
      <c r="S55" s="118">
        <v>72</v>
      </c>
      <c r="T55" s="21">
        <v>81.7</v>
      </c>
      <c r="U55" s="139">
        <v>129</v>
      </c>
      <c r="V55" s="134">
        <v>106</v>
      </c>
      <c r="W55" s="134">
        <v>216</v>
      </c>
      <c r="X55" s="117">
        <v>245</v>
      </c>
      <c r="Y55" s="117">
        <v>304</v>
      </c>
      <c r="Z55" s="20">
        <v>280</v>
      </c>
      <c r="AA55" s="12"/>
    </row>
    <row r="56" spans="1:27" ht="19.5" x14ac:dyDescent="0.25">
      <c r="A56" s="9" t="s">
        <v>43</v>
      </c>
      <c r="B56" s="44">
        <v>87</v>
      </c>
      <c r="C56" s="21">
        <v>118.5</v>
      </c>
      <c r="D56" s="21">
        <v>102.5</v>
      </c>
      <c r="E56" s="21">
        <v>89.1</v>
      </c>
      <c r="F56" s="21">
        <v>65.599999999999994</v>
      </c>
      <c r="G56" s="118">
        <v>71</v>
      </c>
      <c r="H56" s="118">
        <v>60</v>
      </c>
      <c r="I56" s="118">
        <v>74</v>
      </c>
      <c r="J56" s="118">
        <v>70</v>
      </c>
      <c r="K56" s="21">
        <v>60.1</v>
      </c>
      <c r="L56" s="117">
        <v>77</v>
      </c>
      <c r="M56" s="117">
        <v>67</v>
      </c>
      <c r="N56" s="117">
        <v>46</v>
      </c>
      <c r="O56" s="117">
        <v>38</v>
      </c>
      <c r="P56" s="117">
        <v>37</v>
      </c>
      <c r="Q56" s="117">
        <v>39</v>
      </c>
      <c r="R56" s="117">
        <v>33</v>
      </c>
      <c r="S56" s="118">
        <v>44</v>
      </c>
      <c r="T56" s="21">
        <v>45.3</v>
      </c>
      <c r="U56" s="139">
        <v>72</v>
      </c>
      <c r="V56" s="134">
        <v>86</v>
      </c>
      <c r="W56" s="134">
        <v>236</v>
      </c>
      <c r="X56" s="117">
        <v>210</v>
      </c>
      <c r="Y56" s="117">
        <v>214</v>
      </c>
      <c r="Z56" s="20">
        <v>230</v>
      </c>
      <c r="AA56" s="12"/>
    </row>
    <row r="57" spans="1:27" x14ac:dyDescent="0.25">
      <c r="A57" s="72" t="s">
        <v>97</v>
      </c>
      <c r="B57" s="47" t="s">
        <v>96</v>
      </c>
      <c r="C57" s="47" t="s">
        <v>96</v>
      </c>
      <c r="D57" s="47" t="s">
        <v>96</v>
      </c>
      <c r="E57" s="47" t="s">
        <v>96</v>
      </c>
      <c r="F57" s="47" t="s">
        <v>96</v>
      </c>
      <c r="G57" s="118">
        <v>40</v>
      </c>
      <c r="H57" s="118">
        <v>55</v>
      </c>
      <c r="I57" s="118">
        <v>45</v>
      </c>
      <c r="J57" s="118">
        <v>55</v>
      </c>
      <c r="K57" s="21">
        <v>69.8</v>
      </c>
      <c r="L57" s="118">
        <v>70</v>
      </c>
      <c r="M57" s="118">
        <v>59</v>
      </c>
      <c r="N57" s="118">
        <v>255</v>
      </c>
      <c r="O57" s="118">
        <v>336</v>
      </c>
      <c r="P57" s="118">
        <v>1089</v>
      </c>
      <c r="Q57" s="118">
        <v>912</v>
      </c>
      <c r="R57" s="118">
        <v>994</v>
      </c>
      <c r="S57" s="118">
        <v>975</v>
      </c>
      <c r="T57" s="21">
        <v>507.4</v>
      </c>
      <c r="U57" s="139">
        <v>520</v>
      </c>
      <c r="V57" s="134">
        <v>661</v>
      </c>
      <c r="W57" s="134">
        <v>883</v>
      </c>
      <c r="X57" s="117">
        <v>1892</v>
      </c>
      <c r="Y57" s="117">
        <v>2036</v>
      </c>
      <c r="Z57" s="20">
        <v>2250</v>
      </c>
      <c r="AA57" s="12"/>
    </row>
    <row r="58" spans="1:27" x14ac:dyDescent="0.25">
      <c r="A58" s="72" t="s">
        <v>45</v>
      </c>
      <c r="B58" s="44">
        <v>528.70000000000005</v>
      </c>
      <c r="C58" s="21">
        <v>453.9</v>
      </c>
      <c r="D58" s="21">
        <v>448.6</v>
      </c>
      <c r="E58" s="21">
        <v>460.2</v>
      </c>
      <c r="F58" s="21">
        <v>460.9</v>
      </c>
      <c r="G58" s="118">
        <v>444</v>
      </c>
      <c r="H58" s="118">
        <v>490</v>
      </c>
      <c r="I58" s="118">
        <v>600</v>
      </c>
      <c r="J58" s="118">
        <v>599</v>
      </c>
      <c r="K58" s="21">
        <v>626</v>
      </c>
      <c r="L58" s="118">
        <v>478</v>
      </c>
      <c r="M58" s="118">
        <v>460</v>
      </c>
      <c r="N58" s="118">
        <v>664</v>
      </c>
      <c r="O58" s="118">
        <v>716</v>
      </c>
      <c r="P58" s="118">
        <v>727</v>
      </c>
      <c r="Q58" s="118">
        <v>575</v>
      </c>
      <c r="R58" s="118">
        <v>465</v>
      </c>
      <c r="S58" s="118">
        <v>392</v>
      </c>
      <c r="T58" s="21">
        <v>444.8</v>
      </c>
      <c r="U58" s="139">
        <v>676</v>
      </c>
      <c r="V58" s="134">
        <v>672</v>
      </c>
      <c r="W58" s="134">
        <v>969</v>
      </c>
      <c r="X58" s="117">
        <v>1065</v>
      </c>
      <c r="Y58" s="117">
        <v>1166</v>
      </c>
      <c r="Z58" s="20">
        <v>1210</v>
      </c>
      <c r="AA58" s="12"/>
    </row>
    <row r="59" spans="1:27" ht="18" x14ac:dyDescent="0.25">
      <c r="A59" s="7" t="s">
        <v>141</v>
      </c>
      <c r="B59" s="42">
        <v>3271</v>
      </c>
      <c r="C59" s="22">
        <v>3457.7</v>
      </c>
      <c r="D59" s="22">
        <v>3639.1</v>
      </c>
      <c r="E59" s="22">
        <v>3778.9</v>
      </c>
      <c r="F59" s="22">
        <v>3903.6</v>
      </c>
      <c r="G59" s="120">
        <v>4383</v>
      </c>
      <c r="H59" s="120">
        <f>SUM(H60:H73)</f>
        <v>5164</v>
      </c>
      <c r="I59" s="120">
        <v>6294</v>
      </c>
      <c r="J59" s="120">
        <v>7120</v>
      </c>
      <c r="K59" s="22">
        <v>7380</v>
      </c>
      <c r="L59" s="120">
        <v>6780</v>
      </c>
      <c r="M59" s="120">
        <v>7220</v>
      </c>
      <c r="N59" s="120">
        <v>7566</v>
      </c>
      <c r="O59" s="120">
        <v>8357</v>
      </c>
      <c r="P59" s="120">
        <v>8328</v>
      </c>
      <c r="Q59" s="120">
        <v>7689</v>
      </c>
      <c r="R59" s="120">
        <v>7399</v>
      </c>
      <c r="S59" s="120">
        <v>7481</v>
      </c>
      <c r="T59" s="22">
        <v>7735.3</v>
      </c>
      <c r="U59" s="105">
        <v>8546</v>
      </c>
      <c r="V59" s="133">
        <v>8879</v>
      </c>
      <c r="W59" s="133">
        <v>10636</v>
      </c>
      <c r="X59" s="121">
        <v>11821</v>
      </c>
      <c r="Y59" s="121">
        <v>11609</v>
      </c>
      <c r="Z59" s="26">
        <v>12883</v>
      </c>
      <c r="AA59" s="12"/>
    </row>
    <row r="60" spans="1:27" x14ac:dyDescent="0.25">
      <c r="A60" s="9" t="s">
        <v>46</v>
      </c>
      <c r="B60" s="44">
        <v>808.3</v>
      </c>
      <c r="C60" s="21">
        <v>852.9</v>
      </c>
      <c r="D60" s="21">
        <v>843.1</v>
      </c>
      <c r="E60" s="21">
        <v>902.2</v>
      </c>
      <c r="F60" s="21">
        <v>941.4</v>
      </c>
      <c r="G60" s="118">
        <v>993</v>
      </c>
      <c r="H60" s="118">
        <v>1041</v>
      </c>
      <c r="I60" s="118">
        <v>1154</v>
      </c>
      <c r="J60" s="118">
        <v>1622</v>
      </c>
      <c r="K60" s="21">
        <v>1933.7</v>
      </c>
      <c r="L60" s="117">
        <v>1454</v>
      </c>
      <c r="M60" s="117">
        <v>1547</v>
      </c>
      <c r="N60" s="117">
        <v>1616</v>
      </c>
      <c r="O60" s="117">
        <v>1648</v>
      </c>
      <c r="P60" s="117">
        <v>1691</v>
      </c>
      <c r="Q60" s="117">
        <v>1572</v>
      </c>
      <c r="R60" s="117">
        <v>1815</v>
      </c>
      <c r="S60" s="118">
        <v>1666</v>
      </c>
      <c r="T60" s="21">
        <v>1402</v>
      </c>
      <c r="U60" s="139">
        <v>1389</v>
      </c>
      <c r="V60" s="134">
        <v>1499</v>
      </c>
      <c r="W60" s="134">
        <v>1781</v>
      </c>
      <c r="X60" s="117">
        <v>1922</v>
      </c>
      <c r="Y60" s="117">
        <v>2060</v>
      </c>
      <c r="Z60" s="20">
        <v>2335</v>
      </c>
      <c r="AA60" s="12"/>
    </row>
    <row r="61" spans="1:27" x14ac:dyDescent="0.25">
      <c r="A61" s="9" t="s">
        <v>47</v>
      </c>
      <c r="B61" s="44">
        <v>67.099999999999994</v>
      </c>
      <c r="C61" s="21">
        <v>58.7</v>
      </c>
      <c r="D61" s="21">
        <v>71.900000000000006</v>
      </c>
      <c r="E61" s="21">
        <v>83.9</v>
      </c>
      <c r="F61" s="21">
        <v>88.7</v>
      </c>
      <c r="G61" s="118">
        <v>102</v>
      </c>
      <c r="H61" s="118">
        <v>142</v>
      </c>
      <c r="I61" s="118">
        <v>185</v>
      </c>
      <c r="J61" s="118">
        <v>196</v>
      </c>
      <c r="K61" s="21">
        <v>210.3</v>
      </c>
      <c r="L61" s="117">
        <v>212</v>
      </c>
      <c r="M61" s="117">
        <v>218</v>
      </c>
      <c r="N61" s="117">
        <v>220</v>
      </c>
      <c r="O61" s="117">
        <v>221</v>
      </c>
      <c r="P61" s="117">
        <v>222</v>
      </c>
      <c r="Q61" s="117">
        <v>204</v>
      </c>
      <c r="R61" s="117">
        <v>169</v>
      </c>
      <c r="S61" s="118">
        <v>148</v>
      </c>
      <c r="T61" s="21">
        <v>136</v>
      </c>
      <c r="U61" s="139">
        <v>163</v>
      </c>
      <c r="V61" s="134">
        <v>135</v>
      </c>
      <c r="W61" s="134">
        <v>174</v>
      </c>
      <c r="X61" s="117">
        <v>272</v>
      </c>
      <c r="Y61" s="117">
        <v>265</v>
      </c>
      <c r="Z61" s="20">
        <v>286</v>
      </c>
      <c r="AA61" s="12"/>
    </row>
    <row r="62" spans="1:27" x14ac:dyDescent="0.25">
      <c r="A62" s="9" t="s">
        <v>48</v>
      </c>
      <c r="B62" s="44">
        <v>104.4</v>
      </c>
      <c r="C62" s="21">
        <v>115.6</v>
      </c>
      <c r="D62" s="21">
        <v>92.8</v>
      </c>
      <c r="E62" s="21">
        <v>92.2</v>
      </c>
      <c r="F62" s="21">
        <v>88.4</v>
      </c>
      <c r="G62" s="118">
        <v>91</v>
      </c>
      <c r="H62" s="118">
        <v>104</v>
      </c>
      <c r="I62" s="118">
        <v>116</v>
      </c>
      <c r="J62" s="118">
        <v>119</v>
      </c>
      <c r="K62" s="21">
        <v>97.7</v>
      </c>
      <c r="L62" s="117">
        <v>115</v>
      </c>
      <c r="M62" s="117">
        <v>95</v>
      </c>
      <c r="N62" s="117">
        <v>106</v>
      </c>
      <c r="O62" s="117">
        <v>119</v>
      </c>
      <c r="P62" s="117">
        <v>127</v>
      </c>
      <c r="Q62" s="117">
        <v>138</v>
      </c>
      <c r="R62" s="117">
        <v>154</v>
      </c>
      <c r="S62" s="118">
        <v>148</v>
      </c>
      <c r="T62" s="21">
        <v>165.7</v>
      </c>
      <c r="U62" s="139">
        <v>179</v>
      </c>
      <c r="V62" s="134">
        <v>179</v>
      </c>
      <c r="W62" s="134">
        <v>203</v>
      </c>
      <c r="X62" s="117">
        <v>217</v>
      </c>
      <c r="Y62" s="117">
        <v>170</v>
      </c>
      <c r="Z62" s="20">
        <v>217</v>
      </c>
      <c r="AA62" s="12"/>
    </row>
    <row r="63" spans="1:27" x14ac:dyDescent="0.25">
      <c r="A63" s="9" t="s">
        <v>49</v>
      </c>
      <c r="B63" s="44">
        <v>592.20000000000005</v>
      </c>
      <c r="C63" s="21">
        <v>562.5</v>
      </c>
      <c r="D63" s="21">
        <v>582.5</v>
      </c>
      <c r="E63" s="21">
        <v>641.6</v>
      </c>
      <c r="F63" s="21">
        <v>560.5</v>
      </c>
      <c r="G63" s="118">
        <v>755</v>
      </c>
      <c r="H63" s="118">
        <v>1045</v>
      </c>
      <c r="I63" s="118">
        <v>1013</v>
      </c>
      <c r="J63" s="118">
        <v>987</v>
      </c>
      <c r="K63" s="21">
        <v>775.2</v>
      </c>
      <c r="L63" s="117">
        <v>871</v>
      </c>
      <c r="M63" s="117">
        <v>976</v>
      </c>
      <c r="N63" s="117">
        <v>1103</v>
      </c>
      <c r="O63" s="117">
        <v>1399</v>
      </c>
      <c r="P63" s="117">
        <v>1140</v>
      </c>
      <c r="Q63" s="117">
        <v>1184</v>
      </c>
      <c r="R63" s="117">
        <v>1038</v>
      </c>
      <c r="S63" s="118">
        <v>1080</v>
      </c>
      <c r="T63" s="21">
        <v>1108.8</v>
      </c>
      <c r="U63" s="139">
        <v>1106</v>
      </c>
      <c r="V63" s="134">
        <v>1460</v>
      </c>
      <c r="W63" s="134">
        <v>2073</v>
      </c>
      <c r="X63" s="117">
        <v>2204</v>
      </c>
      <c r="Y63" s="117">
        <v>1699</v>
      </c>
      <c r="Z63" s="20">
        <v>2350</v>
      </c>
      <c r="AA63" s="12"/>
    </row>
    <row r="64" spans="1:27" x14ac:dyDescent="0.25">
      <c r="A64" s="9" t="s">
        <v>50</v>
      </c>
      <c r="B64" s="44">
        <v>138.5</v>
      </c>
      <c r="C64" s="21">
        <v>169.3</v>
      </c>
      <c r="D64" s="21">
        <v>198.2</v>
      </c>
      <c r="E64" s="21">
        <v>212.3</v>
      </c>
      <c r="F64" s="21">
        <v>231.1</v>
      </c>
      <c r="G64" s="118">
        <v>252</v>
      </c>
      <c r="H64" s="118">
        <v>263</v>
      </c>
      <c r="I64" s="118">
        <v>320</v>
      </c>
      <c r="J64" s="118">
        <v>327</v>
      </c>
      <c r="K64" s="21">
        <v>346.6</v>
      </c>
      <c r="L64" s="117">
        <v>286</v>
      </c>
      <c r="M64" s="117">
        <v>295</v>
      </c>
      <c r="N64" s="117">
        <v>264</v>
      </c>
      <c r="O64" s="117">
        <v>240</v>
      </c>
      <c r="P64" s="117">
        <v>248</v>
      </c>
      <c r="Q64" s="117">
        <v>308</v>
      </c>
      <c r="R64" s="117">
        <v>287</v>
      </c>
      <c r="S64" s="118">
        <v>288</v>
      </c>
      <c r="T64" s="21">
        <v>318.3</v>
      </c>
      <c r="U64" s="139">
        <v>428</v>
      </c>
      <c r="V64" s="134">
        <v>418</v>
      </c>
      <c r="W64" s="134">
        <v>436</v>
      </c>
      <c r="X64" s="117">
        <v>776</v>
      </c>
      <c r="Y64" s="117">
        <v>861</v>
      </c>
      <c r="Z64" s="20">
        <v>861</v>
      </c>
      <c r="AA64" s="12"/>
    </row>
    <row r="65" spans="1:27" x14ac:dyDescent="0.25">
      <c r="A65" s="9" t="s">
        <v>51</v>
      </c>
      <c r="B65" s="44">
        <v>300.3</v>
      </c>
      <c r="C65" s="21">
        <v>318.3</v>
      </c>
      <c r="D65" s="21">
        <v>328.4</v>
      </c>
      <c r="E65" s="21">
        <v>346.4</v>
      </c>
      <c r="F65" s="21">
        <v>432.6</v>
      </c>
      <c r="G65" s="118">
        <v>458</v>
      </c>
      <c r="H65" s="118">
        <v>546</v>
      </c>
      <c r="I65" s="118">
        <v>683</v>
      </c>
      <c r="J65" s="118">
        <v>681</v>
      </c>
      <c r="K65" s="21">
        <v>561.70000000000005</v>
      </c>
      <c r="L65" s="117">
        <v>579</v>
      </c>
      <c r="M65" s="117">
        <v>615</v>
      </c>
      <c r="N65" s="117">
        <v>518</v>
      </c>
      <c r="O65" s="117">
        <v>470</v>
      </c>
      <c r="P65" s="117">
        <v>404</v>
      </c>
      <c r="Q65" s="117">
        <v>288</v>
      </c>
      <c r="R65" s="117">
        <v>194</v>
      </c>
      <c r="S65" s="118">
        <v>165</v>
      </c>
      <c r="T65" s="21">
        <v>138.30000000000001</v>
      </c>
      <c r="U65" s="139">
        <v>166</v>
      </c>
      <c r="V65" s="134">
        <v>163</v>
      </c>
      <c r="W65" s="134">
        <v>389</v>
      </c>
      <c r="X65" s="117">
        <v>571</v>
      </c>
      <c r="Y65" s="117">
        <v>383</v>
      </c>
      <c r="Z65" s="20">
        <v>340</v>
      </c>
      <c r="AA65" s="12"/>
    </row>
    <row r="66" spans="1:27" x14ac:dyDescent="0.25">
      <c r="A66" s="9" t="s">
        <v>52</v>
      </c>
      <c r="B66" s="44">
        <v>95.7</v>
      </c>
      <c r="C66" s="21">
        <v>115.2</v>
      </c>
      <c r="D66" s="21">
        <v>146.80000000000001</v>
      </c>
      <c r="E66" s="21">
        <v>148.80000000000001</v>
      </c>
      <c r="F66" s="21">
        <v>172</v>
      </c>
      <c r="G66" s="118">
        <v>207</v>
      </c>
      <c r="H66" s="118">
        <v>238</v>
      </c>
      <c r="I66" s="118">
        <v>338</v>
      </c>
      <c r="J66" s="118">
        <v>406</v>
      </c>
      <c r="K66" s="21">
        <v>387.6</v>
      </c>
      <c r="L66" s="117">
        <v>306</v>
      </c>
      <c r="M66" s="117">
        <v>270</v>
      </c>
      <c r="N66" s="117">
        <v>316</v>
      </c>
      <c r="O66" s="117">
        <v>477</v>
      </c>
      <c r="P66" s="117">
        <v>546</v>
      </c>
      <c r="Q66" s="117">
        <v>452</v>
      </c>
      <c r="R66" s="117">
        <v>312</v>
      </c>
      <c r="S66" s="118">
        <v>468</v>
      </c>
      <c r="T66" s="21">
        <v>484.5</v>
      </c>
      <c r="U66" s="139">
        <v>647</v>
      </c>
      <c r="V66" s="134">
        <v>603</v>
      </c>
      <c r="W66" s="134">
        <v>724</v>
      </c>
      <c r="X66" s="117">
        <v>1212</v>
      </c>
      <c r="Y66" s="117">
        <v>1247</v>
      </c>
      <c r="Z66" s="20">
        <v>1160</v>
      </c>
      <c r="AA66" s="12"/>
    </row>
    <row r="67" spans="1:27" x14ac:dyDescent="0.25">
      <c r="A67" s="9" t="s">
        <v>53</v>
      </c>
      <c r="B67" s="44">
        <v>63.2</v>
      </c>
      <c r="C67" s="21">
        <v>72.400000000000006</v>
      </c>
      <c r="D67" s="21">
        <v>68.400000000000006</v>
      </c>
      <c r="E67" s="21">
        <v>60.7</v>
      </c>
      <c r="F67" s="21">
        <v>78.2</v>
      </c>
      <c r="G67" s="118">
        <v>91</v>
      </c>
      <c r="H67" s="118">
        <v>114</v>
      </c>
      <c r="I67" s="118">
        <v>187</v>
      </c>
      <c r="J67" s="118">
        <v>199</v>
      </c>
      <c r="K67" s="21">
        <v>172.9</v>
      </c>
      <c r="L67" s="117">
        <v>131</v>
      </c>
      <c r="M67" s="117">
        <v>119</v>
      </c>
      <c r="N67" s="117">
        <v>133</v>
      </c>
      <c r="O67" s="117">
        <v>137</v>
      </c>
      <c r="P67" s="117">
        <v>245</v>
      </c>
      <c r="Q67" s="117">
        <v>246</v>
      </c>
      <c r="R67" s="117">
        <v>178</v>
      </c>
      <c r="S67" s="118">
        <v>195</v>
      </c>
      <c r="T67" s="21">
        <v>239.6</v>
      </c>
      <c r="U67" s="139">
        <v>227</v>
      </c>
      <c r="V67" s="134">
        <v>207</v>
      </c>
      <c r="W67" s="134">
        <v>253</v>
      </c>
      <c r="X67" s="117">
        <v>333</v>
      </c>
      <c r="Y67" s="117">
        <v>367</v>
      </c>
      <c r="Z67" s="20">
        <v>393</v>
      </c>
      <c r="AA67" s="12"/>
    </row>
    <row r="68" spans="1:27" x14ac:dyDescent="0.25">
      <c r="A68" s="9" t="s">
        <v>54</v>
      </c>
      <c r="B68" s="44">
        <v>178.4</v>
      </c>
      <c r="C68" s="21">
        <v>198.2</v>
      </c>
      <c r="D68" s="21">
        <v>218.4</v>
      </c>
      <c r="E68" s="21">
        <v>245.1</v>
      </c>
      <c r="F68" s="21">
        <v>243.5</v>
      </c>
      <c r="G68" s="118">
        <v>269</v>
      </c>
      <c r="H68" s="118">
        <v>267</v>
      </c>
      <c r="I68" s="118">
        <v>350</v>
      </c>
      <c r="J68" s="118">
        <v>639</v>
      </c>
      <c r="K68" s="21">
        <v>909.4</v>
      </c>
      <c r="L68" s="117">
        <v>930</v>
      </c>
      <c r="M68" s="117">
        <v>928</v>
      </c>
      <c r="N68" s="117">
        <v>844</v>
      </c>
      <c r="O68" s="117">
        <v>949</v>
      </c>
      <c r="P68" s="117">
        <v>774</v>
      </c>
      <c r="Q68" s="117">
        <v>519</v>
      </c>
      <c r="R68" s="117">
        <v>613</v>
      </c>
      <c r="S68" s="118">
        <v>602</v>
      </c>
      <c r="T68" s="21">
        <v>743.4</v>
      </c>
      <c r="U68" s="139">
        <v>824</v>
      </c>
      <c r="V68" s="134">
        <v>884</v>
      </c>
      <c r="W68" s="134">
        <v>1140</v>
      </c>
      <c r="X68" s="117">
        <v>1110</v>
      </c>
      <c r="Y68" s="117">
        <v>1125</v>
      </c>
      <c r="Z68" s="20">
        <v>1260</v>
      </c>
      <c r="AA68" s="12"/>
    </row>
    <row r="69" spans="1:27" x14ac:dyDescent="0.25">
      <c r="A69" s="9" t="s">
        <v>55</v>
      </c>
      <c r="B69" s="44">
        <v>232.8</v>
      </c>
      <c r="C69" s="21">
        <v>275.89999999999998</v>
      </c>
      <c r="D69" s="21">
        <v>319.7</v>
      </c>
      <c r="E69" s="21">
        <v>371.1</v>
      </c>
      <c r="F69" s="21">
        <v>378.2</v>
      </c>
      <c r="G69" s="118">
        <v>419</v>
      </c>
      <c r="H69" s="118">
        <v>446</v>
      </c>
      <c r="I69" s="118">
        <v>469</v>
      </c>
      <c r="J69" s="118">
        <v>433</v>
      </c>
      <c r="K69" s="21">
        <v>423.4</v>
      </c>
      <c r="L69" s="117">
        <v>341</v>
      </c>
      <c r="M69" s="117">
        <v>473</v>
      </c>
      <c r="N69" s="117">
        <v>392</v>
      </c>
      <c r="O69" s="117">
        <v>501</v>
      </c>
      <c r="P69" s="117">
        <v>663</v>
      </c>
      <c r="Q69" s="117">
        <v>535</v>
      </c>
      <c r="R69" s="117">
        <v>374</v>
      </c>
      <c r="S69" s="118">
        <v>401</v>
      </c>
      <c r="T69" s="21">
        <v>469.9</v>
      </c>
      <c r="U69" s="139">
        <v>451</v>
      </c>
      <c r="V69" s="134">
        <v>527</v>
      </c>
      <c r="W69" s="134">
        <v>723</v>
      </c>
      <c r="X69" s="117">
        <v>635</v>
      </c>
      <c r="Y69" s="117">
        <v>794</v>
      </c>
      <c r="Z69" s="20">
        <v>847</v>
      </c>
      <c r="AA69" s="12"/>
    </row>
    <row r="70" spans="1:27" x14ac:dyDescent="0.25">
      <c r="A70" s="9" t="s">
        <v>56</v>
      </c>
      <c r="B70" s="44">
        <v>107.7</v>
      </c>
      <c r="C70" s="21">
        <v>94.3</v>
      </c>
      <c r="D70" s="21">
        <v>124.5</v>
      </c>
      <c r="E70" s="21">
        <v>117.9</v>
      </c>
      <c r="F70" s="21">
        <v>128.6</v>
      </c>
      <c r="G70" s="118">
        <v>152</v>
      </c>
      <c r="H70" s="118">
        <v>200</v>
      </c>
      <c r="I70" s="118">
        <v>296</v>
      </c>
      <c r="J70" s="118">
        <v>321</v>
      </c>
      <c r="K70" s="21">
        <v>296.3</v>
      </c>
      <c r="L70" s="117">
        <v>340</v>
      </c>
      <c r="M70" s="117">
        <v>336</v>
      </c>
      <c r="N70" s="117">
        <v>369</v>
      </c>
      <c r="O70" s="117">
        <v>431</v>
      </c>
      <c r="P70" s="117">
        <v>425</v>
      </c>
      <c r="Q70" s="117">
        <v>414</v>
      </c>
      <c r="R70" s="117">
        <v>465</v>
      </c>
      <c r="S70" s="118">
        <v>532</v>
      </c>
      <c r="T70" s="21">
        <v>413.7</v>
      </c>
      <c r="U70" s="139">
        <v>534</v>
      </c>
      <c r="V70" s="134">
        <v>513</v>
      </c>
      <c r="W70" s="134">
        <v>533</v>
      </c>
      <c r="X70" s="117">
        <v>474</v>
      </c>
      <c r="Y70" s="117">
        <v>414</v>
      </c>
      <c r="Z70" s="20">
        <v>432</v>
      </c>
      <c r="AA70" s="12"/>
    </row>
    <row r="71" spans="1:27" x14ac:dyDescent="0.25">
      <c r="A71" s="9" t="s">
        <v>57</v>
      </c>
      <c r="B71" s="44">
        <v>234.8</v>
      </c>
      <c r="C71" s="21">
        <v>274.39999999999998</v>
      </c>
      <c r="D71" s="21">
        <v>284.8</v>
      </c>
      <c r="E71" s="21">
        <v>257.89999999999998</v>
      </c>
      <c r="F71" s="21">
        <v>260.3</v>
      </c>
      <c r="G71" s="118">
        <v>256</v>
      </c>
      <c r="H71" s="118">
        <v>300</v>
      </c>
      <c r="I71" s="118">
        <v>464</v>
      </c>
      <c r="J71" s="118">
        <v>384</v>
      </c>
      <c r="K71" s="21">
        <v>418.1</v>
      </c>
      <c r="L71" s="117">
        <v>375</v>
      </c>
      <c r="M71" s="117">
        <v>481</v>
      </c>
      <c r="N71" s="117">
        <v>532</v>
      </c>
      <c r="O71" s="117">
        <v>662</v>
      </c>
      <c r="P71" s="117">
        <v>815</v>
      </c>
      <c r="Q71" s="117">
        <v>789</v>
      </c>
      <c r="R71" s="117">
        <v>718</v>
      </c>
      <c r="S71" s="118">
        <v>661</v>
      </c>
      <c r="T71" s="21">
        <v>769.5</v>
      </c>
      <c r="U71" s="139">
        <v>910</v>
      </c>
      <c r="V71" s="134">
        <v>918</v>
      </c>
      <c r="W71" s="134">
        <v>1047</v>
      </c>
      <c r="X71" s="117">
        <v>1211</v>
      </c>
      <c r="Y71" s="117">
        <v>1141</v>
      </c>
      <c r="Z71" s="20">
        <v>1343</v>
      </c>
      <c r="AA71" s="12"/>
    </row>
    <row r="72" spans="1:27" x14ac:dyDescent="0.25">
      <c r="A72" s="9" t="s">
        <v>58</v>
      </c>
      <c r="B72" s="44">
        <v>260.3</v>
      </c>
      <c r="C72" s="21">
        <v>252.2</v>
      </c>
      <c r="D72" s="21">
        <v>269.3</v>
      </c>
      <c r="E72" s="21">
        <v>221.7</v>
      </c>
      <c r="F72" s="21">
        <v>218.8</v>
      </c>
      <c r="G72" s="118">
        <v>221</v>
      </c>
      <c r="H72" s="118">
        <v>318</v>
      </c>
      <c r="I72" s="118">
        <v>472</v>
      </c>
      <c r="J72" s="118">
        <v>542</v>
      </c>
      <c r="K72" s="21">
        <v>488.9</v>
      </c>
      <c r="L72" s="117">
        <v>552</v>
      </c>
      <c r="M72" s="117">
        <v>528</v>
      </c>
      <c r="N72" s="117">
        <v>779</v>
      </c>
      <c r="O72" s="117">
        <v>786</v>
      </c>
      <c r="P72" s="117">
        <v>744</v>
      </c>
      <c r="Q72" s="117">
        <v>558</v>
      </c>
      <c r="R72" s="117">
        <v>499</v>
      </c>
      <c r="S72" s="118">
        <v>431</v>
      </c>
      <c r="T72" s="21">
        <v>639.5</v>
      </c>
      <c r="U72" s="139">
        <v>704</v>
      </c>
      <c r="V72" s="134">
        <v>628</v>
      </c>
      <c r="W72" s="134">
        <v>596</v>
      </c>
      <c r="X72" s="117">
        <v>560</v>
      </c>
      <c r="Y72" s="117">
        <v>671</v>
      </c>
      <c r="Z72" s="20">
        <v>659</v>
      </c>
      <c r="AA72" s="12"/>
    </row>
    <row r="73" spans="1:27" x14ac:dyDescent="0.25">
      <c r="A73" s="9" t="s">
        <v>59</v>
      </c>
      <c r="B73" s="44">
        <v>87.8</v>
      </c>
      <c r="C73" s="21">
        <v>97.8</v>
      </c>
      <c r="D73" s="21">
        <v>90.2</v>
      </c>
      <c r="E73" s="21">
        <v>77</v>
      </c>
      <c r="F73" s="21">
        <v>81.2</v>
      </c>
      <c r="G73" s="118">
        <v>118</v>
      </c>
      <c r="H73" s="118">
        <v>140</v>
      </c>
      <c r="I73" s="118">
        <v>246</v>
      </c>
      <c r="J73" s="118">
        <v>265</v>
      </c>
      <c r="K73" s="21">
        <v>358.5</v>
      </c>
      <c r="L73" s="117">
        <v>289</v>
      </c>
      <c r="M73" s="117">
        <v>339</v>
      </c>
      <c r="N73" s="117">
        <v>376</v>
      </c>
      <c r="O73" s="117">
        <v>317</v>
      </c>
      <c r="P73" s="117">
        <v>285</v>
      </c>
      <c r="Q73" s="117">
        <v>483</v>
      </c>
      <c r="R73" s="117">
        <v>585</v>
      </c>
      <c r="S73" s="118">
        <v>695</v>
      </c>
      <c r="T73" s="21">
        <v>706</v>
      </c>
      <c r="U73" s="139">
        <v>820</v>
      </c>
      <c r="V73" s="134">
        <v>746</v>
      </c>
      <c r="W73" s="134">
        <v>566</v>
      </c>
      <c r="X73" s="117">
        <v>322</v>
      </c>
      <c r="Y73" s="117">
        <v>411</v>
      </c>
      <c r="Z73" s="20">
        <v>400</v>
      </c>
      <c r="AA73" s="12"/>
    </row>
    <row r="74" spans="1:27" ht="18" x14ac:dyDescent="0.25">
      <c r="A74" s="8" t="s">
        <v>266</v>
      </c>
      <c r="B74" s="42">
        <v>581.9</v>
      </c>
      <c r="C74" s="22">
        <v>667.5</v>
      </c>
      <c r="D74" s="22">
        <v>776.6</v>
      </c>
      <c r="E74" s="22">
        <v>837.2</v>
      </c>
      <c r="F74" s="22">
        <v>939.5</v>
      </c>
      <c r="G74" s="120">
        <v>1117</v>
      </c>
      <c r="H74" s="120">
        <f>SUM(H75:H81)-H78-H79</f>
        <v>1230</v>
      </c>
      <c r="I74" s="120">
        <v>1946</v>
      </c>
      <c r="J74" s="120">
        <v>2206</v>
      </c>
      <c r="K74" s="22">
        <v>2344.3000000000002</v>
      </c>
      <c r="L74" s="121">
        <v>1849</v>
      </c>
      <c r="M74" s="121">
        <v>1854</v>
      </c>
      <c r="N74" s="121">
        <v>1822</v>
      </c>
      <c r="O74" s="121">
        <v>2154</v>
      </c>
      <c r="P74" s="121">
        <v>3079</v>
      </c>
      <c r="Q74" s="121">
        <v>2975</v>
      </c>
      <c r="R74" s="121">
        <v>2108</v>
      </c>
      <c r="S74" s="120">
        <v>2285</v>
      </c>
      <c r="T74" s="22">
        <v>2295.1999999999998</v>
      </c>
      <c r="U74" s="105">
        <v>2642</v>
      </c>
      <c r="V74" s="133">
        <v>2994</v>
      </c>
      <c r="W74" s="133">
        <v>3802</v>
      </c>
      <c r="X74" s="121">
        <v>3814</v>
      </c>
      <c r="Y74" s="121">
        <v>4413</v>
      </c>
      <c r="Z74" s="26">
        <v>4558</v>
      </c>
      <c r="AA74" s="12"/>
    </row>
    <row r="75" spans="1:27" x14ac:dyDescent="0.25">
      <c r="A75" s="9" t="s">
        <v>60</v>
      </c>
      <c r="B75" s="44">
        <v>51.4</v>
      </c>
      <c r="C75" s="21">
        <v>43.5</v>
      </c>
      <c r="D75" s="21">
        <v>50.7</v>
      </c>
      <c r="E75" s="21">
        <v>49.9</v>
      </c>
      <c r="F75" s="21">
        <v>51.3</v>
      </c>
      <c r="G75" s="118">
        <v>69</v>
      </c>
      <c r="H75" s="118">
        <v>87</v>
      </c>
      <c r="I75" s="118">
        <v>122</v>
      </c>
      <c r="J75" s="118">
        <v>162</v>
      </c>
      <c r="K75" s="21">
        <v>152.30000000000001</v>
      </c>
      <c r="L75" s="117">
        <v>108</v>
      </c>
      <c r="M75" s="117">
        <v>110</v>
      </c>
      <c r="N75" s="117">
        <v>175</v>
      </c>
      <c r="O75" s="117">
        <v>182</v>
      </c>
      <c r="P75" s="117">
        <v>243</v>
      </c>
      <c r="Q75" s="117">
        <v>194</v>
      </c>
      <c r="R75" s="117">
        <v>195</v>
      </c>
      <c r="S75" s="118">
        <v>122</v>
      </c>
      <c r="T75" s="21">
        <v>151.5</v>
      </c>
      <c r="U75" s="139">
        <v>189</v>
      </c>
      <c r="V75" s="134">
        <v>197</v>
      </c>
      <c r="W75" s="134">
        <v>225</v>
      </c>
      <c r="X75" s="117">
        <v>205</v>
      </c>
      <c r="Y75" s="117">
        <v>237</v>
      </c>
      <c r="Z75" s="20">
        <v>238</v>
      </c>
      <c r="AA75" s="12"/>
    </row>
    <row r="76" spans="1:27" x14ac:dyDescent="0.25">
      <c r="A76" s="9" t="s">
        <v>61</v>
      </c>
      <c r="B76" s="44">
        <v>217.6</v>
      </c>
      <c r="C76" s="21">
        <v>238.4</v>
      </c>
      <c r="D76" s="21">
        <v>256.7</v>
      </c>
      <c r="E76" s="21">
        <v>296.10000000000002</v>
      </c>
      <c r="F76" s="21">
        <v>305.60000000000002</v>
      </c>
      <c r="G76" s="118">
        <v>327</v>
      </c>
      <c r="H76" s="118">
        <v>404</v>
      </c>
      <c r="I76" s="118">
        <v>608</v>
      </c>
      <c r="J76" s="118">
        <v>683</v>
      </c>
      <c r="K76" s="21">
        <v>739.1</v>
      </c>
      <c r="L76" s="117">
        <v>668</v>
      </c>
      <c r="M76" s="117">
        <v>707</v>
      </c>
      <c r="N76" s="117">
        <v>684</v>
      </c>
      <c r="O76" s="117">
        <v>648</v>
      </c>
      <c r="P76" s="117">
        <v>1122</v>
      </c>
      <c r="Q76" s="117">
        <v>1059</v>
      </c>
      <c r="R76" s="117">
        <v>779</v>
      </c>
      <c r="S76" s="118">
        <v>840</v>
      </c>
      <c r="T76" s="21">
        <v>809.4</v>
      </c>
      <c r="U76" s="139">
        <v>968</v>
      </c>
      <c r="V76" s="134">
        <v>1033</v>
      </c>
      <c r="W76" s="134">
        <v>1349</v>
      </c>
      <c r="X76" s="117">
        <v>1295</v>
      </c>
      <c r="Y76" s="117">
        <v>1475</v>
      </c>
      <c r="Z76" s="20">
        <v>1620</v>
      </c>
      <c r="AA76" s="12"/>
    </row>
    <row r="77" spans="1:27" x14ac:dyDescent="0.25">
      <c r="A77" s="9" t="s">
        <v>62</v>
      </c>
      <c r="B77" s="44">
        <v>159.4</v>
      </c>
      <c r="C77" s="21">
        <v>196.9</v>
      </c>
      <c r="D77" s="21">
        <v>236.4</v>
      </c>
      <c r="E77" s="21">
        <v>245.8</v>
      </c>
      <c r="F77" s="21">
        <v>291.8</v>
      </c>
      <c r="G77" s="118">
        <v>298</v>
      </c>
      <c r="H77" s="118">
        <v>427</v>
      </c>
      <c r="I77" s="118">
        <v>522</v>
      </c>
      <c r="J77" s="118">
        <v>624</v>
      </c>
      <c r="K77" s="21">
        <v>669.6</v>
      </c>
      <c r="L77" s="117">
        <v>581</v>
      </c>
      <c r="M77" s="117">
        <v>637</v>
      </c>
      <c r="N77" s="117">
        <v>527</v>
      </c>
      <c r="O77" s="117">
        <v>771</v>
      </c>
      <c r="P77" s="117">
        <v>941</v>
      </c>
      <c r="Q77" s="117">
        <v>950</v>
      </c>
      <c r="R77" s="117">
        <v>680</v>
      </c>
      <c r="S77" s="118">
        <v>804</v>
      </c>
      <c r="T77" s="21">
        <v>672.5</v>
      </c>
      <c r="U77" s="139">
        <v>780</v>
      </c>
      <c r="V77" s="134">
        <v>1057</v>
      </c>
      <c r="W77" s="134">
        <v>1197</v>
      </c>
      <c r="X77" s="117">
        <v>1236</v>
      </c>
      <c r="Y77" s="117">
        <v>1572</v>
      </c>
      <c r="Z77" s="20">
        <v>1540</v>
      </c>
      <c r="AA77" s="12"/>
    </row>
    <row r="78" spans="1:27" x14ac:dyDescent="0.25">
      <c r="A78" s="4" t="s">
        <v>63</v>
      </c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7"/>
      <c r="M78" s="117"/>
      <c r="N78" s="117"/>
      <c r="O78" s="117"/>
      <c r="P78" s="117"/>
      <c r="Q78" s="117"/>
      <c r="R78" s="117"/>
      <c r="S78" s="118"/>
      <c r="T78" s="118"/>
      <c r="U78" s="139"/>
      <c r="V78" s="134"/>
      <c r="W78" s="134"/>
      <c r="X78" s="117"/>
      <c r="Y78" s="117"/>
      <c r="Z78" s="20"/>
      <c r="AA78" s="12"/>
    </row>
    <row r="79" spans="1:27" ht="19.5" customHeight="1" x14ac:dyDescent="0.25">
      <c r="A79" s="14" t="s">
        <v>147</v>
      </c>
      <c r="B79" s="44">
        <v>47.8</v>
      </c>
      <c r="C79" s="21">
        <v>56.3</v>
      </c>
      <c r="D79" s="21">
        <v>64.599999999999994</v>
      </c>
      <c r="E79" s="21">
        <v>76.099999999999994</v>
      </c>
      <c r="F79" s="21">
        <v>93.5</v>
      </c>
      <c r="G79" s="118">
        <v>90</v>
      </c>
      <c r="H79" s="118">
        <v>115</v>
      </c>
      <c r="I79" s="118">
        <v>186</v>
      </c>
      <c r="J79" s="118">
        <v>185</v>
      </c>
      <c r="K79" s="21">
        <v>229.7</v>
      </c>
      <c r="L79" s="117">
        <v>155</v>
      </c>
      <c r="M79" s="117">
        <v>137</v>
      </c>
      <c r="N79" s="117">
        <v>163</v>
      </c>
      <c r="O79" s="117">
        <v>193</v>
      </c>
      <c r="P79" s="117">
        <v>215</v>
      </c>
      <c r="Q79" s="117">
        <v>138</v>
      </c>
      <c r="R79" s="117">
        <v>109</v>
      </c>
      <c r="S79" s="118">
        <v>116</v>
      </c>
      <c r="T79" s="21">
        <v>122.9</v>
      </c>
      <c r="U79" s="139">
        <v>221</v>
      </c>
      <c r="V79" s="134">
        <v>392</v>
      </c>
      <c r="W79" s="134">
        <v>341</v>
      </c>
      <c r="X79" s="117">
        <v>231</v>
      </c>
      <c r="Y79" s="117">
        <v>408</v>
      </c>
      <c r="Z79" s="20">
        <v>335</v>
      </c>
      <c r="AA79" s="12"/>
    </row>
    <row r="80" spans="1:27" ht="19.5" x14ac:dyDescent="0.25">
      <c r="A80" s="14" t="s">
        <v>64</v>
      </c>
      <c r="B80" s="44">
        <v>6.5</v>
      </c>
      <c r="C80" s="21">
        <v>9.1999999999999993</v>
      </c>
      <c r="D80" s="21">
        <v>14.8</v>
      </c>
      <c r="E80" s="21">
        <v>11.1</v>
      </c>
      <c r="F80" s="21">
        <v>17.8</v>
      </c>
      <c r="G80" s="118">
        <v>17</v>
      </c>
      <c r="H80" s="118">
        <v>31</v>
      </c>
      <c r="I80" s="118">
        <v>45</v>
      </c>
      <c r="J80" s="118">
        <v>31</v>
      </c>
      <c r="K80" s="21">
        <v>26.9</v>
      </c>
      <c r="L80" s="117">
        <v>24</v>
      </c>
      <c r="M80" s="117">
        <v>33</v>
      </c>
      <c r="N80" s="117">
        <v>25</v>
      </c>
      <c r="O80" s="117">
        <v>34</v>
      </c>
      <c r="P80" s="117">
        <v>34</v>
      </c>
      <c r="Q80" s="117">
        <v>31</v>
      </c>
      <c r="R80" s="117">
        <v>25</v>
      </c>
      <c r="S80" s="118">
        <v>32</v>
      </c>
      <c r="T80" s="21">
        <v>44.2</v>
      </c>
      <c r="U80" s="139">
        <v>39</v>
      </c>
      <c r="V80" s="134">
        <v>54</v>
      </c>
      <c r="W80" s="134">
        <v>55</v>
      </c>
      <c r="X80" s="117">
        <v>66</v>
      </c>
      <c r="Y80" s="117">
        <v>65</v>
      </c>
      <c r="Z80" s="20">
        <v>105</v>
      </c>
      <c r="AA80" s="12"/>
    </row>
    <row r="81" spans="1:27" ht="19.5" x14ac:dyDescent="0.25">
      <c r="A81" s="14" t="s">
        <v>87</v>
      </c>
      <c r="B81" s="44">
        <v>104</v>
      </c>
      <c r="C81" s="21">
        <v>132</v>
      </c>
      <c r="D81" s="21">
        <v>156</v>
      </c>
      <c r="E81" s="21">
        <v>159</v>
      </c>
      <c r="F81" s="21">
        <v>180</v>
      </c>
      <c r="G81" s="118">
        <v>191</v>
      </c>
      <c r="H81" s="118">
        <v>281</v>
      </c>
      <c r="I81" s="118">
        <v>290</v>
      </c>
      <c r="J81" s="118">
        <v>408</v>
      </c>
      <c r="K81" s="21">
        <v>413</v>
      </c>
      <c r="L81" s="117">
        <v>391</v>
      </c>
      <c r="M81" s="117">
        <v>467</v>
      </c>
      <c r="N81" s="117">
        <v>338</v>
      </c>
      <c r="O81" s="117">
        <v>543</v>
      </c>
      <c r="P81" s="117">
        <v>693</v>
      </c>
      <c r="Q81" s="117">
        <v>781</v>
      </c>
      <c r="R81" s="117">
        <v>545</v>
      </c>
      <c r="S81" s="118">
        <v>656</v>
      </c>
      <c r="T81" s="21">
        <v>505.4</v>
      </c>
      <c r="U81" s="139">
        <v>520</v>
      </c>
      <c r="V81" s="134">
        <v>611</v>
      </c>
      <c r="W81" s="134">
        <v>800</v>
      </c>
      <c r="X81" s="117">
        <v>938</v>
      </c>
      <c r="Y81" s="117">
        <v>1099</v>
      </c>
      <c r="Z81" s="20">
        <v>1100</v>
      </c>
      <c r="AA81" s="12"/>
    </row>
    <row r="82" spans="1:27" x14ac:dyDescent="0.25">
      <c r="A82" s="9" t="s">
        <v>65</v>
      </c>
      <c r="B82" s="44">
        <v>153.5</v>
      </c>
      <c r="C82" s="21">
        <v>188.6</v>
      </c>
      <c r="D82" s="21">
        <v>232.7</v>
      </c>
      <c r="E82" s="21">
        <v>245.4</v>
      </c>
      <c r="F82" s="21">
        <v>290.8</v>
      </c>
      <c r="G82" s="118">
        <v>423</v>
      </c>
      <c r="H82" s="118">
        <v>479</v>
      </c>
      <c r="I82" s="118">
        <v>695</v>
      </c>
      <c r="J82" s="118">
        <v>737</v>
      </c>
      <c r="K82" s="21">
        <v>783.3</v>
      </c>
      <c r="L82" s="117">
        <v>492</v>
      </c>
      <c r="M82" s="117">
        <v>401</v>
      </c>
      <c r="N82" s="117">
        <v>436</v>
      </c>
      <c r="O82" s="117">
        <v>554</v>
      </c>
      <c r="P82" s="117">
        <v>773</v>
      </c>
      <c r="Q82" s="117">
        <v>771</v>
      </c>
      <c r="R82" s="117">
        <v>454</v>
      </c>
      <c r="S82" s="118">
        <v>519</v>
      </c>
      <c r="T82" s="21">
        <v>661.7</v>
      </c>
      <c r="U82" s="139">
        <v>706</v>
      </c>
      <c r="V82" s="134">
        <v>707</v>
      </c>
      <c r="W82" s="134">
        <v>1031</v>
      </c>
      <c r="X82" s="117">
        <v>1078</v>
      </c>
      <c r="Y82" s="117">
        <v>1129</v>
      </c>
      <c r="Z82" s="20">
        <v>1160</v>
      </c>
      <c r="AA82" s="12"/>
    </row>
    <row r="83" spans="1:27" ht="18" x14ac:dyDescent="0.25">
      <c r="A83" s="8" t="s">
        <v>248</v>
      </c>
      <c r="B83" s="42">
        <v>870</v>
      </c>
      <c r="C83" s="22">
        <v>888</v>
      </c>
      <c r="D83" s="22">
        <v>990</v>
      </c>
      <c r="E83" s="22">
        <v>1088</v>
      </c>
      <c r="F83" s="26">
        <v>1228</v>
      </c>
      <c r="G83" s="22">
        <v>1399</v>
      </c>
      <c r="H83" s="120">
        <v>1819</v>
      </c>
      <c r="I83" s="120">
        <v>2303</v>
      </c>
      <c r="J83" s="120">
        <v>2325</v>
      </c>
      <c r="K83" s="22">
        <v>2177</v>
      </c>
      <c r="L83" s="121">
        <v>2040</v>
      </c>
      <c r="M83" s="121">
        <v>2333</v>
      </c>
      <c r="N83" s="121">
        <v>2460</v>
      </c>
      <c r="O83" s="121">
        <v>2707</v>
      </c>
      <c r="P83" s="121">
        <v>3347</v>
      </c>
      <c r="Q83" s="121">
        <v>3003</v>
      </c>
      <c r="R83" s="121">
        <v>2641</v>
      </c>
      <c r="S83" s="120">
        <v>2540</v>
      </c>
      <c r="T83" s="22">
        <v>2834.2</v>
      </c>
      <c r="U83" s="105">
        <v>3590</v>
      </c>
      <c r="V83" s="133">
        <v>3442</v>
      </c>
      <c r="W83" s="133">
        <v>4319</v>
      </c>
      <c r="X83" s="121">
        <v>4278</v>
      </c>
      <c r="Y83" s="121">
        <v>5086</v>
      </c>
      <c r="Z83" s="26">
        <v>5570</v>
      </c>
      <c r="AA83" s="12"/>
    </row>
    <row r="84" spans="1:27" x14ac:dyDescent="0.25">
      <c r="A84" s="9" t="s">
        <v>66</v>
      </c>
      <c r="B84" s="44">
        <v>16</v>
      </c>
      <c r="C84" s="21">
        <v>11.9</v>
      </c>
      <c r="D84" s="21">
        <v>21</v>
      </c>
      <c r="E84" s="21">
        <v>21.5</v>
      </c>
      <c r="F84" s="20">
        <v>29.7</v>
      </c>
      <c r="G84" s="21">
        <v>27</v>
      </c>
      <c r="H84" s="118">
        <v>27</v>
      </c>
      <c r="I84" s="118">
        <v>37</v>
      </c>
      <c r="J84" s="118">
        <v>40</v>
      </c>
      <c r="K84" s="21">
        <v>41.6</v>
      </c>
      <c r="L84" s="117">
        <v>48</v>
      </c>
      <c r="M84" s="117">
        <v>64</v>
      </c>
      <c r="N84" s="117">
        <v>48</v>
      </c>
      <c r="O84" s="117">
        <v>61</v>
      </c>
      <c r="P84" s="117">
        <v>70</v>
      </c>
      <c r="Q84" s="117">
        <v>87</v>
      </c>
      <c r="R84" s="117">
        <v>96</v>
      </c>
      <c r="S84" s="118">
        <v>110</v>
      </c>
      <c r="T84" s="21">
        <v>98</v>
      </c>
      <c r="U84" s="139">
        <v>79</v>
      </c>
      <c r="V84" s="134">
        <v>82</v>
      </c>
      <c r="W84" s="134">
        <v>148</v>
      </c>
      <c r="X84" s="117">
        <v>154</v>
      </c>
      <c r="Y84" s="117">
        <v>178</v>
      </c>
      <c r="Z84" s="20">
        <v>200</v>
      </c>
      <c r="AA84" s="12"/>
    </row>
    <row r="85" spans="1:27" x14ac:dyDescent="0.25">
      <c r="A85" s="9" t="s">
        <v>68</v>
      </c>
      <c r="B85" s="44">
        <v>10.5</v>
      </c>
      <c r="C85" s="21">
        <v>8.6</v>
      </c>
      <c r="D85" s="21">
        <v>5.8</v>
      </c>
      <c r="E85" s="21">
        <v>4.8</v>
      </c>
      <c r="F85" s="21">
        <v>10.6</v>
      </c>
      <c r="G85" s="21">
        <v>8.5</v>
      </c>
      <c r="H85" s="118">
        <v>22</v>
      </c>
      <c r="I85" s="118">
        <v>28</v>
      </c>
      <c r="J85" s="118">
        <v>40</v>
      </c>
      <c r="K85" s="21">
        <v>36.1</v>
      </c>
      <c r="L85" s="117">
        <v>40</v>
      </c>
      <c r="M85" s="117">
        <v>44</v>
      </c>
      <c r="N85" s="117">
        <v>50</v>
      </c>
      <c r="O85" s="117">
        <v>70</v>
      </c>
      <c r="P85" s="117">
        <v>81</v>
      </c>
      <c r="Q85" s="117">
        <v>88</v>
      </c>
      <c r="R85" s="117">
        <v>82</v>
      </c>
      <c r="S85" s="118">
        <v>77</v>
      </c>
      <c r="T85" s="21">
        <v>75.5</v>
      </c>
      <c r="U85" s="139">
        <v>81</v>
      </c>
      <c r="V85" s="134">
        <v>75</v>
      </c>
      <c r="W85" s="134">
        <v>96</v>
      </c>
      <c r="X85" s="117">
        <v>121</v>
      </c>
      <c r="Y85" s="117">
        <v>128</v>
      </c>
      <c r="Z85" s="20">
        <v>298</v>
      </c>
      <c r="AA85" s="12"/>
    </row>
    <row r="86" spans="1:27" x14ac:dyDescent="0.25">
      <c r="A86" s="9" t="s">
        <v>69</v>
      </c>
      <c r="B86" s="44">
        <v>47.6</v>
      </c>
      <c r="C86" s="21">
        <v>39.299999999999997</v>
      </c>
      <c r="D86" s="21">
        <v>58</v>
      </c>
      <c r="E86" s="21">
        <v>49.7</v>
      </c>
      <c r="F86" s="21">
        <v>59.1</v>
      </c>
      <c r="G86" s="21">
        <v>62.3</v>
      </c>
      <c r="H86" s="118">
        <v>81</v>
      </c>
      <c r="I86" s="118">
        <v>100</v>
      </c>
      <c r="J86" s="118">
        <v>95</v>
      </c>
      <c r="K86" s="21">
        <v>108.7</v>
      </c>
      <c r="L86" s="117">
        <v>77</v>
      </c>
      <c r="M86" s="117">
        <v>66</v>
      </c>
      <c r="N86" s="117">
        <v>82</v>
      </c>
      <c r="O86" s="117">
        <v>80</v>
      </c>
      <c r="P86" s="117">
        <v>160</v>
      </c>
      <c r="Q86" s="117">
        <v>120</v>
      </c>
      <c r="R86" s="117">
        <v>60</v>
      </c>
      <c r="S86" s="118">
        <v>86</v>
      </c>
      <c r="T86" s="21">
        <v>112.8</v>
      </c>
      <c r="U86" s="139">
        <v>142</v>
      </c>
      <c r="V86" s="134">
        <v>132</v>
      </c>
      <c r="W86" s="134">
        <v>237</v>
      </c>
      <c r="X86" s="117">
        <v>176</v>
      </c>
      <c r="Y86" s="117">
        <v>225</v>
      </c>
      <c r="Z86" s="20">
        <v>210</v>
      </c>
      <c r="AA86" s="12"/>
    </row>
    <row r="87" spans="1:27" x14ac:dyDescent="0.25">
      <c r="A87" s="9" t="s">
        <v>70</v>
      </c>
      <c r="B87" s="44">
        <v>267.10000000000002</v>
      </c>
      <c r="C87" s="21">
        <v>285.89999999999998</v>
      </c>
      <c r="D87" s="21">
        <v>267.2</v>
      </c>
      <c r="E87" s="21">
        <v>267.8</v>
      </c>
      <c r="F87" s="21">
        <v>227.9</v>
      </c>
      <c r="G87" s="21">
        <v>238.4</v>
      </c>
      <c r="H87" s="118">
        <v>263</v>
      </c>
      <c r="I87" s="118">
        <v>361</v>
      </c>
      <c r="J87" s="118">
        <v>355</v>
      </c>
      <c r="K87" s="21">
        <v>327.60000000000002</v>
      </c>
      <c r="L87" s="117">
        <v>271</v>
      </c>
      <c r="M87" s="117">
        <v>300</v>
      </c>
      <c r="N87" s="117">
        <v>365</v>
      </c>
      <c r="O87" s="117">
        <v>352</v>
      </c>
      <c r="P87" s="117">
        <v>344</v>
      </c>
      <c r="Q87" s="117">
        <v>296</v>
      </c>
      <c r="R87" s="117">
        <v>234</v>
      </c>
      <c r="S87" s="118">
        <v>254</v>
      </c>
      <c r="T87" s="21">
        <v>308</v>
      </c>
      <c r="U87" s="139">
        <v>333</v>
      </c>
      <c r="V87" s="134">
        <v>341</v>
      </c>
      <c r="W87" s="134">
        <v>417</v>
      </c>
      <c r="X87" s="117">
        <v>470</v>
      </c>
      <c r="Y87" s="117">
        <v>586</v>
      </c>
      <c r="Z87" s="20">
        <v>572</v>
      </c>
      <c r="AA87" s="12"/>
    </row>
    <row r="88" spans="1:27" x14ac:dyDescent="0.25">
      <c r="A88" s="9" t="s">
        <v>72</v>
      </c>
      <c r="B88" s="44">
        <v>102.5</v>
      </c>
      <c r="C88" s="21">
        <v>101.1</v>
      </c>
      <c r="D88" s="21">
        <v>127.4</v>
      </c>
      <c r="E88" s="21">
        <v>169.5</v>
      </c>
      <c r="F88" s="20">
        <v>176.7</v>
      </c>
      <c r="G88" s="21">
        <v>160.30000000000001</v>
      </c>
      <c r="H88" s="118">
        <v>205</v>
      </c>
      <c r="I88" s="118">
        <v>308</v>
      </c>
      <c r="J88" s="118">
        <v>279</v>
      </c>
      <c r="K88" s="21">
        <v>294</v>
      </c>
      <c r="L88" s="117">
        <v>236</v>
      </c>
      <c r="M88" s="117">
        <v>238</v>
      </c>
      <c r="N88" s="117">
        <v>267</v>
      </c>
      <c r="O88" s="117">
        <v>323</v>
      </c>
      <c r="P88" s="117">
        <v>470</v>
      </c>
      <c r="Q88" s="117">
        <v>461</v>
      </c>
      <c r="R88" s="117">
        <v>295</v>
      </c>
      <c r="S88" s="118">
        <v>288</v>
      </c>
      <c r="T88" s="21">
        <v>323.3</v>
      </c>
      <c r="U88" s="139">
        <v>848</v>
      </c>
      <c r="V88" s="134">
        <v>557</v>
      </c>
      <c r="W88" s="134">
        <v>597</v>
      </c>
      <c r="X88" s="117">
        <v>541</v>
      </c>
      <c r="Y88" s="117">
        <v>699</v>
      </c>
      <c r="Z88" s="20">
        <v>662</v>
      </c>
      <c r="AA88" s="12"/>
    </row>
    <row r="89" spans="1:27" x14ac:dyDescent="0.25">
      <c r="A89" s="9" t="s">
        <v>73</v>
      </c>
      <c r="B89" s="44">
        <v>52.2</v>
      </c>
      <c r="C89" s="21">
        <v>65.599999999999994</v>
      </c>
      <c r="D89" s="21">
        <v>73.8</v>
      </c>
      <c r="E89" s="21">
        <v>87.8</v>
      </c>
      <c r="F89" s="20">
        <v>101.9</v>
      </c>
      <c r="G89" s="21">
        <v>97.6</v>
      </c>
      <c r="H89" s="118">
        <v>115</v>
      </c>
      <c r="I89" s="118">
        <v>142</v>
      </c>
      <c r="J89" s="118">
        <v>188</v>
      </c>
      <c r="K89" s="21">
        <v>137</v>
      </c>
      <c r="L89" s="117">
        <v>109</v>
      </c>
      <c r="M89" s="117">
        <v>210</v>
      </c>
      <c r="N89" s="117">
        <v>209</v>
      </c>
      <c r="O89" s="117">
        <v>359</v>
      </c>
      <c r="P89" s="117">
        <v>292</v>
      </c>
      <c r="Q89" s="117">
        <v>214</v>
      </c>
      <c r="R89" s="117">
        <v>320</v>
      </c>
      <c r="S89" s="118">
        <v>323</v>
      </c>
      <c r="T89" s="21">
        <v>588.29999999999995</v>
      </c>
      <c r="U89" s="139">
        <v>627</v>
      </c>
      <c r="V89" s="134">
        <v>645</v>
      </c>
      <c r="W89" s="134">
        <v>908</v>
      </c>
      <c r="X89" s="117">
        <v>838</v>
      </c>
      <c r="Y89" s="117">
        <v>1016</v>
      </c>
      <c r="Z89" s="20">
        <v>1200</v>
      </c>
      <c r="AA89" s="12"/>
    </row>
    <row r="90" spans="1:27" x14ac:dyDescent="0.25">
      <c r="A90" s="9" t="s">
        <v>74</v>
      </c>
      <c r="B90" s="44">
        <v>130.1</v>
      </c>
      <c r="C90" s="21">
        <v>148.30000000000001</v>
      </c>
      <c r="D90" s="21">
        <v>195.3</v>
      </c>
      <c r="E90" s="21">
        <v>212</v>
      </c>
      <c r="F90" s="20">
        <v>292.8</v>
      </c>
      <c r="G90" s="21">
        <v>346.4</v>
      </c>
      <c r="H90" s="118">
        <v>364</v>
      </c>
      <c r="I90" s="118">
        <v>439</v>
      </c>
      <c r="J90" s="118">
        <v>395</v>
      </c>
      <c r="K90" s="21">
        <v>431.4</v>
      </c>
      <c r="L90" s="117">
        <v>436</v>
      </c>
      <c r="M90" s="117">
        <v>498</v>
      </c>
      <c r="N90" s="117">
        <v>615</v>
      </c>
      <c r="O90" s="117">
        <v>563</v>
      </c>
      <c r="P90" s="117">
        <v>583</v>
      </c>
      <c r="Q90" s="117">
        <v>529</v>
      </c>
      <c r="R90" s="117">
        <v>549</v>
      </c>
      <c r="S90" s="118">
        <v>544</v>
      </c>
      <c r="T90" s="21">
        <v>385.4</v>
      </c>
      <c r="U90" s="139">
        <v>443</v>
      </c>
      <c r="V90" s="134">
        <v>598</v>
      </c>
      <c r="W90" s="134">
        <v>578</v>
      </c>
      <c r="X90" s="117">
        <v>456</v>
      </c>
      <c r="Y90" s="117">
        <v>586</v>
      </c>
      <c r="Z90" s="20">
        <v>608</v>
      </c>
      <c r="AA90" s="12"/>
    </row>
    <row r="91" spans="1:27" x14ac:dyDescent="0.25">
      <c r="A91" s="9" t="s">
        <v>75</v>
      </c>
      <c r="B91" s="44">
        <v>98</v>
      </c>
      <c r="C91" s="21">
        <v>119.3</v>
      </c>
      <c r="D91" s="21">
        <v>130.1</v>
      </c>
      <c r="E91" s="21">
        <v>121.6</v>
      </c>
      <c r="F91" s="20">
        <v>134.6</v>
      </c>
      <c r="G91" s="21">
        <v>146.69999999999999</v>
      </c>
      <c r="H91" s="118">
        <v>344</v>
      </c>
      <c r="I91" s="118">
        <v>385</v>
      </c>
      <c r="J91" s="118">
        <v>413</v>
      </c>
      <c r="K91" s="21">
        <v>340.9</v>
      </c>
      <c r="L91" s="117">
        <v>319</v>
      </c>
      <c r="M91" s="117">
        <v>362</v>
      </c>
      <c r="N91" s="117">
        <v>407</v>
      </c>
      <c r="O91" s="117">
        <v>465</v>
      </c>
      <c r="P91" s="117">
        <v>836</v>
      </c>
      <c r="Q91" s="117">
        <v>684</v>
      </c>
      <c r="R91" s="117">
        <v>604</v>
      </c>
      <c r="S91" s="118">
        <v>518</v>
      </c>
      <c r="T91" s="21">
        <v>603.5</v>
      </c>
      <c r="U91" s="139">
        <v>541</v>
      </c>
      <c r="V91" s="134">
        <v>498</v>
      </c>
      <c r="W91" s="134">
        <v>668</v>
      </c>
      <c r="X91" s="117">
        <v>834</v>
      </c>
      <c r="Y91" s="117">
        <v>899</v>
      </c>
      <c r="Z91" s="20">
        <v>945</v>
      </c>
      <c r="AA91" s="12"/>
    </row>
    <row r="92" spans="1:27" x14ac:dyDescent="0.25">
      <c r="A92" s="9" t="s">
        <v>76</v>
      </c>
      <c r="B92" s="44">
        <v>84.6</v>
      </c>
      <c r="C92" s="21">
        <v>58</v>
      </c>
      <c r="D92" s="21">
        <v>65.900000000000006</v>
      </c>
      <c r="E92" s="21">
        <v>104.9</v>
      </c>
      <c r="F92" s="20">
        <v>135.1</v>
      </c>
      <c r="G92" s="21">
        <v>258.5</v>
      </c>
      <c r="H92" s="118">
        <v>309</v>
      </c>
      <c r="I92" s="118">
        <v>401</v>
      </c>
      <c r="J92" s="118">
        <v>409</v>
      </c>
      <c r="K92" s="21">
        <v>337.1</v>
      </c>
      <c r="L92" s="117">
        <v>356</v>
      </c>
      <c r="M92" s="117">
        <v>443</v>
      </c>
      <c r="N92" s="117">
        <v>302</v>
      </c>
      <c r="O92" s="117">
        <v>263</v>
      </c>
      <c r="P92" s="117">
        <v>219</v>
      </c>
      <c r="Q92" s="117">
        <v>242</v>
      </c>
      <c r="R92" s="117">
        <v>191</v>
      </c>
      <c r="S92" s="118">
        <v>170</v>
      </c>
      <c r="T92" s="21">
        <v>179.8</v>
      </c>
      <c r="U92" s="139">
        <v>314</v>
      </c>
      <c r="V92" s="134">
        <v>256</v>
      </c>
      <c r="W92" s="134">
        <v>370</v>
      </c>
      <c r="X92" s="117">
        <v>432</v>
      </c>
      <c r="Y92" s="117">
        <v>495</v>
      </c>
      <c r="Z92" s="20">
        <v>582</v>
      </c>
      <c r="AA92" s="12"/>
    </row>
    <row r="93" spans="1:27" x14ac:dyDescent="0.25">
      <c r="A93" s="9" t="s">
        <v>77</v>
      </c>
      <c r="B93" s="44">
        <v>61.7</v>
      </c>
      <c r="C93" s="21">
        <v>49.8</v>
      </c>
      <c r="D93" s="21">
        <v>45.4</v>
      </c>
      <c r="E93" s="21">
        <v>48.5</v>
      </c>
      <c r="F93" s="20">
        <v>59.3</v>
      </c>
      <c r="G93" s="21">
        <v>52.8</v>
      </c>
      <c r="H93" s="118">
        <v>89</v>
      </c>
      <c r="I93" s="118">
        <v>102</v>
      </c>
      <c r="J93" s="118">
        <v>111</v>
      </c>
      <c r="K93" s="21">
        <v>122.8</v>
      </c>
      <c r="L93" s="117">
        <v>151</v>
      </c>
      <c r="M93" s="117">
        <v>108</v>
      </c>
      <c r="N93" s="117">
        <v>116</v>
      </c>
      <c r="O93" s="117">
        <v>171</v>
      </c>
      <c r="P93" s="117">
        <v>293</v>
      </c>
      <c r="Q93" s="117">
        <v>281</v>
      </c>
      <c r="R93" s="117">
        <v>211</v>
      </c>
      <c r="S93" s="118">
        <v>170</v>
      </c>
      <c r="T93" s="21">
        <v>159.69999999999999</v>
      </c>
      <c r="U93" s="139">
        <v>183</v>
      </c>
      <c r="V93" s="134">
        <v>258</v>
      </c>
      <c r="W93" s="134">
        <v>300</v>
      </c>
      <c r="X93" s="117">
        <v>255</v>
      </c>
      <c r="Y93" s="117">
        <v>275</v>
      </c>
      <c r="Z93" s="20">
        <v>293</v>
      </c>
      <c r="AA93" s="12"/>
    </row>
    <row r="94" spans="1:27" ht="18" x14ac:dyDescent="0.25">
      <c r="A94" s="8" t="s">
        <v>91</v>
      </c>
      <c r="B94" s="42">
        <v>475</v>
      </c>
      <c r="C94" s="22">
        <v>499</v>
      </c>
      <c r="D94" s="22">
        <v>460</v>
      </c>
      <c r="E94" s="22">
        <v>464</v>
      </c>
      <c r="F94" s="26">
        <v>442</v>
      </c>
      <c r="G94" s="22">
        <v>497</v>
      </c>
      <c r="H94" s="22">
        <v>540</v>
      </c>
      <c r="I94" s="120">
        <v>730</v>
      </c>
      <c r="J94" s="120">
        <v>756</v>
      </c>
      <c r="K94" s="22">
        <v>814</v>
      </c>
      <c r="L94" s="121">
        <v>772</v>
      </c>
      <c r="M94" s="121">
        <v>918</v>
      </c>
      <c r="N94" s="121">
        <v>1004</v>
      </c>
      <c r="O94" s="121">
        <v>1146</v>
      </c>
      <c r="P94" s="121">
        <v>1298</v>
      </c>
      <c r="Q94" s="121">
        <v>1132</v>
      </c>
      <c r="R94" s="121">
        <v>1246</v>
      </c>
      <c r="S94" s="120">
        <v>1072</v>
      </c>
      <c r="T94" s="22">
        <v>994.2</v>
      </c>
      <c r="U94" s="105">
        <v>1297</v>
      </c>
      <c r="V94" s="133">
        <v>1209</v>
      </c>
      <c r="W94" s="133">
        <v>1605</v>
      </c>
      <c r="X94" s="121">
        <v>1986</v>
      </c>
      <c r="Y94" s="121">
        <v>2292</v>
      </c>
      <c r="Z94" s="26">
        <v>2538</v>
      </c>
      <c r="AA94" s="12"/>
    </row>
    <row r="95" spans="1:27" x14ac:dyDescent="0.25">
      <c r="A95" s="9" t="s">
        <v>67</v>
      </c>
      <c r="B95" s="44">
        <v>129.9</v>
      </c>
      <c r="C95" s="21">
        <v>140.69999999999999</v>
      </c>
      <c r="D95" s="21">
        <v>149.69999999999999</v>
      </c>
      <c r="E95" s="21">
        <v>149.6</v>
      </c>
      <c r="F95" s="21">
        <v>131.69999999999999</v>
      </c>
      <c r="G95" s="21">
        <v>126.2</v>
      </c>
      <c r="H95" s="118">
        <v>137</v>
      </c>
      <c r="I95" s="118">
        <v>199</v>
      </c>
      <c r="J95" s="118">
        <v>193</v>
      </c>
      <c r="K95" s="21">
        <v>170.5</v>
      </c>
      <c r="L95" s="117">
        <v>199</v>
      </c>
      <c r="M95" s="117">
        <v>215</v>
      </c>
      <c r="N95" s="117">
        <v>238</v>
      </c>
      <c r="O95" s="117">
        <v>262</v>
      </c>
      <c r="P95" s="117">
        <v>219</v>
      </c>
      <c r="Q95" s="117">
        <v>187</v>
      </c>
      <c r="R95" s="117">
        <v>176</v>
      </c>
      <c r="S95" s="118">
        <v>140</v>
      </c>
      <c r="T95" s="21">
        <v>130.69999999999999</v>
      </c>
      <c r="U95" s="139">
        <v>213</v>
      </c>
      <c r="V95" s="134">
        <v>191</v>
      </c>
      <c r="W95" s="134">
        <v>205</v>
      </c>
      <c r="X95" s="117">
        <v>250</v>
      </c>
      <c r="Y95" s="117">
        <v>303</v>
      </c>
      <c r="Z95" s="20">
        <v>389</v>
      </c>
      <c r="AA95" s="12"/>
    </row>
    <row r="96" spans="1:27" x14ac:dyDescent="0.25">
      <c r="A96" s="9" t="s">
        <v>78</v>
      </c>
      <c r="B96" s="44">
        <v>162</v>
      </c>
      <c r="C96" s="21">
        <v>180.6</v>
      </c>
      <c r="D96" s="21">
        <v>110</v>
      </c>
      <c r="E96" s="21">
        <v>103.5</v>
      </c>
      <c r="F96" s="20">
        <v>87.2</v>
      </c>
      <c r="G96" s="21">
        <v>135.1</v>
      </c>
      <c r="H96" s="118">
        <v>125</v>
      </c>
      <c r="I96" s="118">
        <v>141</v>
      </c>
      <c r="J96" s="118">
        <v>135</v>
      </c>
      <c r="K96" s="21">
        <v>130</v>
      </c>
      <c r="L96" s="117">
        <v>137</v>
      </c>
      <c r="M96" s="117">
        <v>182</v>
      </c>
      <c r="N96" s="117">
        <v>185</v>
      </c>
      <c r="O96" s="117">
        <v>199</v>
      </c>
      <c r="P96" s="117">
        <v>223</v>
      </c>
      <c r="Q96" s="117">
        <v>227</v>
      </c>
      <c r="R96" s="117">
        <v>243</v>
      </c>
      <c r="S96" s="118">
        <v>204</v>
      </c>
      <c r="T96" s="21">
        <v>205.8</v>
      </c>
      <c r="U96" s="139">
        <v>248</v>
      </c>
      <c r="V96" s="134">
        <v>235</v>
      </c>
      <c r="W96" s="134">
        <v>346</v>
      </c>
      <c r="X96" s="117">
        <v>386</v>
      </c>
      <c r="Y96" s="117">
        <v>390</v>
      </c>
      <c r="Z96" s="20">
        <v>421</v>
      </c>
      <c r="AA96" s="12"/>
    </row>
    <row r="97" spans="1:27" x14ac:dyDescent="0.25">
      <c r="A97" s="9" t="s">
        <v>71</v>
      </c>
      <c r="B97" s="44">
        <v>30.3</v>
      </c>
      <c r="C97" s="21">
        <v>28.2</v>
      </c>
      <c r="D97" s="21">
        <v>27.2</v>
      </c>
      <c r="E97" s="21">
        <v>33.4</v>
      </c>
      <c r="F97" s="20">
        <v>29.8</v>
      </c>
      <c r="G97" s="21">
        <v>38.200000000000003</v>
      </c>
      <c r="H97" s="118">
        <v>45</v>
      </c>
      <c r="I97" s="118">
        <v>57</v>
      </c>
      <c r="J97" s="118">
        <v>65</v>
      </c>
      <c r="K97" s="21">
        <v>79.599999999999994</v>
      </c>
      <c r="L97" s="117">
        <v>77</v>
      </c>
      <c r="M97" s="117">
        <v>103</v>
      </c>
      <c r="N97" s="117">
        <v>87</v>
      </c>
      <c r="O97" s="117">
        <v>111</v>
      </c>
      <c r="P97" s="117">
        <v>156</v>
      </c>
      <c r="Q97" s="117">
        <v>80</v>
      </c>
      <c r="R97" s="117">
        <v>222</v>
      </c>
      <c r="S97" s="118">
        <v>155</v>
      </c>
      <c r="T97" s="21">
        <v>123.4</v>
      </c>
      <c r="U97" s="139">
        <v>169</v>
      </c>
      <c r="V97" s="134">
        <v>139</v>
      </c>
      <c r="W97" s="134">
        <v>147</v>
      </c>
      <c r="X97" s="117">
        <v>225</v>
      </c>
      <c r="Y97" s="117">
        <v>281</v>
      </c>
      <c r="Z97" s="20">
        <v>316.00700000000001</v>
      </c>
      <c r="AA97" s="12"/>
    </row>
    <row r="98" spans="1:27" x14ac:dyDescent="0.25">
      <c r="A98" s="9" t="s">
        <v>79</v>
      </c>
      <c r="B98" s="44">
        <v>2.7</v>
      </c>
      <c r="C98" s="21">
        <v>1.7</v>
      </c>
      <c r="D98" s="21">
        <v>8.1</v>
      </c>
      <c r="E98" s="21">
        <v>5.9</v>
      </c>
      <c r="F98" s="20">
        <v>11.8</v>
      </c>
      <c r="G98" s="21">
        <v>3.1</v>
      </c>
      <c r="H98" s="118">
        <v>8</v>
      </c>
      <c r="I98" s="118">
        <v>1</v>
      </c>
      <c r="J98" s="21">
        <v>1</v>
      </c>
      <c r="K98" s="21">
        <v>2.5</v>
      </c>
      <c r="L98" s="117">
        <v>2</v>
      </c>
      <c r="M98" s="117">
        <v>2</v>
      </c>
      <c r="N98" s="117">
        <v>24</v>
      </c>
      <c r="O98" s="117">
        <v>16</v>
      </c>
      <c r="P98" s="117">
        <v>26</v>
      </c>
      <c r="Q98" s="117">
        <v>34</v>
      </c>
      <c r="R98" s="117">
        <v>32</v>
      </c>
      <c r="S98" s="118">
        <v>30</v>
      </c>
      <c r="T98" s="21">
        <v>28.1</v>
      </c>
      <c r="U98" s="139">
        <v>23</v>
      </c>
      <c r="V98" s="134">
        <v>35</v>
      </c>
      <c r="W98" s="134">
        <v>41</v>
      </c>
      <c r="X98" s="117">
        <v>50</v>
      </c>
      <c r="Y98" s="117">
        <v>54</v>
      </c>
      <c r="Z98" s="20">
        <v>60</v>
      </c>
      <c r="AA98" s="12"/>
    </row>
    <row r="99" spans="1:27" x14ac:dyDescent="0.25">
      <c r="A99" s="9" t="s">
        <v>80</v>
      </c>
      <c r="B99" s="44">
        <v>66.599999999999994</v>
      </c>
      <c r="C99" s="21">
        <v>68.599999999999994</v>
      </c>
      <c r="D99" s="21">
        <v>83.4</v>
      </c>
      <c r="E99" s="21">
        <v>94.3</v>
      </c>
      <c r="F99" s="20">
        <v>100.2</v>
      </c>
      <c r="G99" s="21">
        <v>109.8</v>
      </c>
      <c r="H99" s="118">
        <v>128</v>
      </c>
      <c r="I99" s="118">
        <v>192</v>
      </c>
      <c r="J99" s="118">
        <v>206</v>
      </c>
      <c r="K99" s="21">
        <v>230.3</v>
      </c>
      <c r="L99" s="117">
        <v>185</v>
      </c>
      <c r="M99" s="117">
        <v>190</v>
      </c>
      <c r="N99" s="117">
        <v>203</v>
      </c>
      <c r="O99" s="117">
        <v>242</v>
      </c>
      <c r="P99" s="117">
        <v>384</v>
      </c>
      <c r="Q99" s="117">
        <v>254</v>
      </c>
      <c r="R99" s="117">
        <v>205</v>
      </c>
      <c r="S99" s="118">
        <v>204</v>
      </c>
      <c r="T99" s="21">
        <v>218.6</v>
      </c>
      <c r="U99" s="139">
        <v>280</v>
      </c>
      <c r="V99" s="134">
        <v>257</v>
      </c>
      <c r="W99" s="134">
        <v>350</v>
      </c>
      <c r="X99" s="117">
        <v>469</v>
      </c>
      <c r="Y99" s="117">
        <v>563</v>
      </c>
      <c r="Z99" s="20">
        <v>645</v>
      </c>
      <c r="AA99" s="12"/>
    </row>
    <row r="100" spans="1:27" x14ac:dyDescent="0.25">
      <c r="A100" s="9" t="s">
        <v>81</v>
      </c>
      <c r="B100" s="44">
        <v>24.8</v>
      </c>
      <c r="C100" s="21">
        <v>21.5</v>
      </c>
      <c r="D100" s="21">
        <v>28.7</v>
      </c>
      <c r="E100" s="21">
        <v>23.2</v>
      </c>
      <c r="F100" s="20">
        <v>31.3</v>
      </c>
      <c r="G100" s="21">
        <v>31</v>
      </c>
      <c r="H100" s="118">
        <v>33</v>
      </c>
      <c r="I100" s="118">
        <v>56</v>
      </c>
      <c r="J100" s="118">
        <v>53</v>
      </c>
      <c r="K100" s="21">
        <v>70</v>
      </c>
      <c r="L100" s="117">
        <v>50</v>
      </c>
      <c r="M100" s="117">
        <v>80</v>
      </c>
      <c r="N100" s="117">
        <v>97</v>
      </c>
      <c r="O100" s="117">
        <v>92</v>
      </c>
      <c r="P100" s="117">
        <v>94</v>
      </c>
      <c r="Q100" s="117">
        <v>156</v>
      </c>
      <c r="R100" s="117">
        <v>157</v>
      </c>
      <c r="S100" s="118">
        <v>129</v>
      </c>
      <c r="T100" s="21">
        <v>120.9</v>
      </c>
      <c r="U100" s="139">
        <v>118</v>
      </c>
      <c r="V100" s="134">
        <v>116</v>
      </c>
      <c r="W100" s="134">
        <v>152</v>
      </c>
      <c r="X100" s="117">
        <v>197</v>
      </c>
      <c r="Y100" s="117">
        <v>273</v>
      </c>
      <c r="Z100" s="20">
        <v>210</v>
      </c>
      <c r="AA100" s="12"/>
    </row>
    <row r="101" spans="1:27" x14ac:dyDescent="0.25">
      <c r="A101" s="9" t="s">
        <v>82</v>
      </c>
      <c r="B101" s="44">
        <v>34.4</v>
      </c>
      <c r="C101" s="21">
        <v>31.3</v>
      </c>
      <c r="D101" s="21">
        <v>28</v>
      </c>
      <c r="E101" s="21">
        <v>28.2</v>
      </c>
      <c r="F101" s="20">
        <v>23.6</v>
      </c>
      <c r="G101" s="21">
        <v>25.6</v>
      </c>
      <c r="H101" s="118">
        <v>32</v>
      </c>
      <c r="I101" s="21">
        <v>37</v>
      </c>
      <c r="J101" s="118">
        <v>36</v>
      </c>
      <c r="K101" s="21">
        <v>35.6</v>
      </c>
      <c r="L101" s="117">
        <v>36</v>
      </c>
      <c r="M101" s="117">
        <v>62</v>
      </c>
      <c r="N101" s="117">
        <v>63</v>
      </c>
      <c r="O101" s="117">
        <v>63</v>
      </c>
      <c r="P101" s="117">
        <v>54</v>
      </c>
      <c r="Q101" s="117">
        <v>48</v>
      </c>
      <c r="R101" s="117">
        <v>35</v>
      </c>
      <c r="S101" s="118">
        <v>32</v>
      </c>
      <c r="T101" s="21">
        <v>36.9</v>
      </c>
      <c r="U101" s="139">
        <v>61</v>
      </c>
      <c r="V101" s="134">
        <v>68</v>
      </c>
      <c r="W101" s="134">
        <v>113</v>
      </c>
      <c r="X101" s="117">
        <v>162</v>
      </c>
      <c r="Y101" s="117">
        <v>208</v>
      </c>
      <c r="Z101" s="20">
        <v>214</v>
      </c>
      <c r="AA101" s="12"/>
    </row>
    <row r="102" spans="1:27" x14ac:dyDescent="0.25">
      <c r="A102" s="9" t="s">
        <v>83</v>
      </c>
      <c r="B102" s="44">
        <v>0.7</v>
      </c>
      <c r="C102" s="21">
        <v>1</v>
      </c>
      <c r="D102" s="21">
        <v>0.6</v>
      </c>
      <c r="E102" s="21">
        <v>0.6</v>
      </c>
      <c r="F102" s="20">
        <v>0.5</v>
      </c>
      <c r="G102" s="49">
        <v>0.4</v>
      </c>
      <c r="H102" s="118">
        <v>0.3</v>
      </c>
      <c r="I102" s="118">
        <v>1</v>
      </c>
      <c r="J102" s="118">
        <v>2</v>
      </c>
      <c r="K102" s="21">
        <v>3.8</v>
      </c>
      <c r="L102" s="117">
        <v>6</v>
      </c>
      <c r="M102" s="117">
        <v>7</v>
      </c>
      <c r="N102" s="117">
        <v>2</v>
      </c>
      <c r="O102" s="117">
        <v>1</v>
      </c>
      <c r="P102" s="117">
        <v>2</v>
      </c>
      <c r="Q102" s="117">
        <v>2</v>
      </c>
      <c r="R102" s="117">
        <v>2</v>
      </c>
      <c r="S102" s="118">
        <v>5</v>
      </c>
      <c r="T102" s="21">
        <v>4.3</v>
      </c>
      <c r="U102" s="139">
        <v>3</v>
      </c>
      <c r="V102" s="134">
        <v>5</v>
      </c>
      <c r="W102" s="134">
        <v>4</v>
      </c>
      <c r="X102" s="117">
        <v>4</v>
      </c>
      <c r="Y102" s="117">
        <v>6</v>
      </c>
      <c r="Z102" s="20">
        <v>5</v>
      </c>
      <c r="AA102" s="12"/>
    </row>
    <row r="103" spans="1:27" x14ac:dyDescent="0.25">
      <c r="A103" s="9" t="s">
        <v>84</v>
      </c>
      <c r="B103" s="44">
        <v>20.5</v>
      </c>
      <c r="C103" s="21">
        <v>22.4</v>
      </c>
      <c r="D103" s="21">
        <v>17.2</v>
      </c>
      <c r="E103" s="21">
        <v>20.5</v>
      </c>
      <c r="F103" s="20">
        <v>20.399999999999999</v>
      </c>
      <c r="G103" s="21">
        <v>21.4</v>
      </c>
      <c r="H103" s="118">
        <v>24</v>
      </c>
      <c r="I103" s="118">
        <v>38</v>
      </c>
      <c r="J103" s="118">
        <v>56</v>
      </c>
      <c r="K103" s="21">
        <v>79.099999999999994</v>
      </c>
      <c r="L103" s="117">
        <v>68</v>
      </c>
      <c r="M103" s="117">
        <v>64</v>
      </c>
      <c r="N103" s="117">
        <v>91</v>
      </c>
      <c r="O103" s="117">
        <v>115</v>
      </c>
      <c r="P103" s="117">
        <v>103</v>
      </c>
      <c r="Q103" s="117">
        <v>108</v>
      </c>
      <c r="R103" s="117">
        <v>143</v>
      </c>
      <c r="S103" s="118">
        <v>156</v>
      </c>
      <c r="T103" s="21">
        <v>104.2</v>
      </c>
      <c r="U103" s="139">
        <v>159</v>
      </c>
      <c r="V103" s="134">
        <v>150</v>
      </c>
      <c r="W103" s="134">
        <v>219</v>
      </c>
      <c r="X103" s="117">
        <v>219</v>
      </c>
      <c r="Y103" s="117">
        <v>193</v>
      </c>
      <c r="Z103" s="20">
        <v>249</v>
      </c>
      <c r="AA103" s="12"/>
    </row>
    <row r="104" spans="1:27" ht="19.5" x14ac:dyDescent="0.25">
      <c r="A104" s="9" t="s">
        <v>85</v>
      </c>
      <c r="B104" s="44">
        <v>2.6</v>
      </c>
      <c r="C104" s="21">
        <v>3.3</v>
      </c>
      <c r="D104" s="21">
        <v>7.1</v>
      </c>
      <c r="E104" s="21">
        <v>5.0999999999999996</v>
      </c>
      <c r="F104" s="20">
        <v>5.6</v>
      </c>
      <c r="G104" s="21">
        <v>6.3</v>
      </c>
      <c r="H104" s="118">
        <v>8</v>
      </c>
      <c r="I104" s="118">
        <v>8</v>
      </c>
      <c r="J104" s="21">
        <v>9</v>
      </c>
      <c r="K104" s="21">
        <v>13</v>
      </c>
      <c r="L104" s="117">
        <v>11</v>
      </c>
      <c r="M104" s="117">
        <v>13</v>
      </c>
      <c r="N104" s="117">
        <v>15</v>
      </c>
      <c r="O104" s="117">
        <v>44</v>
      </c>
      <c r="P104" s="117">
        <v>39</v>
      </c>
      <c r="Q104" s="117">
        <v>36</v>
      </c>
      <c r="R104" s="117">
        <v>31</v>
      </c>
      <c r="S104" s="118">
        <v>19</v>
      </c>
      <c r="T104" s="21">
        <v>21.2</v>
      </c>
      <c r="U104" s="139">
        <v>23</v>
      </c>
      <c r="V104" s="134">
        <v>14</v>
      </c>
      <c r="W104" s="134">
        <v>29</v>
      </c>
      <c r="X104" s="117">
        <v>24</v>
      </c>
      <c r="Y104" s="117">
        <v>22</v>
      </c>
      <c r="Z104" s="20">
        <v>28</v>
      </c>
      <c r="AA104" s="12"/>
    </row>
    <row r="105" spans="1:27" ht="15.75" thickBot="1" x14ac:dyDescent="0.3">
      <c r="A105" s="71" t="s">
        <v>86</v>
      </c>
      <c r="B105" s="50" t="s">
        <v>96</v>
      </c>
      <c r="C105" s="50" t="s">
        <v>96</v>
      </c>
      <c r="D105" s="50" t="s">
        <v>96</v>
      </c>
      <c r="E105" s="50" t="s">
        <v>96</v>
      </c>
      <c r="F105" s="50" t="s">
        <v>96</v>
      </c>
      <c r="G105" s="50" t="s">
        <v>96</v>
      </c>
      <c r="H105" s="50" t="s">
        <v>96</v>
      </c>
      <c r="I105" s="50" t="s">
        <v>96</v>
      </c>
      <c r="J105" s="50" t="s">
        <v>96</v>
      </c>
      <c r="K105" s="50" t="s">
        <v>96</v>
      </c>
      <c r="L105" s="127" t="s">
        <v>96</v>
      </c>
      <c r="M105" s="127" t="s">
        <v>96</v>
      </c>
      <c r="N105" s="127" t="s">
        <v>96</v>
      </c>
      <c r="O105" s="127" t="s">
        <v>96</v>
      </c>
      <c r="P105" s="127" t="s">
        <v>96</v>
      </c>
      <c r="Q105" s="127" t="s">
        <v>96</v>
      </c>
      <c r="R105" s="127" t="s">
        <v>96</v>
      </c>
      <c r="S105" s="127">
        <v>0.1</v>
      </c>
      <c r="T105" s="64" t="s">
        <v>96</v>
      </c>
      <c r="U105" s="132">
        <v>0</v>
      </c>
      <c r="V105" s="132" t="s">
        <v>96</v>
      </c>
      <c r="W105" s="132">
        <v>0</v>
      </c>
      <c r="X105" s="127">
        <v>1</v>
      </c>
      <c r="Y105" s="127">
        <v>0.4</v>
      </c>
      <c r="Z105" s="64">
        <v>1</v>
      </c>
      <c r="AA105" s="12"/>
    </row>
    <row r="106" spans="1:2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94"/>
      <c r="W106" s="12"/>
      <c r="X106" s="94"/>
      <c r="Z106" s="12"/>
      <c r="AA106" s="12"/>
    </row>
    <row r="107" spans="1:2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94"/>
      <c r="W107" s="12"/>
      <c r="X107" s="94"/>
      <c r="Z107" s="12"/>
      <c r="AA107" s="12"/>
    </row>
    <row r="108" spans="1:27" x14ac:dyDescent="0.25">
      <c r="V108" s="96"/>
    </row>
    <row r="109" spans="1:27" x14ac:dyDescent="0.25">
      <c r="V109" s="96"/>
    </row>
    <row r="110" spans="1:27" x14ac:dyDescent="0.25">
      <c r="V110" s="96"/>
    </row>
    <row r="111" spans="1:27" x14ac:dyDescent="0.25">
      <c r="V111" s="96"/>
    </row>
    <row r="112" spans="1:27" x14ac:dyDescent="0.25">
      <c r="V112" s="96"/>
    </row>
    <row r="113" spans="22:22" x14ac:dyDescent="0.25">
      <c r="V113" s="96"/>
    </row>
    <row r="114" spans="22:22" x14ac:dyDescent="0.25">
      <c r="V114" s="96"/>
    </row>
    <row r="115" spans="22:22" x14ac:dyDescent="0.25">
      <c r="V115" s="96"/>
    </row>
    <row r="116" spans="22:22" x14ac:dyDescent="0.25">
      <c r="V116" s="96"/>
    </row>
    <row r="117" spans="22:22" x14ac:dyDescent="0.25">
      <c r="V117" s="96"/>
    </row>
    <row r="118" spans="22:22" x14ac:dyDescent="0.25">
      <c r="V118" s="96"/>
    </row>
    <row r="119" spans="22:22" x14ac:dyDescent="0.25">
      <c r="V119" s="96"/>
    </row>
    <row r="120" spans="22:22" x14ac:dyDescent="0.25">
      <c r="V120" s="96"/>
    </row>
    <row r="121" spans="22:22" x14ac:dyDescent="0.25">
      <c r="V121" s="96"/>
    </row>
    <row r="122" spans="22:22" x14ac:dyDescent="0.25">
      <c r="V122" s="96"/>
    </row>
    <row r="123" spans="22:22" x14ac:dyDescent="0.25">
      <c r="V123" s="96"/>
    </row>
    <row r="124" spans="22:22" x14ac:dyDescent="0.25">
      <c r="V124" s="96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ignoredErrors>
    <ignoredError sqref="H28 K51 H74" formulaRange="1"/>
    <ignoredError sqref="C42:F42 H42:J42 H51 C51:F51" unlockedFormula="1"/>
    <ignoredError sqref="I51:J51" formulaRange="1" unlockedFormula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D107"/>
  <sheetViews>
    <sheetView topLeftCell="A79" zoomScale="80" zoomScaleNormal="80" workbookViewId="0">
      <selection activeCell="AA13" sqref="AA13"/>
    </sheetView>
  </sheetViews>
  <sheetFormatPr defaultRowHeight="15" x14ac:dyDescent="0.25"/>
  <cols>
    <col min="1" max="1" width="23.140625" customWidth="1"/>
    <col min="2" max="3" width="9.140625" customWidth="1"/>
    <col min="4" max="5" width="8.42578125" customWidth="1"/>
    <col min="6" max="6" width="8" customWidth="1"/>
    <col min="7" max="8" width="9.140625" customWidth="1"/>
    <col min="9" max="9" width="9.140625" style="12" customWidth="1"/>
    <col min="10" max="12" width="9.140625" customWidth="1"/>
    <col min="13" max="15" width="9.140625" style="12" customWidth="1"/>
    <col min="16" max="19" width="9.140625" style="12"/>
    <col min="20" max="21" width="9.140625" customWidth="1"/>
    <col min="24" max="24" width="9.140625" style="1"/>
    <col min="25" max="25" width="9.140625" style="12"/>
  </cols>
  <sheetData>
    <row r="1" spans="1:30" ht="28.5" customHeight="1" x14ac:dyDescent="0.25">
      <c r="A1" s="1"/>
      <c r="B1" s="1"/>
      <c r="C1" s="1"/>
      <c r="D1" s="1"/>
      <c r="E1" s="1"/>
      <c r="F1" s="1"/>
      <c r="G1" s="1"/>
      <c r="H1" s="1"/>
      <c r="J1" s="1"/>
      <c r="K1" s="1"/>
      <c r="L1" s="1"/>
      <c r="T1" s="1"/>
      <c r="U1" s="1"/>
      <c r="V1" s="1"/>
      <c r="W1" s="1"/>
      <c r="Z1" s="1"/>
      <c r="AA1" s="1"/>
      <c r="AB1" s="1"/>
      <c r="AC1" s="1"/>
      <c r="AD1" s="1"/>
    </row>
    <row r="2" spans="1:30" ht="22.5" customHeight="1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02"/>
      <c r="AB2" s="102"/>
      <c r="AC2" s="102"/>
      <c r="AD2" s="102"/>
    </row>
    <row r="3" spans="1:30" ht="15" customHeight="1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03"/>
      <c r="AB3" s="103"/>
      <c r="AC3" s="103"/>
      <c r="AD3" s="103"/>
    </row>
    <row r="4" spans="1:30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01"/>
      <c r="AB4" s="101"/>
      <c r="AC4" s="101"/>
      <c r="AD4" s="101"/>
    </row>
    <row r="5" spans="1:30" ht="15" customHeight="1" x14ac:dyDescent="0.25">
      <c r="A5" s="11" t="s">
        <v>242</v>
      </c>
      <c r="B5" s="11"/>
      <c r="C5" s="11"/>
      <c r="D5" s="11"/>
      <c r="E5" s="11"/>
      <c r="F5" s="11"/>
      <c r="G5" s="104"/>
      <c r="H5" s="104"/>
      <c r="I5" s="11"/>
      <c r="J5" s="11"/>
      <c r="K5" s="11"/>
      <c r="L5" s="11"/>
      <c r="M5" s="11"/>
      <c r="N5" s="11"/>
      <c r="O5" s="11"/>
      <c r="P5" s="11"/>
      <c r="T5" s="11"/>
      <c r="U5" s="11"/>
      <c r="V5" s="11"/>
      <c r="W5" s="12"/>
      <c r="X5" s="12"/>
      <c r="Z5" s="12"/>
    </row>
    <row r="6" spans="1:30" ht="15.75" thickBot="1" x14ac:dyDescent="0.3">
      <c r="A6" s="24" t="s">
        <v>221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T6" s="24"/>
      <c r="U6" s="24"/>
      <c r="V6" s="24"/>
      <c r="W6" s="12"/>
      <c r="X6" s="12"/>
      <c r="Z6" s="12"/>
    </row>
    <row r="7" spans="1:30" ht="15.75" thickBot="1" x14ac:dyDescent="0.3">
      <c r="A7" s="10"/>
      <c r="B7" s="16">
        <v>2000</v>
      </c>
      <c r="C7" s="16">
        <v>2001</v>
      </c>
      <c r="D7" s="16">
        <v>2002</v>
      </c>
      <c r="E7" s="16">
        <v>2003</v>
      </c>
      <c r="F7" s="16">
        <v>2004</v>
      </c>
      <c r="G7" s="16">
        <v>2005</v>
      </c>
      <c r="H7" s="2">
        <v>2006</v>
      </c>
      <c r="I7" s="168">
        <v>2007</v>
      </c>
      <c r="J7" s="168">
        <v>2008</v>
      </c>
      <c r="K7" s="168">
        <v>2009</v>
      </c>
      <c r="L7" s="168">
        <v>2010</v>
      </c>
      <c r="M7" s="168">
        <v>2011</v>
      </c>
      <c r="N7" s="168">
        <v>2012</v>
      </c>
      <c r="O7" s="168">
        <v>2013</v>
      </c>
      <c r="P7" s="168">
        <v>2014</v>
      </c>
      <c r="Q7" s="168">
        <v>2015</v>
      </c>
      <c r="R7" s="168">
        <v>2016</v>
      </c>
      <c r="S7" s="168">
        <v>2017</v>
      </c>
      <c r="T7" s="168">
        <v>2018</v>
      </c>
      <c r="U7" s="168">
        <v>2019</v>
      </c>
      <c r="V7" s="168">
        <v>2020</v>
      </c>
      <c r="W7" s="2">
        <v>2021</v>
      </c>
      <c r="X7" s="2">
        <v>2022</v>
      </c>
      <c r="Y7" s="2">
        <v>2023</v>
      </c>
      <c r="Z7" s="2">
        <v>2024</v>
      </c>
    </row>
    <row r="8" spans="1:30" x14ac:dyDescent="0.25">
      <c r="A8" s="13" t="s">
        <v>0</v>
      </c>
      <c r="B8" s="27">
        <v>179667</v>
      </c>
      <c r="C8" s="27">
        <v>173362</v>
      </c>
      <c r="D8" s="27">
        <v>164586</v>
      </c>
      <c r="E8" s="27">
        <v>152256</v>
      </c>
      <c r="F8" s="27">
        <v>139151</v>
      </c>
      <c r="G8" s="27">
        <v>128496</v>
      </c>
      <c r="H8" s="22">
        <v>125832</v>
      </c>
      <c r="I8" s="22">
        <v>129715</v>
      </c>
      <c r="J8" s="22">
        <v>121169</v>
      </c>
      <c r="K8" s="22">
        <v>106451</v>
      </c>
      <c r="L8" s="26">
        <v>103107</v>
      </c>
      <c r="M8" s="26">
        <v>108138</v>
      </c>
      <c r="N8" s="26">
        <v>104772</v>
      </c>
      <c r="O8" s="26">
        <v>103371</v>
      </c>
      <c r="P8" s="26">
        <v>101601</v>
      </c>
      <c r="Q8" s="26">
        <v>97965</v>
      </c>
      <c r="R8" s="26">
        <v>90342</v>
      </c>
      <c r="S8" s="26">
        <v>86847</v>
      </c>
      <c r="T8" s="26">
        <v>81274</v>
      </c>
      <c r="U8" s="26">
        <v>77826</v>
      </c>
      <c r="V8" s="26">
        <v>80758</v>
      </c>
      <c r="W8" s="26">
        <v>82420</v>
      </c>
      <c r="X8" s="26">
        <v>88007</v>
      </c>
      <c r="Y8" s="26">
        <v>97625</v>
      </c>
      <c r="Z8" s="26">
        <v>98692</v>
      </c>
    </row>
    <row r="9" spans="1:30" ht="18" x14ac:dyDescent="0.25">
      <c r="A9" s="8" t="s">
        <v>247</v>
      </c>
      <c r="B9" s="22">
        <v>43041</v>
      </c>
      <c r="C9" s="22">
        <v>40710</v>
      </c>
      <c r="D9" s="22">
        <v>37996</v>
      </c>
      <c r="E9" s="22">
        <v>33345</v>
      </c>
      <c r="F9" s="22">
        <v>29636</v>
      </c>
      <c r="G9" s="26">
        <v>26338</v>
      </c>
      <c r="H9" s="26">
        <v>25306</v>
      </c>
      <c r="I9" s="26">
        <v>23514</v>
      </c>
      <c r="J9" s="26">
        <v>21490</v>
      </c>
      <c r="K9" s="26">
        <v>17404</v>
      </c>
      <c r="L9" s="26">
        <v>16619</v>
      </c>
      <c r="M9" s="26">
        <v>18301</v>
      </c>
      <c r="N9" s="26">
        <v>15847</v>
      </c>
      <c r="O9" s="26">
        <v>14108</v>
      </c>
      <c r="P9" s="26">
        <v>13832</v>
      </c>
      <c r="Q9" s="26">
        <v>12138</v>
      </c>
      <c r="R9" s="26">
        <v>14658</v>
      </c>
      <c r="S9" s="26">
        <v>13230</v>
      </c>
      <c r="T9" s="26">
        <v>15068</v>
      </c>
      <c r="U9" s="26">
        <v>12215</v>
      </c>
      <c r="V9" s="26">
        <v>13674</v>
      </c>
      <c r="W9" s="26">
        <v>12668</v>
      </c>
      <c r="X9" s="26">
        <v>14505</v>
      </c>
      <c r="Y9" s="26">
        <v>18553</v>
      </c>
      <c r="Z9" s="26">
        <v>17165</v>
      </c>
    </row>
    <row r="10" spans="1:30" x14ac:dyDescent="0.25">
      <c r="A10" s="9" t="s">
        <v>1</v>
      </c>
      <c r="B10" s="21">
        <v>2667</v>
      </c>
      <c r="C10" s="21">
        <v>2596</v>
      </c>
      <c r="D10" s="21">
        <v>2339</v>
      </c>
      <c r="E10" s="21">
        <v>2013</v>
      </c>
      <c r="F10" s="21">
        <v>1846</v>
      </c>
      <c r="G10" s="20">
        <v>1858</v>
      </c>
      <c r="H10" s="20">
        <v>1965</v>
      </c>
      <c r="I10" s="20">
        <v>2089</v>
      </c>
      <c r="J10" s="20">
        <v>2068</v>
      </c>
      <c r="K10" s="20">
        <v>1653</v>
      </c>
      <c r="L10" s="20">
        <v>1810</v>
      </c>
      <c r="M10" s="20">
        <v>2065</v>
      </c>
      <c r="N10" s="20">
        <v>1609</v>
      </c>
      <c r="O10" s="20">
        <v>720</v>
      </c>
      <c r="P10" s="20">
        <v>589</v>
      </c>
      <c r="Q10" s="20">
        <v>439</v>
      </c>
      <c r="R10" s="20">
        <v>551</v>
      </c>
      <c r="S10" s="20">
        <v>286</v>
      </c>
      <c r="T10" s="20">
        <v>298</v>
      </c>
      <c r="U10" s="20">
        <v>279</v>
      </c>
      <c r="V10" s="20">
        <v>236</v>
      </c>
      <c r="W10" s="20">
        <v>642</v>
      </c>
      <c r="X10" s="20">
        <v>513</v>
      </c>
      <c r="Y10" s="20">
        <v>327</v>
      </c>
      <c r="Z10" s="20">
        <v>388</v>
      </c>
    </row>
    <row r="11" spans="1:30" x14ac:dyDescent="0.25">
      <c r="A11" s="9" t="s">
        <v>2</v>
      </c>
      <c r="B11" s="21">
        <v>3634</v>
      </c>
      <c r="C11" s="21">
        <v>3010</v>
      </c>
      <c r="D11" s="21">
        <v>2961</v>
      </c>
      <c r="E11" s="21">
        <v>2790</v>
      </c>
      <c r="F11" s="21">
        <v>2518</v>
      </c>
      <c r="G11" s="20">
        <v>2322</v>
      </c>
      <c r="H11" s="20">
        <v>2227</v>
      </c>
      <c r="I11" s="20">
        <v>1419</v>
      </c>
      <c r="J11" s="20">
        <v>1182</v>
      </c>
      <c r="K11" s="20">
        <v>1248</v>
      </c>
      <c r="L11" s="20">
        <v>879</v>
      </c>
      <c r="M11" s="20">
        <v>1280</v>
      </c>
      <c r="N11" s="20">
        <v>873</v>
      </c>
      <c r="O11" s="20">
        <v>572</v>
      </c>
      <c r="P11" s="20">
        <v>526</v>
      </c>
      <c r="Q11" s="20">
        <v>380</v>
      </c>
      <c r="R11" s="20">
        <v>273</v>
      </c>
      <c r="S11" s="20">
        <v>242</v>
      </c>
      <c r="T11" s="20">
        <v>298</v>
      </c>
      <c r="U11" s="20">
        <v>197</v>
      </c>
      <c r="V11" s="20">
        <v>180</v>
      </c>
      <c r="W11" s="20">
        <v>148</v>
      </c>
      <c r="X11" s="20">
        <v>246</v>
      </c>
      <c r="Y11" s="20">
        <v>233</v>
      </c>
      <c r="Z11" s="20">
        <v>272</v>
      </c>
    </row>
    <row r="12" spans="1:30" x14ac:dyDescent="0.25">
      <c r="A12" s="9" t="s">
        <v>3</v>
      </c>
      <c r="B12" s="21">
        <v>2155</v>
      </c>
      <c r="C12" s="21">
        <v>2049</v>
      </c>
      <c r="D12" s="21">
        <v>2028</v>
      </c>
      <c r="E12" s="21">
        <v>1738</v>
      </c>
      <c r="F12" s="21">
        <v>1622</v>
      </c>
      <c r="G12" s="20">
        <v>1545</v>
      </c>
      <c r="H12" s="20">
        <v>1827</v>
      </c>
      <c r="I12" s="20">
        <v>2011</v>
      </c>
      <c r="J12" s="20">
        <v>1513</v>
      </c>
      <c r="K12" s="20">
        <v>1175</v>
      </c>
      <c r="L12" s="20">
        <v>1462</v>
      </c>
      <c r="M12" s="20">
        <v>1058</v>
      </c>
      <c r="N12" s="20">
        <v>799</v>
      </c>
      <c r="O12" s="20">
        <v>727</v>
      </c>
      <c r="P12" s="20">
        <v>663</v>
      </c>
      <c r="Q12" s="20">
        <v>1085</v>
      </c>
      <c r="R12" s="20">
        <v>838</v>
      </c>
      <c r="S12" s="20">
        <v>1607</v>
      </c>
      <c r="T12" s="20">
        <v>2197</v>
      </c>
      <c r="U12" s="20">
        <v>2531</v>
      </c>
      <c r="V12" s="20">
        <v>3377</v>
      </c>
      <c r="W12" s="20">
        <v>3674</v>
      </c>
      <c r="X12" s="20">
        <v>6015</v>
      </c>
      <c r="Y12" s="20">
        <v>5016</v>
      </c>
      <c r="Z12" s="20">
        <v>3813</v>
      </c>
    </row>
    <row r="13" spans="1:30" x14ac:dyDescent="0.25">
      <c r="A13" s="9" t="s">
        <v>4</v>
      </c>
      <c r="B13" s="21">
        <v>4533</v>
      </c>
      <c r="C13" s="21">
        <v>4589</v>
      </c>
      <c r="D13" s="21">
        <v>4171</v>
      </c>
      <c r="E13" s="21">
        <v>3658</v>
      </c>
      <c r="F13" s="21">
        <v>2856</v>
      </c>
      <c r="G13" s="20">
        <v>2281</v>
      </c>
      <c r="H13" s="20">
        <v>2481</v>
      </c>
      <c r="I13" s="20">
        <v>1882</v>
      </c>
      <c r="J13" s="20">
        <v>1849</v>
      </c>
      <c r="K13" s="20">
        <v>1677</v>
      </c>
      <c r="L13" s="20">
        <v>1444</v>
      </c>
      <c r="M13" s="20">
        <v>1028</v>
      </c>
      <c r="N13" s="20">
        <v>1194</v>
      </c>
      <c r="O13" s="20">
        <v>1280</v>
      </c>
      <c r="P13" s="20">
        <v>1003</v>
      </c>
      <c r="Q13" s="20">
        <v>801</v>
      </c>
      <c r="R13" s="20">
        <v>743</v>
      </c>
      <c r="S13" s="20">
        <v>665</v>
      </c>
      <c r="T13" s="20">
        <v>678</v>
      </c>
      <c r="U13" s="20">
        <v>410</v>
      </c>
      <c r="V13" s="20">
        <v>398</v>
      </c>
      <c r="W13" s="20">
        <v>195</v>
      </c>
      <c r="X13" s="20">
        <v>428</v>
      </c>
      <c r="Y13" s="20">
        <v>519</v>
      </c>
      <c r="Z13" s="20">
        <v>557</v>
      </c>
    </row>
    <row r="14" spans="1:30" x14ac:dyDescent="0.25">
      <c r="A14" s="9" t="s">
        <v>5</v>
      </c>
      <c r="B14" s="21">
        <v>1463</v>
      </c>
      <c r="C14" s="21">
        <v>1351</v>
      </c>
      <c r="D14" s="21">
        <v>1213</v>
      </c>
      <c r="E14" s="21">
        <v>1036</v>
      </c>
      <c r="F14" s="21">
        <v>711</v>
      </c>
      <c r="G14" s="20">
        <v>711</v>
      </c>
      <c r="H14" s="20">
        <v>592</v>
      </c>
      <c r="I14" s="20">
        <v>657</v>
      </c>
      <c r="J14" s="20">
        <v>645</v>
      </c>
      <c r="K14" s="20">
        <v>405</v>
      </c>
      <c r="L14" s="20">
        <v>425</v>
      </c>
      <c r="M14" s="20">
        <v>406</v>
      </c>
      <c r="N14" s="20">
        <v>329</v>
      </c>
      <c r="O14" s="20">
        <v>280</v>
      </c>
      <c r="P14" s="20">
        <v>242</v>
      </c>
      <c r="Q14" s="20">
        <v>259</v>
      </c>
      <c r="R14" s="20">
        <v>209</v>
      </c>
      <c r="S14" s="20">
        <v>186</v>
      </c>
      <c r="T14" s="20">
        <v>166</v>
      </c>
      <c r="U14" s="20">
        <v>250</v>
      </c>
      <c r="V14" s="20">
        <v>81</v>
      </c>
      <c r="W14" s="20">
        <v>73</v>
      </c>
      <c r="X14" s="20">
        <v>113</v>
      </c>
      <c r="Y14" s="20">
        <v>140</v>
      </c>
      <c r="Z14" s="20">
        <v>129</v>
      </c>
    </row>
    <row r="15" spans="1:30" x14ac:dyDescent="0.25">
      <c r="A15" s="9" t="s">
        <v>6</v>
      </c>
      <c r="B15" s="21">
        <v>1787</v>
      </c>
      <c r="C15" s="21">
        <v>1567</v>
      </c>
      <c r="D15" s="21">
        <v>1403</v>
      </c>
      <c r="E15" s="21">
        <v>1164</v>
      </c>
      <c r="F15" s="21">
        <v>1057</v>
      </c>
      <c r="G15" s="20">
        <v>1008</v>
      </c>
      <c r="H15" s="20">
        <v>1014</v>
      </c>
      <c r="I15" s="20">
        <v>609</v>
      </c>
      <c r="J15" s="20">
        <v>532</v>
      </c>
      <c r="K15" s="20">
        <v>487</v>
      </c>
      <c r="L15" s="20">
        <v>405</v>
      </c>
      <c r="M15" s="20">
        <v>360</v>
      </c>
      <c r="N15" s="20">
        <v>356</v>
      </c>
      <c r="O15" s="20">
        <v>435</v>
      </c>
      <c r="P15" s="20">
        <v>355</v>
      </c>
      <c r="Q15" s="20">
        <v>207</v>
      </c>
      <c r="R15" s="20">
        <v>207</v>
      </c>
      <c r="S15" s="20">
        <v>282</v>
      </c>
      <c r="T15" s="20">
        <v>15</v>
      </c>
      <c r="U15" s="20">
        <v>85</v>
      </c>
      <c r="V15" s="20">
        <v>66</v>
      </c>
      <c r="W15" s="20">
        <v>81</v>
      </c>
      <c r="X15" s="20">
        <v>66</v>
      </c>
      <c r="Y15" s="20">
        <v>153</v>
      </c>
      <c r="Z15" s="20">
        <v>157</v>
      </c>
    </row>
    <row r="16" spans="1:30" x14ac:dyDescent="0.25">
      <c r="A16" s="9" t="s">
        <v>7</v>
      </c>
      <c r="B16" s="21">
        <v>1884</v>
      </c>
      <c r="C16" s="21">
        <v>1737</v>
      </c>
      <c r="D16" s="21">
        <v>1569</v>
      </c>
      <c r="E16" s="21">
        <v>1420</v>
      </c>
      <c r="F16" s="21">
        <v>1437</v>
      </c>
      <c r="G16" s="20">
        <v>1168</v>
      </c>
      <c r="H16" s="20">
        <v>981</v>
      </c>
      <c r="I16" s="20">
        <v>1089</v>
      </c>
      <c r="J16" s="20">
        <v>979</v>
      </c>
      <c r="K16" s="20">
        <v>842</v>
      </c>
      <c r="L16" s="20">
        <v>762</v>
      </c>
      <c r="M16" s="20">
        <v>985</v>
      </c>
      <c r="N16" s="20">
        <v>1127</v>
      </c>
      <c r="O16" s="20">
        <v>1026</v>
      </c>
      <c r="P16" s="20">
        <v>987</v>
      </c>
      <c r="Q16" s="20">
        <v>957</v>
      </c>
      <c r="R16" s="20">
        <v>1403</v>
      </c>
      <c r="S16" s="20">
        <v>1360</v>
      </c>
      <c r="T16" s="20">
        <v>2352</v>
      </c>
      <c r="U16" s="20">
        <v>1887</v>
      </c>
      <c r="V16" s="20">
        <v>3248</v>
      </c>
      <c r="W16" s="20">
        <v>2260</v>
      </c>
      <c r="X16" s="20">
        <v>1129</v>
      </c>
      <c r="Y16" s="20">
        <v>731</v>
      </c>
      <c r="Z16" s="20">
        <v>936</v>
      </c>
    </row>
    <row r="17" spans="1:26" x14ac:dyDescent="0.25">
      <c r="A17" s="9" t="s">
        <v>8</v>
      </c>
      <c r="B17" s="21">
        <v>2669</v>
      </c>
      <c r="C17" s="21">
        <v>2541</v>
      </c>
      <c r="D17" s="21">
        <v>2413</v>
      </c>
      <c r="E17" s="21">
        <v>2431</v>
      </c>
      <c r="F17" s="21">
        <v>1923</v>
      </c>
      <c r="G17" s="20">
        <v>1899</v>
      </c>
      <c r="H17" s="20">
        <v>1479</v>
      </c>
      <c r="I17" s="20">
        <v>1389</v>
      </c>
      <c r="J17" s="20">
        <v>1310</v>
      </c>
      <c r="K17" s="20">
        <v>1058</v>
      </c>
      <c r="L17" s="20">
        <v>986</v>
      </c>
      <c r="M17" s="20">
        <v>1036</v>
      </c>
      <c r="N17" s="20">
        <v>1019</v>
      </c>
      <c r="O17" s="20">
        <v>998</v>
      </c>
      <c r="P17" s="20">
        <v>1392</v>
      </c>
      <c r="Q17" s="20">
        <v>1649</v>
      </c>
      <c r="R17" s="20">
        <v>925</v>
      </c>
      <c r="S17" s="20">
        <v>1084</v>
      </c>
      <c r="T17" s="20">
        <v>1712</v>
      </c>
      <c r="U17" s="20">
        <v>1721</v>
      </c>
      <c r="V17" s="20">
        <v>1522</v>
      </c>
      <c r="W17" s="20">
        <v>1113</v>
      </c>
      <c r="X17" s="20">
        <v>1317</v>
      </c>
      <c r="Y17" s="20">
        <v>1293</v>
      </c>
      <c r="Z17" s="20">
        <v>1284</v>
      </c>
    </row>
    <row r="18" spans="1:26" x14ac:dyDescent="0.25">
      <c r="A18" s="9" t="s">
        <v>9</v>
      </c>
      <c r="B18" s="21">
        <v>1973</v>
      </c>
      <c r="C18" s="21">
        <v>1818</v>
      </c>
      <c r="D18" s="21">
        <v>1765</v>
      </c>
      <c r="E18" s="21">
        <v>1624</v>
      </c>
      <c r="F18" s="21">
        <v>1518</v>
      </c>
      <c r="G18" s="20">
        <v>1187</v>
      </c>
      <c r="H18" s="20">
        <v>1155</v>
      </c>
      <c r="I18" s="20">
        <v>1237</v>
      </c>
      <c r="J18" s="20">
        <v>1151</v>
      </c>
      <c r="K18" s="20">
        <v>1103</v>
      </c>
      <c r="L18" s="20">
        <v>864</v>
      </c>
      <c r="M18" s="20">
        <v>2835</v>
      </c>
      <c r="N18" s="20">
        <v>2394</v>
      </c>
      <c r="O18" s="20">
        <v>2686</v>
      </c>
      <c r="P18" s="20">
        <v>2537</v>
      </c>
      <c r="Q18" s="20">
        <v>1864</v>
      </c>
      <c r="R18" s="20">
        <v>2157</v>
      </c>
      <c r="S18" s="20">
        <v>1282</v>
      </c>
      <c r="T18" s="20">
        <v>1188</v>
      </c>
      <c r="U18" s="20">
        <v>1199</v>
      </c>
      <c r="V18" s="20">
        <v>759</v>
      </c>
      <c r="W18" s="20">
        <v>1154</v>
      </c>
      <c r="X18" s="20">
        <v>1124</v>
      </c>
      <c r="Y18" s="20">
        <v>1520</v>
      </c>
      <c r="Z18" s="20">
        <v>1684</v>
      </c>
    </row>
    <row r="19" spans="1:26" x14ac:dyDescent="0.25">
      <c r="A19" s="9" t="s">
        <v>10</v>
      </c>
      <c r="B19" s="21">
        <v>3724</v>
      </c>
      <c r="C19" s="21">
        <v>3616</v>
      </c>
      <c r="D19" s="21">
        <v>3442</v>
      </c>
      <c r="E19" s="21">
        <v>3067</v>
      </c>
      <c r="F19" s="21">
        <v>2623</v>
      </c>
      <c r="G19" s="20">
        <v>2229</v>
      </c>
      <c r="H19" s="20">
        <v>2159</v>
      </c>
      <c r="I19" s="20">
        <v>2043</v>
      </c>
      <c r="J19" s="20">
        <v>1757</v>
      </c>
      <c r="K19" s="20">
        <v>1177</v>
      </c>
      <c r="L19" s="20">
        <v>1121</v>
      </c>
      <c r="M19" s="20">
        <v>1067</v>
      </c>
      <c r="N19" s="20">
        <v>714</v>
      </c>
      <c r="O19" s="20">
        <v>609</v>
      </c>
      <c r="P19" s="20">
        <v>699</v>
      </c>
      <c r="Q19" s="20">
        <v>590</v>
      </c>
      <c r="R19" s="20">
        <v>390</v>
      </c>
      <c r="S19" s="20">
        <v>471</v>
      </c>
      <c r="T19" s="20">
        <v>438</v>
      </c>
      <c r="U19" s="20">
        <v>369</v>
      </c>
      <c r="V19" s="20">
        <v>423</v>
      </c>
      <c r="W19" s="20">
        <v>280</v>
      </c>
      <c r="X19" s="20">
        <v>685</v>
      </c>
      <c r="Y19" s="20">
        <v>475</v>
      </c>
      <c r="Z19" s="20">
        <v>580</v>
      </c>
    </row>
    <row r="20" spans="1:26" x14ac:dyDescent="0.25">
      <c r="A20" s="9" t="s">
        <v>11</v>
      </c>
      <c r="B20" s="21">
        <v>1749</v>
      </c>
      <c r="C20" s="21">
        <v>1715</v>
      </c>
      <c r="D20" s="21">
        <v>1623</v>
      </c>
      <c r="E20" s="21">
        <v>1292</v>
      </c>
      <c r="F20" s="21">
        <v>1098</v>
      </c>
      <c r="G20" s="20">
        <v>901</v>
      </c>
      <c r="H20" s="20">
        <v>887</v>
      </c>
      <c r="I20" s="20">
        <v>742</v>
      </c>
      <c r="J20" s="20">
        <v>761</v>
      </c>
      <c r="K20" s="20">
        <v>608</v>
      </c>
      <c r="L20" s="20">
        <v>554</v>
      </c>
      <c r="M20" s="20">
        <v>573</v>
      </c>
      <c r="N20" s="20">
        <v>558</v>
      </c>
      <c r="O20" s="20">
        <v>616</v>
      </c>
      <c r="P20" s="20">
        <v>561</v>
      </c>
      <c r="Q20" s="20">
        <v>437</v>
      </c>
      <c r="R20" s="20">
        <v>323</v>
      </c>
      <c r="S20" s="20">
        <v>248</v>
      </c>
      <c r="T20" s="20">
        <v>251</v>
      </c>
      <c r="U20" s="20">
        <v>265</v>
      </c>
      <c r="V20" s="20">
        <v>203</v>
      </c>
      <c r="W20" s="20">
        <v>305</v>
      </c>
      <c r="X20" s="20">
        <v>226</v>
      </c>
      <c r="Y20" s="20">
        <v>285</v>
      </c>
      <c r="Z20" s="20">
        <v>226</v>
      </c>
    </row>
    <row r="21" spans="1:26" x14ac:dyDescent="0.25">
      <c r="A21" s="9" t="s">
        <v>12</v>
      </c>
      <c r="B21" s="21">
        <v>1363</v>
      </c>
      <c r="C21" s="21">
        <v>1302</v>
      </c>
      <c r="D21" s="21">
        <v>1086</v>
      </c>
      <c r="E21" s="21">
        <v>942</v>
      </c>
      <c r="F21" s="21">
        <v>964</v>
      </c>
      <c r="G21" s="20">
        <v>1002</v>
      </c>
      <c r="H21" s="20">
        <v>781</v>
      </c>
      <c r="I21" s="20">
        <v>793</v>
      </c>
      <c r="J21" s="20">
        <v>871</v>
      </c>
      <c r="K21" s="20">
        <v>470</v>
      </c>
      <c r="L21" s="20">
        <v>377</v>
      </c>
      <c r="M21" s="20">
        <v>298</v>
      </c>
      <c r="N21" s="20">
        <v>288</v>
      </c>
      <c r="O21" s="20">
        <v>242</v>
      </c>
      <c r="P21" s="20">
        <v>362</v>
      </c>
      <c r="Q21" s="20">
        <v>255</v>
      </c>
      <c r="R21" s="20">
        <v>256</v>
      </c>
      <c r="S21" s="20">
        <v>259</v>
      </c>
      <c r="T21" s="20">
        <v>175</v>
      </c>
      <c r="U21" s="20">
        <v>127</v>
      </c>
      <c r="V21" s="20">
        <v>338</v>
      </c>
      <c r="W21" s="20">
        <v>7</v>
      </c>
      <c r="X21" s="20">
        <v>97</v>
      </c>
      <c r="Y21" s="20">
        <v>739</v>
      </c>
      <c r="Z21" s="20">
        <v>180</v>
      </c>
    </row>
    <row r="22" spans="1:26" x14ac:dyDescent="0.25">
      <c r="A22" s="9" t="s">
        <v>13</v>
      </c>
      <c r="B22" s="21">
        <v>1935</v>
      </c>
      <c r="C22" s="21">
        <v>1895</v>
      </c>
      <c r="D22" s="21">
        <v>1696</v>
      </c>
      <c r="E22" s="21">
        <v>1324</v>
      </c>
      <c r="F22" s="21">
        <v>1307</v>
      </c>
      <c r="G22" s="20">
        <v>1200</v>
      </c>
      <c r="H22" s="20">
        <v>859</v>
      </c>
      <c r="I22" s="20">
        <v>725</v>
      </c>
      <c r="J22" s="20">
        <v>804</v>
      </c>
      <c r="K22" s="20">
        <v>741</v>
      </c>
      <c r="L22" s="20">
        <v>799</v>
      </c>
      <c r="M22" s="20">
        <v>910</v>
      </c>
      <c r="N22" s="20">
        <v>936</v>
      </c>
      <c r="O22" s="20">
        <v>831</v>
      </c>
      <c r="P22" s="20">
        <v>763</v>
      </c>
      <c r="Q22" s="20">
        <v>743</v>
      </c>
      <c r="R22" s="20">
        <v>689</v>
      </c>
      <c r="S22" s="20">
        <v>692</v>
      </c>
      <c r="T22" s="20">
        <v>781</v>
      </c>
      <c r="U22" s="20">
        <v>805</v>
      </c>
      <c r="V22" s="20">
        <v>809</v>
      </c>
      <c r="W22" s="20">
        <v>842</v>
      </c>
      <c r="X22" s="20">
        <v>902</v>
      </c>
      <c r="Y22" s="20">
        <v>831</v>
      </c>
      <c r="Z22" s="20">
        <v>848</v>
      </c>
    </row>
    <row r="23" spans="1:26" x14ac:dyDescent="0.25">
      <c r="A23" s="9" t="s">
        <v>14</v>
      </c>
      <c r="B23" s="21">
        <v>1651</v>
      </c>
      <c r="C23" s="21">
        <v>1629</v>
      </c>
      <c r="D23" s="21">
        <v>1509</v>
      </c>
      <c r="E23" s="21">
        <v>1397</v>
      </c>
      <c r="F23" s="21">
        <v>1433</v>
      </c>
      <c r="G23" s="20">
        <v>1152</v>
      </c>
      <c r="H23" s="20">
        <v>1174</v>
      </c>
      <c r="I23" s="20">
        <v>1309</v>
      </c>
      <c r="J23" s="20">
        <v>1271</v>
      </c>
      <c r="K23" s="20">
        <v>832</v>
      </c>
      <c r="L23" s="20">
        <v>759</v>
      </c>
      <c r="M23" s="20">
        <v>953</v>
      </c>
      <c r="N23" s="20">
        <v>795</v>
      </c>
      <c r="O23" s="20">
        <v>830</v>
      </c>
      <c r="P23" s="20">
        <v>757</v>
      </c>
      <c r="Q23" s="20">
        <v>718</v>
      </c>
      <c r="R23" s="20">
        <v>452</v>
      </c>
      <c r="S23" s="20">
        <v>381</v>
      </c>
      <c r="T23" s="20">
        <v>435</v>
      </c>
      <c r="U23" s="20">
        <v>438</v>
      </c>
      <c r="V23" s="20">
        <v>318</v>
      </c>
      <c r="W23" s="20">
        <v>289</v>
      </c>
      <c r="X23" s="20">
        <v>235</v>
      </c>
      <c r="Y23" s="20">
        <v>234</v>
      </c>
      <c r="Z23" s="20">
        <v>249</v>
      </c>
    </row>
    <row r="24" spans="1:26" x14ac:dyDescent="0.25">
      <c r="A24" s="9" t="s">
        <v>15</v>
      </c>
      <c r="B24" s="21">
        <v>2376</v>
      </c>
      <c r="C24" s="21">
        <v>2176</v>
      </c>
      <c r="D24" s="21">
        <v>2066</v>
      </c>
      <c r="E24" s="21">
        <v>1891</v>
      </c>
      <c r="F24" s="21">
        <v>1595</v>
      </c>
      <c r="G24" s="20">
        <v>1394</v>
      </c>
      <c r="H24" s="20">
        <v>1461</v>
      </c>
      <c r="I24" s="20">
        <v>1414</v>
      </c>
      <c r="J24" s="20">
        <v>1043</v>
      </c>
      <c r="K24" s="20">
        <v>1175</v>
      </c>
      <c r="L24" s="20">
        <v>1366</v>
      </c>
      <c r="M24" s="20">
        <v>1167</v>
      </c>
      <c r="N24" s="20">
        <v>712</v>
      </c>
      <c r="O24" s="20">
        <v>457</v>
      </c>
      <c r="P24" s="20">
        <v>423</v>
      </c>
      <c r="Q24" s="20">
        <v>290</v>
      </c>
      <c r="R24" s="20">
        <v>149</v>
      </c>
      <c r="S24" s="20">
        <v>119</v>
      </c>
      <c r="T24" s="20">
        <v>21</v>
      </c>
      <c r="U24" s="20">
        <v>38</v>
      </c>
      <c r="V24" s="20">
        <v>68</v>
      </c>
      <c r="W24" s="20">
        <v>47</v>
      </c>
      <c r="X24" s="20">
        <v>26</v>
      </c>
      <c r="Y24" s="20">
        <v>4655</v>
      </c>
      <c r="Z24" s="20">
        <v>4531</v>
      </c>
    </row>
    <row r="25" spans="1:26" x14ac:dyDescent="0.25">
      <c r="A25" s="9" t="s">
        <v>16</v>
      </c>
      <c r="B25" s="21">
        <v>3382</v>
      </c>
      <c r="C25" s="21">
        <v>3223</v>
      </c>
      <c r="D25" s="21">
        <v>2834</v>
      </c>
      <c r="E25" s="21">
        <v>2115</v>
      </c>
      <c r="F25" s="21">
        <v>1595</v>
      </c>
      <c r="G25" s="20">
        <v>1267</v>
      </c>
      <c r="H25" s="20">
        <v>1190</v>
      </c>
      <c r="I25" s="20">
        <v>1006</v>
      </c>
      <c r="J25" s="20">
        <v>767</v>
      </c>
      <c r="K25" s="20">
        <v>685</v>
      </c>
      <c r="L25" s="20">
        <v>645</v>
      </c>
      <c r="M25" s="20">
        <v>694</v>
      </c>
      <c r="N25" s="20">
        <v>593</v>
      </c>
      <c r="O25" s="20">
        <v>546</v>
      </c>
      <c r="P25" s="20">
        <v>596</v>
      </c>
      <c r="Q25" s="20">
        <v>376</v>
      </c>
      <c r="R25" s="20">
        <v>473</v>
      </c>
      <c r="S25" s="20">
        <v>493</v>
      </c>
      <c r="T25" s="20">
        <v>436</v>
      </c>
      <c r="U25" s="20">
        <v>552</v>
      </c>
      <c r="V25" s="20">
        <v>419</v>
      </c>
      <c r="W25" s="20">
        <v>501</v>
      </c>
      <c r="X25" s="20">
        <v>344</v>
      </c>
      <c r="Y25" s="20">
        <v>280</v>
      </c>
      <c r="Z25" s="20">
        <v>183</v>
      </c>
    </row>
    <row r="26" spans="1:26" x14ac:dyDescent="0.25">
      <c r="A26" s="9" t="s">
        <v>17</v>
      </c>
      <c r="B26" s="21">
        <v>2586</v>
      </c>
      <c r="C26" s="21">
        <v>2631</v>
      </c>
      <c r="D26" s="21">
        <v>2673</v>
      </c>
      <c r="E26" s="21">
        <v>2260</v>
      </c>
      <c r="F26" s="21">
        <v>2241</v>
      </c>
      <c r="G26" s="20">
        <v>1994</v>
      </c>
      <c r="H26" s="20">
        <v>1843</v>
      </c>
      <c r="I26" s="20">
        <v>1893</v>
      </c>
      <c r="J26" s="20">
        <v>1832</v>
      </c>
      <c r="K26" s="20">
        <v>1426</v>
      </c>
      <c r="L26" s="20">
        <v>1326</v>
      </c>
      <c r="M26" s="20">
        <v>949</v>
      </c>
      <c r="N26" s="20">
        <v>946</v>
      </c>
      <c r="O26" s="20">
        <v>792</v>
      </c>
      <c r="P26" s="20">
        <v>615</v>
      </c>
      <c r="Q26" s="20">
        <v>511</v>
      </c>
      <c r="R26" s="20">
        <v>541</v>
      </c>
      <c r="S26" s="20">
        <v>469</v>
      </c>
      <c r="T26" s="20">
        <v>465</v>
      </c>
      <c r="U26" s="20">
        <v>453</v>
      </c>
      <c r="V26" s="20">
        <v>594</v>
      </c>
      <c r="W26" s="20">
        <v>357</v>
      </c>
      <c r="X26" s="20">
        <v>287</v>
      </c>
      <c r="Y26" s="20">
        <v>259</v>
      </c>
      <c r="Z26" s="20">
        <v>262</v>
      </c>
    </row>
    <row r="27" spans="1:26" x14ac:dyDescent="0.25">
      <c r="A27" s="9" t="s">
        <v>18</v>
      </c>
      <c r="B27" s="21">
        <v>1510</v>
      </c>
      <c r="C27" s="21">
        <v>1265</v>
      </c>
      <c r="D27" s="21">
        <v>1205</v>
      </c>
      <c r="E27" s="21">
        <v>1183</v>
      </c>
      <c r="F27" s="21">
        <v>1292</v>
      </c>
      <c r="G27" s="20">
        <v>1220</v>
      </c>
      <c r="H27" s="20">
        <v>1231</v>
      </c>
      <c r="I27" s="20">
        <v>1207</v>
      </c>
      <c r="J27" s="20">
        <v>1155</v>
      </c>
      <c r="K27" s="20">
        <v>642</v>
      </c>
      <c r="L27" s="20">
        <v>635</v>
      </c>
      <c r="M27" s="20">
        <v>637</v>
      </c>
      <c r="N27" s="20">
        <v>605</v>
      </c>
      <c r="O27" s="20">
        <v>461</v>
      </c>
      <c r="P27" s="20">
        <v>762</v>
      </c>
      <c r="Q27" s="20">
        <v>577</v>
      </c>
      <c r="R27" s="20">
        <v>4079</v>
      </c>
      <c r="S27" s="20">
        <v>3104</v>
      </c>
      <c r="T27" s="20">
        <v>3162</v>
      </c>
      <c r="U27" s="20">
        <v>609</v>
      </c>
      <c r="V27" s="20">
        <v>635</v>
      </c>
      <c r="W27" s="20">
        <v>700</v>
      </c>
      <c r="X27" s="20">
        <v>752</v>
      </c>
      <c r="Y27" s="20">
        <v>863</v>
      </c>
      <c r="Z27" s="20">
        <v>886</v>
      </c>
    </row>
    <row r="28" spans="1:26" ht="18" x14ac:dyDescent="0.25">
      <c r="A28" s="8" t="s">
        <v>249</v>
      </c>
      <c r="B28" s="22">
        <v>13150</v>
      </c>
      <c r="C28" s="22">
        <v>13528</v>
      </c>
      <c r="D28" s="22">
        <v>13224</v>
      </c>
      <c r="E28" s="22">
        <v>13170</v>
      </c>
      <c r="F28" s="22">
        <v>12896</v>
      </c>
      <c r="G28" s="26">
        <v>12997</v>
      </c>
      <c r="H28" s="26">
        <v>11903</v>
      </c>
      <c r="I28" s="26">
        <v>14380</v>
      </c>
      <c r="J28" s="26">
        <v>12940</v>
      </c>
      <c r="K28" s="26">
        <v>10212</v>
      </c>
      <c r="L28" s="26">
        <v>10566</v>
      </c>
      <c r="M28" s="26">
        <v>9537</v>
      </c>
      <c r="N28" s="26">
        <v>9881</v>
      </c>
      <c r="O28" s="26">
        <v>10965</v>
      </c>
      <c r="P28" s="26">
        <v>11834</v>
      </c>
      <c r="Q28" s="26">
        <v>12250</v>
      </c>
      <c r="R28" s="26">
        <v>10078</v>
      </c>
      <c r="S28" s="26">
        <v>10824</v>
      </c>
      <c r="T28" s="26">
        <v>13155</v>
      </c>
      <c r="U28" s="26">
        <v>12050</v>
      </c>
      <c r="V28" s="26">
        <v>12058</v>
      </c>
      <c r="W28" s="26">
        <v>14359</v>
      </c>
      <c r="X28" s="26">
        <v>19091</v>
      </c>
      <c r="Y28" s="26">
        <v>20916</v>
      </c>
      <c r="Z28" s="26">
        <v>23530</v>
      </c>
    </row>
    <row r="29" spans="1:26" x14ac:dyDescent="0.25">
      <c r="A29" s="9" t="s">
        <v>19</v>
      </c>
      <c r="B29" s="21">
        <v>1035</v>
      </c>
      <c r="C29" s="21">
        <v>904</v>
      </c>
      <c r="D29" s="21">
        <v>963</v>
      </c>
      <c r="E29" s="21">
        <v>791</v>
      </c>
      <c r="F29" s="21">
        <v>655</v>
      </c>
      <c r="G29" s="20">
        <v>876</v>
      </c>
      <c r="H29" s="20">
        <v>743</v>
      </c>
      <c r="I29" s="20">
        <v>881</v>
      </c>
      <c r="J29" s="20">
        <v>770</v>
      </c>
      <c r="K29" s="20">
        <v>665</v>
      </c>
      <c r="L29" s="20">
        <v>529</v>
      </c>
      <c r="M29" s="20">
        <v>781</v>
      </c>
      <c r="N29" s="20">
        <v>705</v>
      </c>
      <c r="O29" s="20">
        <v>626</v>
      </c>
      <c r="P29" s="20">
        <v>618</v>
      </c>
      <c r="Q29" s="20">
        <v>553</v>
      </c>
      <c r="R29" s="20">
        <v>477</v>
      </c>
      <c r="S29" s="20">
        <v>453</v>
      </c>
      <c r="T29" s="20">
        <v>434</v>
      </c>
      <c r="U29" s="20">
        <v>449</v>
      </c>
      <c r="V29" s="20">
        <v>517</v>
      </c>
      <c r="W29" s="20">
        <v>295</v>
      </c>
      <c r="X29" s="20">
        <v>513</v>
      </c>
      <c r="Y29" s="20">
        <v>503</v>
      </c>
      <c r="Z29" s="20">
        <v>354</v>
      </c>
    </row>
    <row r="30" spans="1:26" x14ac:dyDescent="0.25">
      <c r="A30" s="9" t="s">
        <v>20</v>
      </c>
      <c r="B30" s="21">
        <v>1346</v>
      </c>
      <c r="C30" s="21">
        <v>1501</v>
      </c>
      <c r="D30" s="21">
        <v>1500</v>
      </c>
      <c r="E30" s="21">
        <v>1917</v>
      </c>
      <c r="F30" s="21">
        <v>1489</v>
      </c>
      <c r="G30" s="20">
        <v>1629</v>
      </c>
      <c r="H30" s="20">
        <v>1776</v>
      </c>
      <c r="I30" s="20">
        <v>2160</v>
      </c>
      <c r="J30" s="20">
        <v>2604</v>
      </c>
      <c r="K30" s="20">
        <v>2031</v>
      </c>
      <c r="L30" s="20">
        <v>1978</v>
      </c>
      <c r="M30" s="20">
        <v>1619</v>
      </c>
      <c r="N30" s="20">
        <v>2353</v>
      </c>
      <c r="O30" s="20">
        <v>2552</v>
      </c>
      <c r="P30" s="20">
        <v>3130</v>
      </c>
      <c r="Q30" s="20">
        <v>2584</v>
      </c>
      <c r="R30" s="20">
        <v>2138</v>
      </c>
      <c r="S30" s="20">
        <v>3104</v>
      </c>
      <c r="T30" s="20">
        <v>3312</v>
      </c>
      <c r="U30" s="20">
        <v>2963</v>
      </c>
      <c r="V30" s="20">
        <v>1903</v>
      </c>
      <c r="W30" s="20">
        <v>2875</v>
      </c>
      <c r="X30" s="20">
        <v>4385</v>
      </c>
      <c r="Y30" s="20">
        <v>2935</v>
      </c>
      <c r="Z30" s="20">
        <v>2504</v>
      </c>
    </row>
    <row r="31" spans="1:26" x14ac:dyDescent="0.25">
      <c r="A31" s="9" t="s">
        <v>21</v>
      </c>
      <c r="B31" s="21">
        <v>1762</v>
      </c>
      <c r="C31" s="21">
        <v>1565</v>
      </c>
      <c r="D31" s="21">
        <v>1512</v>
      </c>
      <c r="E31" s="21">
        <v>1408</v>
      </c>
      <c r="F31" s="21">
        <v>1423</v>
      </c>
      <c r="G31" s="20">
        <v>1512</v>
      </c>
      <c r="H31" s="20">
        <v>1773</v>
      </c>
      <c r="I31" s="20">
        <v>2821</v>
      </c>
      <c r="J31" s="20">
        <v>1791</v>
      </c>
      <c r="K31" s="20">
        <v>1578</v>
      </c>
      <c r="L31" s="20">
        <v>1712</v>
      </c>
      <c r="M31" s="20">
        <v>1682</v>
      </c>
      <c r="N31" s="20">
        <v>1716</v>
      </c>
      <c r="O31" s="20">
        <v>1634</v>
      </c>
      <c r="P31" s="20">
        <v>1831</v>
      </c>
      <c r="Q31" s="20">
        <v>1948</v>
      </c>
      <c r="R31" s="20">
        <v>1318</v>
      </c>
      <c r="S31" s="20">
        <v>1350</v>
      </c>
      <c r="T31" s="20">
        <v>1690</v>
      </c>
      <c r="U31" s="20">
        <v>1439</v>
      </c>
      <c r="V31" s="20">
        <v>1323</v>
      </c>
      <c r="W31" s="20">
        <v>1010</v>
      </c>
      <c r="X31" s="20">
        <v>904</v>
      </c>
      <c r="Y31" s="20">
        <v>940</v>
      </c>
      <c r="Z31" s="20">
        <v>895</v>
      </c>
    </row>
    <row r="32" spans="1:26" x14ac:dyDescent="0.25">
      <c r="A32" s="4" t="s">
        <v>63</v>
      </c>
      <c r="B32" s="160"/>
      <c r="C32" s="160"/>
      <c r="D32" s="160"/>
      <c r="E32" s="160"/>
      <c r="F32" s="160"/>
      <c r="G32" s="20"/>
      <c r="H32" s="160"/>
      <c r="I32" s="160"/>
      <c r="J32" s="160"/>
      <c r="K32" s="16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25">
      <c r="A33" s="14" t="s">
        <v>23</v>
      </c>
      <c r="B33" s="21">
        <v>98</v>
      </c>
      <c r="C33" s="21">
        <v>128</v>
      </c>
      <c r="D33" s="21">
        <v>275</v>
      </c>
      <c r="E33" s="21">
        <v>259</v>
      </c>
      <c r="F33" s="21">
        <v>482</v>
      </c>
      <c r="G33" s="20">
        <v>608</v>
      </c>
      <c r="H33" s="20">
        <v>844</v>
      </c>
      <c r="I33" s="20">
        <v>1783</v>
      </c>
      <c r="J33" s="20">
        <v>667</v>
      </c>
      <c r="K33" s="20">
        <v>419</v>
      </c>
      <c r="L33" s="20">
        <v>478</v>
      </c>
      <c r="M33" s="20">
        <v>467</v>
      </c>
      <c r="N33" s="20">
        <v>469</v>
      </c>
      <c r="O33" s="20">
        <v>546</v>
      </c>
      <c r="P33" s="20">
        <v>408</v>
      </c>
      <c r="Q33" s="20">
        <v>661</v>
      </c>
      <c r="R33" s="20">
        <v>267</v>
      </c>
      <c r="S33" s="20">
        <v>231</v>
      </c>
      <c r="T33" s="20">
        <v>721</v>
      </c>
      <c r="U33" s="20">
        <v>679</v>
      </c>
      <c r="V33" s="20">
        <v>769</v>
      </c>
      <c r="W33" s="20">
        <v>621</v>
      </c>
      <c r="X33" s="20">
        <v>459</v>
      </c>
      <c r="Y33" s="20">
        <v>301</v>
      </c>
      <c r="Z33" s="20">
        <v>217</v>
      </c>
    </row>
    <row r="34" spans="1:26" ht="19.5" x14ac:dyDescent="0.25">
      <c r="A34" s="14" t="s">
        <v>93</v>
      </c>
      <c r="B34" s="21">
        <v>1664</v>
      </c>
      <c r="C34" s="21">
        <v>1437</v>
      </c>
      <c r="D34" s="21">
        <v>1237</v>
      </c>
      <c r="E34" s="21">
        <v>1149</v>
      </c>
      <c r="F34" s="21">
        <v>941</v>
      </c>
      <c r="G34" s="20">
        <v>904</v>
      </c>
      <c r="H34" s="20">
        <v>929</v>
      </c>
      <c r="I34" s="20">
        <v>1038</v>
      </c>
      <c r="J34" s="20">
        <v>1124</v>
      </c>
      <c r="K34" s="20">
        <v>1159</v>
      </c>
      <c r="L34" s="20">
        <v>1234</v>
      </c>
      <c r="M34" s="20">
        <v>1215</v>
      </c>
      <c r="N34" s="20">
        <v>1247</v>
      </c>
      <c r="O34" s="20">
        <v>1088</v>
      </c>
      <c r="P34" s="20">
        <v>1423</v>
      </c>
      <c r="Q34" s="20">
        <v>1287</v>
      </c>
      <c r="R34" s="20">
        <v>1051</v>
      </c>
      <c r="S34" s="20">
        <v>1119</v>
      </c>
      <c r="T34" s="20">
        <v>969</v>
      </c>
      <c r="U34" s="20">
        <v>760</v>
      </c>
      <c r="V34" s="20">
        <v>554</v>
      </c>
      <c r="W34" s="20">
        <v>389</v>
      </c>
      <c r="X34" s="20">
        <v>445</v>
      </c>
      <c r="Y34" s="20">
        <v>639</v>
      </c>
      <c r="Z34" s="20">
        <v>678</v>
      </c>
    </row>
    <row r="35" spans="1:26" x14ac:dyDescent="0.25">
      <c r="A35" s="9" t="s">
        <v>24</v>
      </c>
      <c r="B35" s="21">
        <v>2775</v>
      </c>
      <c r="C35" s="21">
        <v>2506</v>
      </c>
      <c r="D35" s="21">
        <v>2268</v>
      </c>
      <c r="E35" s="21">
        <v>1983</v>
      </c>
      <c r="F35" s="21">
        <v>2299</v>
      </c>
      <c r="G35" s="20">
        <v>2025</v>
      </c>
      <c r="H35" s="20">
        <v>1635</v>
      </c>
      <c r="I35" s="20">
        <v>1794</v>
      </c>
      <c r="J35" s="20">
        <v>1629</v>
      </c>
      <c r="K35" s="20">
        <v>1225</v>
      </c>
      <c r="L35" s="20">
        <v>1049</v>
      </c>
      <c r="M35" s="20">
        <v>900</v>
      </c>
      <c r="N35" s="20">
        <v>845</v>
      </c>
      <c r="O35" s="20">
        <v>885</v>
      </c>
      <c r="P35" s="20">
        <v>657</v>
      </c>
      <c r="Q35" s="20">
        <v>604</v>
      </c>
      <c r="R35" s="20">
        <v>512</v>
      </c>
      <c r="S35" s="20">
        <v>518</v>
      </c>
      <c r="T35" s="20">
        <v>480</v>
      </c>
      <c r="U35" s="20">
        <v>670</v>
      </c>
      <c r="V35" s="20">
        <v>718</v>
      </c>
      <c r="W35" s="20">
        <v>768</v>
      </c>
      <c r="X35" s="20">
        <v>589</v>
      </c>
      <c r="Y35" s="20">
        <v>510</v>
      </c>
      <c r="Z35" s="20">
        <v>321</v>
      </c>
    </row>
    <row r="36" spans="1:26" x14ac:dyDescent="0.25">
      <c r="A36" s="9" t="s">
        <v>25</v>
      </c>
      <c r="B36" s="21">
        <v>590</v>
      </c>
      <c r="C36" s="21">
        <v>810</v>
      </c>
      <c r="D36" s="21">
        <v>714</v>
      </c>
      <c r="E36" s="21">
        <v>835</v>
      </c>
      <c r="F36" s="21">
        <v>772</v>
      </c>
      <c r="G36" s="20">
        <v>542</v>
      </c>
      <c r="H36" s="20">
        <v>619</v>
      </c>
      <c r="I36" s="20">
        <v>645</v>
      </c>
      <c r="J36" s="20">
        <v>617</v>
      </c>
      <c r="K36" s="20">
        <v>554</v>
      </c>
      <c r="L36" s="20">
        <v>308</v>
      </c>
      <c r="M36" s="20">
        <v>291</v>
      </c>
      <c r="N36" s="20">
        <v>216</v>
      </c>
      <c r="O36" s="20">
        <v>1022</v>
      </c>
      <c r="P36" s="20">
        <v>1208</v>
      </c>
      <c r="Q36" s="20">
        <v>1572</v>
      </c>
      <c r="R36" s="20">
        <v>1841</v>
      </c>
      <c r="S36" s="20">
        <v>1775</v>
      </c>
      <c r="T36" s="20">
        <v>1862</v>
      </c>
      <c r="U36" s="20">
        <v>2312</v>
      </c>
      <c r="V36" s="20">
        <v>1584</v>
      </c>
      <c r="W36" s="20">
        <v>2692</v>
      </c>
      <c r="X36" s="20">
        <v>298</v>
      </c>
      <c r="Y36" s="20">
        <v>5116</v>
      </c>
      <c r="Z36" s="20">
        <v>7615</v>
      </c>
    </row>
    <row r="37" spans="1:26" x14ac:dyDescent="0.25">
      <c r="A37" s="9" t="s">
        <v>26</v>
      </c>
      <c r="B37" s="21">
        <v>1460</v>
      </c>
      <c r="C37" s="21">
        <v>1834</v>
      </c>
      <c r="D37" s="21">
        <v>1943</v>
      </c>
      <c r="E37" s="21">
        <v>1514</v>
      </c>
      <c r="F37" s="21">
        <v>1633</v>
      </c>
      <c r="G37" s="20">
        <v>1195</v>
      </c>
      <c r="H37" s="20">
        <v>1036</v>
      </c>
      <c r="I37" s="20">
        <v>1193</v>
      </c>
      <c r="J37" s="20">
        <v>1172</v>
      </c>
      <c r="K37" s="20">
        <v>1224</v>
      </c>
      <c r="L37" s="20">
        <v>1253</v>
      </c>
      <c r="M37" s="20">
        <v>1266</v>
      </c>
      <c r="N37" s="20">
        <v>1183</v>
      </c>
      <c r="O37" s="20">
        <v>1561</v>
      </c>
      <c r="P37" s="20">
        <v>1784</v>
      </c>
      <c r="Q37" s="20">
        <v>2014</v>
      </c>
      <c r="R37" s="20">
        <v>1162</v>
      </c>
      <c r="S37" s="20">
        <v>2066</v>
      </c>
      <c r="T37" s="20">
        <v>2603</v>
      </c>
      <c r="U37" s="20">
        <v>1660</v>
      </c>
      <c r="V37" s="20">
        <v>3130</v>
      </c>
      <c r="W37" s="20">
        <v>3691</v>
      </c>
      <c r="X37" s="20">
        <v>9128</v>
      </c>
      <c r="Y37" s="20">
        <v>8392</v>
      </c>
      <c r="Z37" s="20">
        <v>9190</v>
      </c>
    </row>
    <row r="38" spans="1:26" x14ac:dyDescent="0.25">
      <c r="A38" s="9" t="s">
        <v>27</v>
      </c>
      <c r="B38" s="21">
        <v>1220</v>
      </c>
      <c r="C38" s="21">
        <v>1181</v>
      </c>
      <c r="D38" s="21">
        <v>1183</v>
      </c>
      <c r="E38" s="21">
        <v>1120</v>
      </c>
      <c r="F38" s="21">
        <v>916</v>
      </c>
      <c r="G38" s="20">
        <v>1220</v>
      </c>
      <c r="H38" s="20">
        <v>1189</v>
      </c>
      <c r="I38" s="20">
        <v>1198</v>
      </c>
      <c r="J38" s="20">
        <v>1313</v>
      </c>
      <c r="K38" s="20">
        <v>952</v>
      </c>
      <c r="L38" s="20">
        <v>1058</v>
      </c>
      <c r="M38" s="20">
        <v>989</v>
      </c>
      <c r="N38" s="20">
        <v>872</v>
      </c>
      <c r="O38" s="20">
        <v>854</v>
      </c>
      <c r="P38" s="20">
        <v>942</v>
      </c>
      <c r="Q38" s="20">
        <v>946</v>
      </c>
      <c r="R38" s="20">
        <v>894</v>
      </c>
      <c r="S38" s="20">
        <v>876</v>
      </c>
      <c r="T38" s="20">
        <v>547</v>
      </c>
      <c r="U38" s="20">
        <v>572</v>
      </c>
      <c r="V38" s="20">
        <v>701</v>
      </c>
      <c r="W38" s="20">
        <v>644</v>
      </c>
      <c r="X38" s="20">
        <v>365</v>
      </c>
      <c r="Y38" s="20">
        <v>385</v>
      </c>
      <c r="Z38" s="20">
        <v>524</v>
      </c>
    </row>
    <row r="39" spans="1:26" x14ac:dyDescent="0.25">
      <c r="A39" s="9" t="s">
        <v>28</v>
      </c>
      <c r="B39" s="21">
        <v>706</v>
      </c>
      <c r="C39" s="21">
        <v>598</v>
      </c>
      <c r="D39" s="21">
        <v>475</v>
      </c>
      <c r="E39" s="21">
        <v>474</v>
      </c>
      <c r="F39" s="21">
        <v>446</v>
      </c>
      <c r="G39" s="20">
        <v>560</v>
      </c>
      <c r="H39" s="20">
        <v>405</v>
      </c>
      <c r="I39" s="20">
        <v>562</v>
      </c>
      <c r="J39" s="20">
        <v>593</v>
      </c>
      <c r="K39" s="20">
        <v>401</v>
      </c>
      <c r="L39" s="20">
        <v>542</v>
      </c>
      <c r="M39" s="20">
        <v>495</v>
      </c>
      <c r="N39" s="20">
        <v>281</v>
      </c>
      <c r="O39" s="20">
        <v>221</v>
      </c>
      <c r="P39" s="20">
        <v>138</v>
      </c>
      <c r="Q39" s="20">
        <v>245</v>
      </c>
      <c r="R39" s="20">
        <v>131</v>
      </c>
      <c r="S39" s="20">
        <v>73</v>
      </c>
      <c r="T39" s="20">
        <v>127</v>
      </c>
      <c r="U39" s="20">
        <v>84</v>
      </c>
      <c r="V39" s="20">
        <v>59</v>
      </c>
      <c r="W39" s="20">
        <v>81</v>
      </c>
      <c r="X39" s="20">
        <v>76</v>
      </c>
      <c r="Y39" s="20">
        <v>95</v>
      </c>
      <c r="Z39" s="20">
        <v>103</v>
      </c>
    </row>
    <row r="40" spans="1:26" x14ac:dyDescent="0.25">
      <c r="A40" s="9" t="s">
        <v>29</v>
      </c>
      <c r="B40" s="21">
        <v>1009</v>
      </c>
      <c r="C40" s="21">
        <v>957</v>
      </c>
      <c r="D40" s="21">
        <v>927</v>
      </c>
      <c r="E40" s="21">
        <v>811</v>
      </c>
      <c r="F40" s="21">
        <v>768</v>
      </c>
      <c r="G40" s="20">
        <v>599</v>
      </c>
      <c r="H40" s="20">
        <v>461</v>
      </c>
      <c r="I40" s="20">
        <v>438</v>
      </c>
      <c r="J40" s="20">
        <v>442</v>
      </c>
      <c r="K40" s="20">
        <v>444</v>
      </c>
      <c r="L40" s="20">
        <v>362</v>
      </c>
      <c r="M40" s="20">
        <v>221</v>
      </c>
      <c r="N40" s="20">
        <v>257</v>
      </c>
      <c r="O40" s="20">
        <v>280</v>
      </c>
      <c r="P40" s="20">
        <v>165</v>
      </c>
      <c r="Q40" s="20">
        <v>172</v>
      </c>
      <c r="R40" s="20">
        <v>222</v>
      </c>
      <c r="S40" s="20">
        <v>111</v>
      </c>
      <c r="T40" s="20">
        <v>140</v>
      </c>
      <c r="U40" s="20">
        <v>179</v>
      </c>
      <c r="V40" s="20">
        <v>190</v>
      </c>
      <c r="W40" s="20">
        <v>229</v>
      </c>
      <c r="X40" s="20">
        <v>244</v>
      </c>
      <c r="Y40" s="20">
        <v>152</v>
      </c>
      <c r="Z40" s="20">
        <v>214</v>
      </c>
    </row>
    <row r="41" spans="1:26" x14ac:dyDescent="0.25">
      <c r="A41" s="9" t="s">
        <v>30</v>
      </c>
      <c r="B41" s="21">
        <v>1247</v>
      </c>
      <c r="C41" s="21">
        <v>1672</v>
      </c>
      <c r="D41" s="21">
        <v>1739</v>
      </c>
      <c r="E41" s="21">
        <v>2317</v>
      </c>
      <c r="F41" s="21">
        <v>2495</v>
      </c>
      <c r="G41" s="20">
        <v>2839</v>
      </c>
      <c r="H41" s="20">
        <v>2266</v>
      </c>
      <c r="I41" s="20">
        <v>2688</v>
      </c>
      <c r="J41" s="20">
        <v>2009</v>
      </c>
      <c r="K41" s="20">
        <v>1138</v>
      </c>
      <c r="L41" s="20">
        <v>1775</v>
      </c>
      <c r="M41" s="20">
        <v>1293</v>
      </c>
      <c r="N41" s="20">
        <v>1453</v>
      </c>
      <c r="O41" s="20">
        <v>1330</v>
      </c>
      <c r="P41" s="20">
        <v>1361</v>
      </c>
      <c r="Q41" s="20">
        <v>1612</v>
      </c>
      <c r="R41" s="20">
        <v>1383</v>
      </c>
      <c r="S41" s="20">
        <v>498</v>
      </c>
      <c r="T41" s="20">
        <v>1960</v>
      </c>
      <c r="U41" s="20">
        <v>1722</v>
      </c>
      <c r="V41" s="20">
        <v>1933</v>
      </c>
      <c r="W41" s="20">
        <v>2074</v>
      </c>
      <c r="X41" s="20">
        <v>2589</v>
      </c>
      <c r="Y41" s="20">
        <v>1888</v>
      </c>
      <c r="Z41" s="20">
        <v>1810</v>
      </c>
    </row>
    <row r="42" spans="1:26" ht="22.5" customHeight="1" x14ac:dyDescent="0.25">
      <c r="A42" s="8" t="s">
        <v>250</v>
      </c>
      <c r="B42" s="22">
        <v>15031</v>
      </c>
      <c r="C42" s="22">
        <v>13937</v>
      </c>
      <c r="D42" s="22">
        <v>12883</v>
      </c>
      <c r="E42" s="22">
        <v>13325</v>
      </c>
      <c r="F42" s="22">
        <v>13231</v>
      </c>
      <c r="G42" s="26">
        <v>11640</v>
      </c>
      <c r="H42" s="26">
        <v>10803</v>
      </c>
      <c r="I42" s="26">
        <v>10668</v>
      </c>
      <c r="J42" s="26">
        <v>10444</v>
      </c>
      <c r="K42" s="26">
        <v>10291</v>
      </c>
      <c r="L42" s="26">
        <v>10065</v>
      </c>
      <c r="M42" s="26">
        <v>9332</v>
      </c>
      <c r="N42" s="26">
        <v>10743</v>
      </c>
      <c r="O42" s="26">
        <v>8733</v>
      </c>
      <c r="P42" s="26">
        <v>6675</v>
      </c>
      <c r="Q42" s="26">
        <v>6798</v>
      </c>
      <c r="R42" s="26">
        <v>6155</v>
      </c>
      <c r="S42" s="26">
        <v>5167</v>
      </c>
      <c r="T42" s="26">
        <v>5240</v>
      </c>
      <c r="U42" s="26">
        <v>6174</v>
      </c>
      <c r="V42" s="26">
        <v>6129</v>
      </c>
      <c r="W42" s="26">
        <v>6459</v>
      </c>
      <c r="X42" s="26">
        <v>4754</v>
      </c>
      <c r="Y42" s="26">
        <v>9170</v>
      </c>
      <c r="Z42" s="26">
        <v>9765</v>
      </c>
    </row>
    <row r="43" spans="1:26" x14ac:dyDescent="0.25">
      <c r="A43" s="9" t="s">
        <v>31</v>
      </c>
      <c r="B43" s="21">
        <v>389</v>
      </c>
      <c r="C43" s="21">
        <v>369</v>
      </c>
      <c r="D43" s="21">
        <v>349</v>
      </c>
      <c r="E43" s="21">
        <v>606</v>
      </c>
      <c r="F43" s="21">
        <v>301</v>
      </c>
      <c r="G43" s="20">
        <v>369</v>
      </c>
      <c r="H43" s="20">
        <v>77</v>
      </c>
      <c r="I43" s="20">
        <v>201</v>
      </c>
      <c r="J43" s="20">
        <v>249</v>
      </c>
      <c r="K43" s="20">
        <v>267</v>
      </c>
      <c r="L43" s="20">
        <v>182</v>
      </c>
      <c r="M43" s="20">
        <v>49</v>
      </c>
      <c r="N43" s="20">
        <v>68</v>
      </c>
      <c r="O43" s="20">
        <v>31</v>
      </c>
      <c r="P43" s="20">
        <v>41</v>
      </c>
      <c r="Q43" s="20">
        <v>57</v>
      </c>
      <c r="R43" s="20">
        <v>43</v>
      </c>
      <c r="S43" s="20">
        <v>46</v>
      </c>
      <c r="T43" s="20">
        <v>94</v>
      </c>
      <c r="U43" s="20">
        <v>54</v>
      </c>
      <c r="V43" s="20">
        <v>80</v>
      </c>
      <c r="W43" s="20">
        <v>40</v>
      </c>
      <c r="X43" s="20">
        <v>55</v>
      </c>
      <c r="Y43" s="20">
        <v>71</v>
      </c>
      <c r="Z43" s="20">
        <v>77</v>
      </c>
    </row>
    <row r="44" spans="1:26" x14ac:dyDescent="0.25">
      <c r="A44" s="9" t="s">
        <v>32</v>
      </c>
      <c r="B44" s="21">
        <v>798</v>
      </c>
      <c r="C44" s="21">
        <v>829</v>
      </c>
      <c r="D44" s="21">
        <v>709</v>
      </c>
      <c r="E44" s="21">
        <v>676</v>
      </c>
      <c r="F44" s="21">
        <v>546</v>
      </c>
      <c r="G44" s="20">
        <v>508</v>
      </c>
      <c r="H44" s="20">
        <v>481</v>
      </c>
      <c r="I44" s="20">
        <v>348</v>
      </c>
      <c r="J44" s="20">
        <v>323</v>
      </c>
      <c r="K44" s="20">
        <v>383</v>
      </c>
      <c r="L44" s="20">
        <v>374</v>
      </c>
      <c r="M44" s="20">
        <v>336</v>
      </c>
      <c r="N44" s="20">
        <v>385</v>
      </c>
      <c r="O44" s="20">
        <v>342</v>
      </c>
      <c r="P44" s="20">
        <v>336</v>
      </c>
      <c r="Q44" s="20">
        <v>243</v>
      </c>
      <c r="R44" s="20">
        <v>212</v>
      </c>
      <c r="S44" s="20">
        <v>297</v>
      </c>
      <c r="T44" s="20">
        <v>441</v>
      </c>
      <c r="U44" s="20">
        <v>437</v>
      </c>
      <c r="V44" s="20">
        <v>579</v>
      </c>
      <c r="W44" s="20">
        <v>547</v>
      </c>
      <c r="X44" s="20">
        <v>359</v>
      </c>
      <c r="Y44" s="20">
        <v>888</v>
      </c>
      <c r="Z44" s="20">
        <v>1339</v>
      </c>
    </row>
    <row r="45" spans="1:26" x14ac:dyDescent="0.25">
      <c r="A45" s="9" t="s">
        <v>33</v>
      </c>
      <c r="B45" s="21"/>
      <c r="C45" s="21"/>
      <c r="D45" s="21"/>
      <c r="E45" s="21"/>
      <c r="F45" s="21"/>
      <c r="G45" s="20"/>
      <c r="H45" s="20"/>
      <c r="I45" s="20"/>
      <c r="J45" s="20"/>
      <c r="K45" s="20"/>
      <c r="L45" s="20"/>
      <c r="M45" s="20" t="s">
        <v>258</v>
      </c>
      <c r="N45" s="20" t="s">
        <v>258</v>
      </c>
      <c r="O45" s="20" t="s">
        <v>258</v>
      </c>
      <c r="P45" s="20">
        <v>672</v>
      </c>
      <c r="Q45" s="20">
        <v>461</v>
      </c>
      <c r="R45" s="20">
        <v>440</v>
      </c>
      <c r="S45" s="20">
        <v>411</v>
      </c>
      <c r="T45" s="20">
        <v>221</v>
      </c>
      <c r="U45" s="20">
        <v>296</v>
      </c>
      <c r="V45" s="20">
        <v>485</v>
      </c>
      <c r="W45" s="20">
        <v>437</v>
      </c>
      <c r="X45" s="20">
        <v>439</v>
      </c>
      <c r="Y45" s="20">
        <v>460</v>
      </c>
      <c r="Z45" s="20">
        <v>486</v>
      </c>
    </row>
    <row r="46" spans="1:26" x14ac:dyDescent="0.25">
      <c r="A46" s="9" t="s">
        <v>34</v>
      </c>
      <c r="B46" s="21">
        <v>5359</v>
      </c>
      <c r="C46" s="21">
        <v>5266</v>
      </c>
      <c r="D46" s="21">
        <v>5285</v>
      </c>
      <c r="E46" s="21">
        <v>5861</v>
      </c>
      <c r="F46" s="21">
        <v>6601</v>
      </c>
      <c r="G46" s="20">
        <v>5433</v>
      </c>
      <c r="H46" s="20">
        <v>5069</v>
      </c>
      <c r="I46" s="20">
        <v>5383</v>
      </c>
      <c r="J46" s="20">
        <v>5215</v>
      </c>
      <c r="K46" s="20">
        <v>5331</v>
      </c>
      <c r="L46" s="20">
        <v>5445</v>
      </c>
      <c r="M46" s="20">
        <v>4975</v>
      </c>
      <c r="N46" s="20">
        <v>6601</v>
      </c>
      <c r="O46" s="20">
        <v>4573</v>
      </c>
      <c r="P46" s="20">
        <v>2233</v>
      </c>
      <c r="Q46" s="20">
        <v>2460</v>
      </c>
      <c r="R46" s="20">
        <v>2455</v>
      </c>
      <c r="S46" s="20">
        <v>1429</v>
      </c>
      <c r="T46" s="20">
        <v>1087</v>
      </c>
      <c r="U46" s="20">
        <v>1311</v>
      </c>
      <c r="V46" s="20">
        <v>895</v>
      </c>
      <c r="W46" s="20">
        <v>341</v>
      </c>
      <c r="X46" s="20">
        <v>811</v>
      </c>
      <c r="Y46" s="20">
        <v>1138</v>
      </c>
      <c r="Z46" s="20">
        <v>1342</v>
      </c>
    </row>
    <row r="47" spans="1:26" x14ac:dyDescent="0.25">
      <c r="A47" s="9" t="s">
        <v>35</v>
      </c>
      <c r="B47" s="21">
        <v>1297</v>
      </c>
      <c r="C47" s="21">
        <v>1165</v>
      </c>
      <c r="D47" s="21">
        <v>915</v>
      </c>
      <c r="E47" s="21">
        <v>750</v>
      </c>
      <c r="F47" s="21">
        <v>763</v>
      </c>
      <c r="G47" s="20">
        <v>741</v>
      </c>
      <c r="H47" s="20">
        <v>831</v>
      </c>
      <c r="I47" s="20">
        <v>715</v>
      </c>
      <c r="J47" s="20">
        <v>756</v>
      </c>
      <c r="K47" s="20">
        <v>739</v>
      </c>
      <c r="L47" s="20">
        <v>687</v>
      </c>
      <c r="M47" s="20">
        <v>652</v>
      </c>
      <c r="N47" s="20">
        <v>475</v>
      </c>
      <c r="O47" s="20">
        <v>382</v>
      </c>
      <c r="P47" s="20">
        <v>356</v>
      </c>
      <c r="Q47" s="20">
        <v>254</v>
      </c>
      <c r="R47" s="20">
        <v>201</v>
      </c>
      <c r="S47" s="20">
        <v>231</v>
      </c>
      <c r="T47" s="20">
        <v>300</v>
      </c>
      <c r="U47" s="20">
        <v>317</v>
      </c>
      <c r="V47" s="20">
        <v>291</v>
      </c>
      <c r="W47" s="20">
        <v>248</v>
      </c>
      <c r="X47" s="20">
        <v>377</v>
      </c>
      <c r="Y47" s="20">
        <v>1378</v>
      </c>
      <c r="Z47" s="20">
        <v>525</v>
      </c>
    </row>
    <row r="48" spans="1:26" x14ac:dyDescent="0.25">
      <c r="A48" s="9" t="s">
        <v>36</v>
      </c>
      <c r="B48" s="21">
        <v>3357</v>
      </c>
      <c r="C48" s="21">
        <v>3177</v>
      </c>
      <c r="D48" s="21">
        <v>2783</v>
      </c>
      <c r="E48" s="21">
        <v>2517</v>
      </c>
      <c r="F48" s="21">
        <v>2390</v>
      </c>
      <c r="G48" s="20">
        <v>2057</v>
      </c>
      <c r="H48" s="20">
        <v>2170</v>
      </c>
      <c r="I48" s="20">
        <v>1962</v>
      </c>
      <c r="J48" s="20">
        <v>2002</v>
      </c>
      <c r="K48" s="20">
        <v>1654</v>
      </c>
      <c r="L48" s="20">
        <v>1767</v>
      </c>
      <c r="M48" s="20">
        <v>1812</v>
      </c>
      <c r="N48" s="20">
        <v>1774</v>
      </c>
      <c r="O48" s="20">
        <v>1487</v>
      </c>
      <c r="P48" s="20">
        <v>1377</v>
      </c>
      <c r="Q48" s="20">
        <v>1227</v>
      </c>
      <c r="R48" s="20">
        <v>1133</v>
      </c>
      <c r="S48" s="20">
        <v>1255</v>
      </c>
      <c r="T48" s="20">
        <v>1672</v>
      </c>
      <c r="U48" s="20">
        <v>1843</v>
      </c>
      <c r="V48" s="20">
        <v>1593</v>
      </c>
      <c r="W48" s="20">
        <v>3290</v>
      </c>
      <c r="X48" s="20">
        <v>1316</v>
      </c>
      <c r="Y48" s="20">
        <v>3795</v>
      </c>
      <c r="Z48" s="20">
        <v>3736</v>
      </c>
    </row>
    <row r="49" spans="1:26" x14ac:dyDescent="0.25">
      <c r="A49" s="9" t="s">
        <v>37</v>
      </c>
      <c r="B49" s="21">
        <v>3831</v>
      </c>
      <c r="C49" s="21">
        <v>3131</v>
      </c>
      <c r="D49" s="21">
        <v>2842</v>
      </c>
      <c r="E49" s="21">
        <v>2915</v>
      </c>
      <c r="F49" s="21">
        <v>2630</v>
      </c>
      <c r="G49" s="20">
        <v>2532</v>
      </c>
      <c r="H49" s="20">
        <v>2175</v>
      </c>
      <c r="I49" s="20">
        <v>2059</v>
      </c>
      <c r="J49" s="20">
        <v>1899</v>
      </c>
      <c r="K49" s="20">
        <v>1917</v>
      </c>
      <c r="L49" s="20">
        <v>1610</v>
      </c>
      <c r="M49" s="20">
        <v>1508</v>
      </c>
      <c r="N49" s="20">
        <v>1440</v>
      </c>
      <c r="O49" s="20">
        <v>1918</v>
      </c>
      <c r="P49" s="20">
        <v>1598</v>
      </c>
      <c r="Q49" s="20">
        <v>2089</v>
      </c>
      <c r="R49" s="20">
        <v>1671</v>
      </c>
      <c r="S49" s="20">
        <v>1384</v>
      </c>
      <c r="T49" s="20">
        <v>1416</v>
      </c>
      <c r="U49" s="20">
        <v>1914</v>
      </c>
      <c r="V49" s="20">
        <v>2202</v>
      </c>
      <c r="W49" s="20">
        <v>1556</v>
      </c>
      <c r="X49" s="20">
        <v>1392</v>
      </c>
      <c r="Y49" s="20">
        <v>1349</v>
      </c>
      <c r="Z49" s="20">
        <v>2167</v>
      </c>
    </row>
    <row r="50" spans="1:26" x14ac:dyDescent="0.25">
      <c r="A50" s="9" t="s">
        <v>38</v>
      </c>
      <c r="B50" s="21"/>
      <c r="C50" s="21"/>
      <c r="D50" s="21"/>
      <c r="E50" s="21"/>
      <c r="F50" s="21"/>
      <c r="G50" s="20"/>
      <c r="H50" s="20"/>
      <c r="I50" s="20"/>
      <c r="J50" s="20"/>
      <c r="K50" s="20"/>
      <c r="L50" s="20"/>
      <c r="M50" s="20" t="s">
        <v>258</v>
      </c>
      <c r="N50" s="20" t="s">
        <v>258</v>
      </c>
      <c r="O50" s="20" t="s">
        <v>258</v>
      </c>
      <c r="P50" s="20">
        <v>62</v>
      </c>
      <c r="Q50" s="20">
        <v>7</v>
      </c>
      <c r="R50" s="20" t="s">
        <v>96</v>
      </c>
      <c r="S50" s="20">
        <v>114</v>
      </c>
      <c r="T50" s="20">
        <v>9</v>
      </c>
      <c r="U50" s="20">
        <v>2</v>
      </c>
      <c r="V50" s="20">
        <v>4</v>
      </c>
      <c r="W50" s="182" t="s">
        <v>96</v>
      </c>
      <c r="X50" s="20">
        <v>5</v>
      </c>
      <c r="Y50" s="20">
        <v>91</v>
      </c>
      <c r="Z50" s="20">
        <v>93</v>
      </c>
    </row>
    <row r="51" spans="1:26" ht="18" x14ac:dyDescent="0.25">
      <c r="A51" s="8" t="s">
        <v>89</v>
      </c>
      <c r="B51" s="22">
        <v>5871</v>
      </c>
      <c r="C51" s="22">
        <v>5059</v>
      </c>
      <c r="D51" s="22">
        <v>5427</v>
      </c>
      <c r="E51" s="22">
        <v>7357</v>
      </c>
      <c r="F51" s="22">
        <v>4827</v>
      </c>
      <c r="G51" s="26">
        <v>4104</v>
      </c>
      <c r="H51" s="26">
        <v>3940</v>
      </c>
      <c r="I51" s="26">
        <v>4607</v>
      </c>
      <c r="J51" s="26">
        <v>3267</v>
      </c>
      <c r="K51" s="26">
        <v>3408</v>
      </c>
      <c r="L51" s="26">
        <v>2893</v>
      </c>
      <c r="M51" s="26">
        <v>3243</v>
      </c>
      <c r="N51" s="26">
        <v>2032</v>
      </c>
      <c r="O51" s="26">
        <v>2006</v>
      </c>
      <c r="P51" s="26">
        <v>2296</v>
      </c>
      <c r="Q51" s="26">
        <v>2078</v>
      </c>
      <c r="R51" s="26">
        <v>1404</v>
      </c>
      <c r="S51" s="26">
        <v>1075</v>
      </c>
      <c r="T51" s="26">
        <v>1442</v>
      </c>
      <c r="U51" s="26">
        <v>1427</v>
      </c>
      <c r="V51" s="26">
        <v>1230</v>
      </c>
      <c r="W51" s="26">
        <v>1842</v>
      </c>
      <c r="X51" s="26">
        <v>1385</v>
      </c>
      <c r="Y51" s="26">
        <v>1968</v>
      </c>
      <c r="Z51" s="26">
        <v>1483</v>
      </c>
    </row>
    <row r="52" spans="1:26" x14ac:dyDescent="0.25">
      <c r="A52" s="9" t="s">
        <v>39</v>
      </c>
      <c r="B52" s="21">
        <v>2126</v>
      </c>
      <c r="C52" s="21">
        <v>1565</v>
      </c>
      <c r="D52" s="21">
        <v>2218</v>
      </c>
      <c r="E52" s="21">
        <v>2177</v>
      </c>
      <c r="F52" s="21">
        <v>1788</v>
      </c>
      <c r="G52" s="20">
        <v>1267</v>
      </c>
      <c r="H52" s="20">
        <v>1036</v>
      </c>
      <c r="I52" s="20">
        <v>1873</v>
      </c>
      <c r="J52" s="20">
        <v>913</v>
      </c>
      <c r="K52" s="20">
        <v>861</v>
      </c>
      <c r="L52" s="20">
        <v>724</v>
      </c>
      <c r="M52" s="20">
        <v>1317</v>
      </c>
      <c r="N52" s="20">
        <v>794</v>
      </c>
      <c r="O52" s="20">
        <v>500</v>
      </c>
      <c r="P52" s="20">
        <v>548</v>
      </c>
      <c r="Q52" s="20">
        <v>361</v>
      </c>
      <c r="R52" s="20">
        <v>353</v>
      </c>
      <c r="S52" s="20">
        <v>279</v>
      </c>
      <c r="T52" s="20">
        <v>362</v>
      </c>
      <c r="U52" s="20">
        <v>288</v>
      </c>
      <c r="V52" s="20">
        <v>60</v>
      </c>
      <c r="W52" s="20">
        <v>242</v>
      </c>
      <c r="X52" s="20">
        <v>301</v>
      </c>
      <c r="Y52" s="20">
        <v>1009</v>
      </c>
      <c r="Z52" s="20">
        <v>705</v>
      </c>
    </row>
    <row r="53" spans="1:26" x14ac:dyDescent="0.25">
      <c r="A53" s="9" t="s">
        <v>99</v>
      </c>
      <c r="B53" s="21">
        <v>169</v>
      </c>
      <c r="C53" s="21">
        <v>162</v>
      </c>
      <c r="D53" s="21">
        <v>100</v>
      </c>
      <c r="E53" s="21">
        <v>91</v>
      </c>
      <c r="F53" s="21">
        <v>114</v>
      </c>
      <c r="G53" s="20">
        <v>123</v>
      </c>
      <c r="H53" s="20">
        <v>373</v>
      </c>
      <c r="I53" s="20">
        <v>149</v>
      </c>
      <c r="J53" s="20">
        <v>138</v>
      </c>
      <c r="K53" s="20">
        <v>627</v>
      </c>
      <c r="L53" s="20">
        <v>150</v>
      </c>
      <c r="M53" s="20">
        <v>131</v>
      </c>
      <c r="N53" s="20">
        <v>119</v>
      </c>
      <c r="O53" s="20">
        <v>56</v>
      </c>
      <c r="P53" s="20">
        <v>40</v>
      </c>
      <c r="Q53" s="20">
        <v>34</v>
      </c>
      <c r="R53" s="20">
        <v>32</v>
      </c>
      <c r="S53" s="20" t="s">
        <v>96</v>
      </c>
      <c r="T53" s="20" t="s">
        <v>96</v>
      </c>
      <c r="U53" s="20" t="s">
        <v>96</v>
      </c>
      <c r="V53" s="20" t="s">
        <v>96</v>
      </c>
      <c r="W53" s="20" t="s">
        <v>96</v>
      </c>
      <c r="X53" s="20">
        <v>70</v>
      </c>
      <c r="Y53" s="20">
        <v>50</v>
      </c>
      <c r="Z53" s="20">
        <v>28</v>
      </c>
    </row>
    <row r="54" spans="1:26" x14ac:dyDescent="0.25">
      <c r="A54" s="9" t="s">
        <v>41</v>
      </c>
      <c r="B54" s="21">
        <v>565</v>
      </c>
      <c r="C54" s="21">
        <v>454</v>
      </c>
      <c r="D54" s="21">
        <v>366</v>
      </c>
      <c r="E54" s="21">
        <v>356</v>
      </c>
      <c r="F54" s="21">
        <v>426</v>
      </c>
      <c r="G54" s="20">
        <v>382</v>
      </c>
      <c r="H54" s="20">
        <v>312</v>
      </c>
      <c r="I54" s="20">
        <v>178</v>
      </c>
      <c r="J54" s="20">
        <v>175</v>
      </c>
      <c r="K54" s="20">
        <v>145</v>
      </c>
      <c r="L54" s="20">
        <v>122</v>
      </c>
      <c r="M54" s="20">
        <v>146</v>
      </c>
      <c r="N54" s="20">
        <v>198</v>
      </c>
      <c r="O54" s="20">
        <v>113</v>
      </c>
      <c r="P54" s="20">
        <v>132</v>
      </c>
      <c r="Q54" s="20">
        <v>220</v>
      </c>
      <c r="R54" s="20">
        <v>9</v>
      </c>
      <c r="S54" s="20">
        <v>134</v>
      </c>
      <c r="T54" s="20">
        <v>168</v>
      </c>
      <c r="U54" s="20">
        <v>174</v>
      </c>
      <c r="V54" s="20">
        <v>16</v>
      </c>
      <c r="W54" s="20">
        <v>68</v>
      </c>
      <c r="X54" s="20">
        <v>106</v>
      </c>
      <c r="Y54" s="20">
        <v>158</v>
      </c>
      <c r="Z54" s="20">
        <v>64</v>
      </c>
    </row>
    <row r="55" spans="1:26" x14ac:dyDescent="0.25">
      <c r="A55" s="9" t="s">
        <v>42</v>
      </c>
      <c r="B55" s="21">
        <v>377</v>
      </c>
      <c r="C55" s="21">
        <v>504</v>
      </c>
      <c r="D55" s="21">
        <v>445</v>
      </c>
      <c r="E55" s="21">
        <v>431</v>
      </c>
      <c r="F55" s="21">
        <v>536</v>
      </c>
      <c r="G55" s="20">
        <v>557</v>
      </c>
      <c r="H55" s="20">
        <v>560</v>
      </c>
      <c r="I55" s="20">
        <v>704</v>
      </c>
      <c r="J55" s="20">
        <v>532</v>
      </c>
      <c r="K55" s="20">
        <v>589</v>
      </c>
      <c r="L55" s="20">
        <v>706</v>
      </c>
      <c r="M55" s="20">
        <v>651</v>
      </c>
      <c r="N55" s="20">
        <v>1</v>
      </c>
      <c r="O55" s="20">
        <v>63</v>
      </c>
      <c r="P55" s="20">
        <v>271</v>
      </c>
      <c r="Q55" s="20">
        <v>530</v>
      </c>
      <c r="R55" s="20">
        <v>296</v>
      </c>
      <c r="S55" s="20">
        <v>27</v>
      </c>
      <c r="T55" s="20">
        <v>20</v>
      </c>
      <c r="U55" s="20">
        <v>60</v>
      </c>
      <c r="V55" s="20">
        <v>213</v>
      </c>
      <c r="W55" s="20">
        <v>312</v>
      </c>
      <c r="X55" s="20">
        <v>386</v>
      </c>
      <c r="Y55" s="20">
        <v>355</v>
      </c>
      <c r="Z55" s="20">
        <v>257</v>
      </c>
    </row>
    <row r="56" spans="1:26" ht="19.5" x14ac:dyDescent="0.25">
      <c r="A56" s="9" t="s">
        <v>43</v>
      </c>
      <c r="B56" s="21">
        <v>655</v>
      </c>
      <c r="C56" s="21">
        <v>700</v>
      </c>
      <c r="D56" s="21">
        <v>628</v>
      </c>
      <c r="E56" s="21">
        <v>392</v>
      </c>
      <c r="F56" s="21">
        <v>378</v>
      </c>
      <c r="G56" s="20">
        <v>340</v>
      </c>
      <c r="H56" s="20">
        <v>314</v>
      </c>
      <c r="I56" s="20">
        <v>331</v>
      </c>
      <c r="J56" s="20">
        <v>352</v>
      </c>
      <c r="K56" s="20">
        <v>244</v>
      </c>
      <c r="L56" s="20">
        <v>258</v>
      </c>
      <c r="M56" s="20">
        <v>313</v>
      </c>
      <c r="N56" s="20">
        <v>387</v>
      </c>
      <c r="O56" s="20">
        <v>280</v>
      </c>
      <c r="P56" s="20">
        <v>288</v>
      </c>
      <c r="Q56" s="20">
        <v>351</v>
      </c>
      <c r="R56" s="20">
        <v>277</v>
      </c>
      <c r="S56" s="20">
        <v>247</v>
      </c>
      <c r="T56" s="20">
        <v>284</v>
      </c>
      <c r="U56" s="20">
        <v>374</v>
      </c>
      <c r="V56" s="20">
        <v>290</v>
      </c>
      <c r="W56" s="20">
        <v>178</v>
      </c>
      <c r="X56" s="20">
        <v>306</v>
      </c>
      <c r="Y56" s="20">
        <v>198</v>
      </c>
      <c r="Z56" s="20">
        <v>247</v>
      </c>
    </row>
    <row r="57" spans="1:26" x14ac:dyDescent="0.25">
      <c r="A57" s="9" t="s">
        <v>97</v>
      </c>
      <c r="B57" s="21" t="s">
        <v>96</v>
      </c>
      <c r="C57" s="21" t="s">
        <v>96</v>
      </c>
      <c r="D57" s="21" t="s">
        <v>96</v>
      </c>
      <c r="E57" s="21" t="s">
        <v>96</v>
      </c>
      <c r="F57" s="21" t="s">
        <v>96</v>
      </c>
      <c r="G57" s="20" t="s">
        <v>96</v>
      </c>
      <c r="H57" s="20" t="s">
        <v>96</v>
      </c>
      <c r="I57" s="20">
        <v>55</v>
      </c>
      <c r="J57" s="20">
        <v>33</v>
      </c>
      <c r="K57" s="20" t="s">
        <v>96</v>
      </c>
      <c r="L57" s="20">
        <v>54</v>
      </c>
      <c r="M57" s="20">
        <v>27</v>
      </c>
      <c r="N57" s="20">
        <v>17</v>
      </c>
      <c r="O57" s="20">
        <v>45</v>
      </c>
      <c r="P57" s="20">
        <v>22</v>
      </c>
      <c r="Q57" s="20">
        <v>6</v>
      </c>
      <c r="R57" s="20">
        <v>8</v>
      </c>
      <c r="S57" s="20">
        <v>8</v>
      </c>
      <c r="T57" s="20">
        <v>221</v>
      </c>
      <c r="U57" s="20">
        <v>176</v>
      </c>
      <c r="V57" s="20">
        <v>180</v>
      </c>
      <c r="W57" s="20">
        <v>646</v>
      </c>
      <c r="X57" s="20">
        <v>52</v>
      </c>
      <c r="Y57" s="20">
        <v>61</v>
      </c>
      <c r="Z57" s="20">
        <v>38</v>
      </c>
    </row>
    <row r="58" spans="1:26" x14ac:dyDescent="0.25">
      <c r="A58" s="9" t="s">
        <v>45</v>
      </c>
      <c r="B58" s="21">
        <v>1979</v>
      </c>
      <c r="C58" s="21">
        <v>1674</v>
      </c>
      <c r="D58" s="21">
        <v>1670</v>
      </c>
      <c r="E58" s="21">
        <v>3910</v>
      </c>
      <c r="F58" s="21">
        <v>1585</v>
      </c>
      <c r="G58" s="21">
        <v>1435</v>
      </c>
      <c r="H58" s="20">
        <v>1345</v>
      </c>
      <c r="I58" s="20">
        <v>1317</v>
      </c>
      <c r="J58" s="20">
        <v>1124</v>
      </c>
      <c r="K58" s="20">
        <v>942</v>
      </c>
      <c r="L58" s="21">
        <v>879</v>
      </c>
      <c r="M58" s="20">
        <v>658</v>
      </c>
      <c r="N58" s="20">
        <v>516</v>
      </c>
      <c r="O58" s="20">
        <v>949</v>
      </c>
      <c r="P58" s="20">
        <v>995</v>
      </c>
      <c r="Q58" s="21">
        <v>576</v>
      </c>
      <c r="R58" s="20">
        <v>429</v>
      </c>
      <c r="S58" s="20">
        <v>380</v>
      </c>
      <c r="T58" s="21">
        <v>387</v>
      </c>
      <c r="U58" s="21">
        <v>355</v>
      </c>
      <c r="V58" s="21">
        <v>471</v>
      </c>
      <c r="W58" s="21">
        <v>396</v>
      </c>
      <c r="X58" s="20">
        <v>164</v>
      </c>
      <c r="Y58" s="20">
        <v>137</v>
      </c>
      <c r="Z58" s="20">
        <v>144</v>
      </c>
    </row>
    <row r="59" spans="1:26" ht="18" x14ac:dyDescent="0.25">
      <c r="A59" s="7" t="s">
        <v>251</v>
      </c>
      <c r="B59" s="22">
        <v>44497</v>
      </c>
      <c r="C59" s="22">
        <v>43996</v>
      </c>
      <c r="D59" s="22">
        <v>43289</v>
      </c>
      <c r="E59" s="22">
        <v>40286</v>
      </c>
      <c r="F59" s="22">
        <v>36472</v>
      </c>
      <c r="G59" s="22">
        <v>33800</v>
      </c>
      <c r="H59" s="22">
        <v>33554</v>
      </c>
      <c r="I59" s="22">
        <v>34635</v>
      </c>
      <c r="J59" s="22">
        <v>30563</v>
      </c>
      <c r="K59" s="22">
        <v>25129</v>
      </c>
      <c r="L59" s="22">
        <v>23558</v>
      </c>
      <c r="M59" s="26">
        <v>22316</v>
      </c>
      <c r="N59" s="26">
        <v>20757</v>
      </c>
      <c r="O59" s="26">
        <v>21447</v>
      </c>
      <c r="P59" s="26">
        <v>19618</v>
      </c>
      <c r="Q59" s="22">
        <v>20594</v>
      </c>
      <c r="R59" s="26">
        <v>17521</v>
      </c>
      <c r="S59" s="26">
        <v>16065</v>
      </c>
      <c r="T59" s="22">
        <v>14405</v>
      </c>
      <c r="U59" s="22">
        <v>15330</v>
      </c>
      <c r="V59" s="22">
        <v>18290</v>
      </c>
      <c r="W59" s="22">
        <v>15857</v>
      </c>
      <c r="X59" s="26">
        <v>20296</v>
      </c>
      <c r="Y59" s="26">
        <v>20404</v>
      </c>
      <c r="Z59" s="26">
        <v>18059</v>
      </c>
    </row>
    <row r="60" spans="1:26" x14ac:dyDescent="0.25">
      <c r="A60" s="72" t="s">
        <v>46</v>
      </c>
      <c r="B60" s="21">
        <v>7147</v>
      </c>
      <c r="C60" s="21">
        <v>7369</v>
      </c>
      <c r="D60" s="21">
        <v>6936</v>
      </c>
      <c r="E60" s="21">
        <v>6679</v>
      </c>
      <c r="F60" s="21">
        <v>7140</v>
      </c>
      <c r="G60" s="21">
        <v>6080</v>
      </c>
      <c r="H60" s="21">
        <v>4638</v>
      </c>
      <c r="I60" s="21">
        <v>4986</v>
      </c>
      <c r="J60" s="21">
        <v>4140</v>
      </c>
      <c r="K60" s="21">
        <v>3212</v>
      </c>
      <c r="L60" s="21">
        <v>2996</v>
      </c>
      <c r="M60" s="20">
        <v>2490</v>
      </c>
      <c r="N60" s="20">
        <v>2626</v>
      </c>
      <c r="O60" s="20">
        <v>2617</v>
      </c>
      <c r="P60" s="20">
        <v>2564</v>
      </c>
      <c r="Q60" s="21">
        <v>3957</v>
      </c>
      <c r="R60" s="20">
        <v>3932</v>
      </c>
      <c r="S60" s="20">
        <v>3001</v>
      </c>
      <c r="T60" s="21">
        <v>2523</v>
      </c>
      <c r="U60" s="21">
        <v>2979</v>
      </c>
      <c r="V60" s="21">
        <v>4990</v>
      </c>
      <c r="W60" s="21">
        <v>1660</v>
      </c>
      <c r="X60" s="20">
        <v>1897</v>
      </c>
      <c r="Y60" s="20">
        <v>1488</v>
      </c>
      <c r="Z60" s="20">
        <v>1198</v>
      </c>
    </row>
    <row r="61" spans="1:26" x14ac:dyDescent="0.25">
      <c r="A61" s="72" t="s">
        <v>47</v>
      </c>
      <c r="B61" s="21">
        <v>1481</v>
      </c>
      <c r="C61" s="21">
        <v>1359</v>
      </c>
      <c r="D61" s="21">
        <v>1443</v>
      </c>
      <c r="E61" s="21">
        <v>1232</v>
      </c>
      <c r="F61" s="21">
        <v>1026</v>
      </c>
      <c r="G61" s="21">
        <v>936</v>
      </c>
      <c r="H61" s="21">
        <v>945</v>
      </c>
      <c r="I61" s="21">
        <v>820</v>
      </c>
      <c r="J61" s="21">
        <v>747</v>
      </c>
      <c r="K61" s="21">
        <v>633</v>
      </c>
      <c r="L61" s="21">
        <v>587</v>
      </c>
      <c r="M61" s="20">
        <v>581</v>
      </c>
      <c r="N61" s="20">
        <v>552</v>
      </c>
      <c r="O61" s="20">
        <v>640</v>
      </c>
      <c r="P61" s="20">
        <v>558</v>
      </c>
      <c r="Q61" s="21">
        <v>595</v>
      </c>
      <c r="R61" s="20">
        <v>359</v>
      </c>
      <c r="S61" s="20">
        <v>293</v>
      </c>
      <c r="T61" s="21">
        <v>169</v>
      </c>
      <c r="U61" s="21">
        <v>374</v>
      </c>
      <c r="V61" s="21">
        <v>259</v>
      </c>
      <c r="W61" s="21">
        <v>182</v>
      </c>
      <c r="X61" s="20">
        <v>90</v>
      </c>
      <c r="Y61" s="20">
        <v>60</v>
      </c>
      <c r="Z61" s="20">
        <v>59</v>
      </c>
    </row>
    <row r="62" spans="1:26" x14ac:dyDescent="0.25">
      <c r="A62" s="72" t="s">
        <v>48</v>
      </c>
      <c r="B62" s="21">
        <v>1298</v>
      </c>
      <c r="C62" s="21">
        <v>1133</v>
      </c>
      <c r="D62" s="21">
        <v>1303</v>
      </c>
      <c r="E62" s="21">
        <v>1286</v>
      </c>
      <c r="F62" s="21">
        <v>1132</v>
      </c>
      <c r="G62" s="21">
        <v>1141</v>
      </c>
      <c r="H62" s="21">
        <v>1087</v>
      </c>
      <c r="I62" s="21">
        <v>1075</v>
      </c>
      <c r="J62" s="21">
        <v>1009</v>
      </c>
      <c r="K62" s="21">
        <v>1044</v>
      </c>
      <c r="L62" s="21">
        <v>867</v>
      </c>
      <c r="M62" s="20">
        <v>813</v>
      </c>
      <c r="N62" s="20">
        <v>598</v>
      </c>
      <c r="O62" s="20">
        <v>570</v>
      </c>
      <c r="P62" s="20">
        <v>477</v>
      </c>
      <c r="Q62" s="21">
        <v>519</v>
      </c>
      <c r="R62" s="20">
        <v>269</v>
      </c>
      <c r="S62" s="20">
        <v>258</v>
      </c>
      <c r="T62" s="21">
        <v>253</v>
      </c>
      <c r="U62" s="21">
        <v>106</v>
      </c>
      <c r="V62" s="21">
        <v>254</v>
      </c>
      <c r="W62" s="21">
        <v>254</v>
      </c>
      <c r="X62" s="20">
        <v>250</v>
      </c>
      <c r="Y62" s="20">
        <v>170</v>
      </c>
      <c r="Z62" s="20">
        <v>253</v>
      </c>
    </row>
    <row r="63" spans="1:26" x14ac:dyDescent="0.25">
      <c r="A63" s="72" t="s">
        <v>49</v>
      </c>
      <c r="B63" s="21">
        <v>3760</v>
      </c>
      <c r="C63" s="21">
        <v>5004</v>
      </c>
      <c r="D63" s="21">
        <v>5744</v>
      </c>
      <c r="E63" s="21">
        <v>5598</v>
      </c>
      <c r="F63" s="21">
        <v>4216</v>
      </c>
      <c r="G63" s="21">
        <v>4536</v>
      </c>
      <c r="H63" s="21">
        <v>3997</v>
      </c>
      <c r="I63" s="21">
        <v>4243</v>
      </c>
      <c r="J63" s="21">
        <v>4154</v>
      </c>
      <c r="K63" s="21">
        <v>3445</v>
      </c>
      <c r="L63" s="21">
        <v>3880</v>
      </c>
      <c r="M63" s="20">
        <v>3983</v>
      </c>
      <c r="N63" s="20">
        <v>3544</v>
      </c>
      <c r="O63" s="20">
        <v>3506</v>
      </c>
      <c r="P63" s="20">
        <v>3034</v>
      </c>
      <c r="Q63" s="21">
        <v>3607</v>
      </c>
      <c r="R63" s="20">
        <v>2093</v>
      </c>
      <c r="S63" s="20">
        <v>2015</v>
      </c>
      <c r="T63" s="21">
        <v>2059</v>
      </c>
      <c r="U63" s="21">
        <v>2042</v>
      </c>
      <c r="V63" s="21">
        <v>1793</v>
      </c>
      <c r="W63" s="21">
        <v>3484</v>
      </c>
      <c r="X63" s="20">
        <v>4119</v>
      </c>
      <c r="Y63" s="20">
        <v>4436</v>
      </c>
      <c r="Z63" s="20">
        <v>4027</v>
      </c>
    </row>
    <row r="64" spans="1:26" x14ac:dyDescent="0.25">
      <c r="A64" s="72" t="s">
        <v>50</v>
      </c>
      <c r="B64" s="21">
        <v>2228</v>
      </c>
      <c r="C64" s="21">
        <v>1994</v>
      </c>
      <c r="D64" s="21">
        <v>1841</v>
      </c>
      <c r="E64" s="21">
        <v>1913</v>
      </c>
      <c r="F64" s="21">
        <v>1576</v>
      </c>
      <c r="G64" s="21">
        <v>1513</v>
      </c>
      <c r="H64" s="21">
        <v>2954</v>
      </c>
      <c r="I64" s="21">
        <v>2078</v>
      </c>
      <c r="J64" s="21">
        <v>1806</v>
      </c>
      <c r="K64" s="21">
        <v>869</v>
      </c>
      <c r="L64" s="21">
        <v>707</v>
      </c>
      <c r="M64" s="20">
        <v>576</v>
      </c>
      <c r="N64" s="20">
        <v>547</v>
      </c>
      <c r="O64" s="20">
        <v>552</v>
      </c>
      <c r="P64" s="20">
        <v>385</v>
      </c>
      <c r="Q64" s="21">
        <v>146</v>
      </c>
      <c r="R64" s="20">
        <v>231</v>
      </c>
      <c r="S64" s="20">
        <v>231</v>
      </c>
      <c r="T64" s="21">
        <v>134</v>
      </c>
      <c r="U64" s="21">
        <v>136</v>
      </c>
      <c r="V64" s="21">
        <v>116</v>
      </c>
      <c r="W64" s="21">
        <v>108</v>
      </c>
      <c r="X64" s="20">
        <v>121</v>
      </c>
      <c r="Y64" s="20">
        <v>162</v>
      </c>
      <c r="Z64" s="20">
        <v>159</v>
      </c>
    </row>
    <row r="65" spans="1:26" x14ac:dyDescent="0.25">
      <c r="A65" s="72" t="s">
        <v>51</v>
      </c>
      <c r="B65" s="21">
        <v>1293</v>
      </c>
      <c r="C65" s="21">
        <v>1078</v>
      </c>
      <c r="D65" s="21">
        <v>984</v>
      </c>
      <c r="E65" s="21">
        <v>833</v>
      </c>
      <c r="F65" s="21">
        <v>841</v>
      </c>
      <c r="G65" s="21">
        <v>944</v>
      </c>
      <c r="H65" s="21">
        <v>1001</v>
      </c>
      <c r="I65" s="21">
        <v>1224</v>
      </c>
      <c r="J65" s="21">
        <v>968</v>
      </c>
      <c r="K65" s="21">
        <v>633</v>
      </c>
      <c r="L65" s="21">
        <v>509</v>
      </c>
      <c r="M65" s="20">
        <v>455</v>
      </c>
      <c r="N65" s="20">
        <v>409</v>
      </c>
      <c r="O65" s="20">
        <v>336</v>
      </c>
      <c r="P65" s="20">
        <v>316</v>
      </c>
      <c r="Q65" s="21">
        <v>272</v>
      </c>
      <c r="R65" s="20">
        <v>292</v>
      </c>
      <c r="S65" s="20">
        <v>262</v>
      </c>
      <c r="T65" s="21">
        <v>269</v>
      </c>
      <c r="U65" s="21">
        <v>353</v>
      </c>
      <c r="V65" s="21">
        <v>325</v>
      </c>
      <c r="W65" s="21">
        <v>269</v>
      </c>
      <c r="X65" s="20">
        <v>540</v>
      </c>
      <c r="Y65" s="20">
        <v>415</v>
      </c>
      <c r="Z65" s="20">
        <v>484</v>
      </c>
    </row>
    <row r="66" spans="1:26" x14ac:dyDescent="0.25">
      <c r="A66" s="72" t="s">
        <v>52</v>
      </c>
      <c r="B66" s="21">
        <v>4099</v>
      </c>
      <c r="C66" s="21">
        <v>3765</v>
      </c>
      <c r="D66" s="21">
        <v>4133</v>
      </c>
      <c r="E66" s="21">
        <v>3425</v>
      </c>
      <c r="F66" s="21">
        <v>3157</v>
      </c>
      <c r="G66" s="21">
        <v>3229</v>
      </c>
      <c r="H66" s="21">
        <v>2965</v>
      </c>
      <c r="I66" s="21">
        <v>3282</v>
      </c>
      <c r="J66" s="21">
        <v>2817</v>
      </c>
      <c r="K66" s="21">
        <v>2568</v>
      </c>
      <c r="L66" s="21">
        <v>2446</v>
      </c>
      <c r="M66" s="20">
        <v>2417</v>
      </c>
      <c r="N66" s="20">
        <v>2070</v>
      </c>
      <c r="O66" s="20">
        <v>3279</v>
      </c>
      <c r="P66" s="20">
        <v>2656</v>
      </c>
      <c r="Q66" s="21">
        <v>2394</v>
      </c>
      <c r="R66" s="20">
        <v>2311</v>
      </c>
      <c r="S66" s="20">
        <v>2374</v>
      </c>
      <c r="T66" s="21">
        <v>2424</v>
      </c>
      <c r="U66" s="21">
        <v>2745</v>
      </c>
      <c r="V66" s="21">
        <v>3691</v>
      </c>
      <c r="W66" s="21">
        <v>2375</v>
      </c>
      <c r="X66" s="20">
        <v>4632</v>
      </c>
      <c r="Y66" s="20">
        <v>6227</v>
      </c>
      <c r="Z66" s="20">
        <v>3889</v>
      </c>
    </row>
    <row r="67" spans="1:26" x14ac:dyDescent="0.25">
      <c r="A67" s="72" t="s">
        <v>53</v>
      </c>
      <c r="B67" s="21">
        <v>3346</v>
      </c>
      <c r="C67" s="21">
        <v>3091</v>
      </c>
      <c r="D67" s="21">
        <v>2778</v>
      </c>
      <c r="E67" s="21">
        <v>2691</v>
      </c>
      <c r="F67" s="21">
        <v>2345</v>
      </c>
      <c r="G67" s="21">
        <v>2139</v>
      </c>
      <c r="H67" s="21">
        <v>2374</v>
      </c>
      <c r="I67" s="21">
        <v>1971</v>
      </c>
      <c r="J67" s="21">
        <v>1521</v>
      </c>
      <c r="K67" s="21">
        <v>1410</v>
      </c>
      <c r="L67" s="21">
        <v>949</v>
      </c>
      <c r="M67" s="20">
        <v>751</v>
      </c>
      <c r="N67" s="20">
        <v>835</v>
      </c>
      <c r="O67" s="20">
        <v>820</v>
      </c>
      <c r="P67" s="20">
        <v>778</v>
      </c>
      <c r="Q67" s="21">
        <v>689</v>
      </c>
      <c r="R67" s="20">
        <v>578</v>
      </c>
      <c r="S67" s="20">
        <v>519</v>
      </c>
      <c r="T67" s="21">
        <v>594</v>
      </c>
      <c r="U67" s="21">
        <v>540</v>
      </c>
      <c r="V67" s="21">
        <v>1059</v>
      </c>
      <c r="W67" s="21">
        <v>1589</v>
      </c>
      <c r="X67" s="20">
        <v>1843</v>
      </c>
      <c r="Y67" s="20">
        <v>682</v>
      </c>
      <c r="Z67" s="20">
        <v>678</v>
      </c>
    </row>
    <row r="68" spans="1:26" x14ac:dyDescent="0.25">
      <c r="A68" s="72" t="s">
        <v>54</v>
      </c>
      <c r="B68" s="21">
        <v>4898</v>
      </c>
      <c r="C68" s="21">
        <v>4669</v>
      </c>
      <c r="D68" s="21">
        <v>4754</v>
      </c>
      <c r="E68" s="21">
        <v>4634</v>
      </c>
      <c r="F68" s="21">
        <v>4291</v>
      </c>
      <c r="G68" s="21">
        <v>4018</v>
      </c>
      <c r="H68" s="21">
        <v>4114</v>
      </c>
      <c r="I68" s="21">
        <v>4255</v>
      </c>
      <c r="J68" s="21">
        <v>3720</v>
      </c>
      <c r="K68" s="21">
        <v>3449</v>
      </c>
      <c r="L68" s="21">
        <v>3440</v>
      </c>
      <c r="M68" s="20">
        <v>3606</v>
      </c>
      <c r="N68" s="20">
        <v>2802</v>
      </c>
      <c r="O68" s="20">
        <v>2715</v>
      </c>
      <c r="P68" s="20">
        <v>2349</v>
      </c>
      <c r="Q68" s="21">
        <v>2079</v>
      </c>
      <c r="R68" s="20">
        <v>1915</v>
      </c>
      <c r="S68" s="20">
        <v>1480</v>
      </c>
      <c r="T68" s="21">
        <v>1250</v>
      </c>
      <c r="U68" s="21">
        <v>1719</v>
      </c>
      <c r="V68" s="21">
        <v>1692</v>
      </c>
      <c r="W68" s="21">
        <v>1554</v>
      </c>
      <c r="X68" s="20">
        <v>1586</v>
      </c>
      <c r="Y68" s="20">
        <v>1783</v>
      </c>
      <c r="Z68" s="20">
        <v>1609</v>
      </c>
    </row>
    <row r="69" spans="1:26" x14ac:dyDescent="0.25">
      <c r="A69" s="72" t="s">
        <v>55</v>
      </c>
      <c r="B69" s="21">
        <v>3013</v>
      </c>
      <c r="C69" s="21">
        <v>3255</v>
      </c>
      <c r="D69" s="21">
        <v>2751</v>
      </c>
      <c r="E69" s="21">
        <v>2290</v>
      </c>
      <c r="F69" s="21">
        <v>1951</v>
      </c>
      <c r="G69" s="21">
        <v>1717</v>
      </c>
      <c r="H69" s="21">
        <v>1799</v>
      </c>
      <c r="I69" s="21">
        <v>2679</v>
      </c>
      <c r="J69" s="21">
        <v>2421</v>
      </c>
      <c r="K69" s="21">
        <v>2063</v>
      </c>
      <c r="L69" s="21">
        <v>1784</v>
      </c>
      <c r="M69" s="20">
        <v>1630</v>
      </c>
      <c r="N69" s="20">
        <v>1928</v>
      </c>
      <c r="O69" s="20">
        <v>1625</v>
      </c>
      <c r="P69" s="20">
        <v>1468</v>
      </c>
      <c r="Q69" s="21">
        <v>1414</v>
      </c>
      <c r="R69" s="20">
        <v>1376</v>
      </c>
      <c r="S69" s="20">
        <v>1613</v>
      </c>
      <c r="T69" s="21">
        <v>1167</v>
      </c>
      <c r="U69" s="21">
        <v>886</v>
      </c>
      <c r="V69" s="21">
        <v>836</v>
      </c>
      <c r="W69" s="21">
        <v>1141</v>
      </c>
      <c r="X69" s="20">
        <v>1182</v>
      </c>
      <c r="Y69" s="20">
        <v>1230</v>
      </c>
      <c r="Z69" s="20">
        <v>1531</v>
      </c>
    </row>
    <row r="70" spans="1:26" x14ac:dyDescent="0.25">
      <c r="A70" s="72" t="s">
        <v>56</v>
      </c>
      <c r="B70" s="21">
        <v>2873</v>
      </c>
      <c r="C70" s="21">
        <v>2463</v>
      </c>
      <c r="D70" s="21">
        <v>2208</v>
      </c>
      <c r="E70" s="21">
        <v>1716</v>
      </c>
      <c r="F70" s="21">
        <v>1593</v>
      </c>
      <c r="G70" s="21">
        <v>1086</v>
      </c>
      <c r="H70" s="21">
        <v>927</v>
      </c>
      <c r="I70" s="21">
        <v>735</v>
      </c>
      <c r="J70" s="21">
        <v>547</v>
      </c>
      <c r="K70" s="21">
        <v>366</v>
      </c>
      <c r="L70" s="21">
        <v>421</v>
      </c>
      <c r="M70" s="20">
        <v>400</v>
      </c>
      <c r="N70" s="20">
        <v>442</v>
      </c>
      <c r="O70" s="20">
        <v>389</v>
      </c>
      <c r="P70" s="20">
        <v>262</v>
      </c>
      <c r="Q70" s="21">
        <v>307</v>
      </c>
      <c r="R70" s="20">
        <v>263</v>
      </c>
      <c r="S70" s="20">
        <v>126</v>
      </c>
      <c r="T70" s="21">
        <v>114</v>
      </c>
      <c r="U70" s="21">
        <v>143</v>
      </c>
      <c r="V70" s="21">
        <v>130</v>
      </c>
      <c r="W70" s="21">
        <v>322</v>
      </c>
      <c r="X70" s="20">
        <v>602</v>
      </c>
      <c r="Y70" s="20">
        <v>679</v>
      </c>
      <c r="Z70" s="20">
        <v>755</v>
      </c>
    </row>
    <row r="71" spans="1:26" x14ac:dyDescent="0.25">
      <c r="A71" s="72" t="s">
        <v>57</v>
      </c>
      <c r="B71" s="21">
        <v>2631</v>
      </c>
      <c r="C71" s="21">
        <v>2468</v>
      </c>
      <c r="D71" s="21">
        <v>2514</v>
      </c>
      <c r="E71" s="21">
        <v>2382</v>
      </c>
      <c r="F71" s="21">
        <v>2015</v>
      </c>
      <c r="G71" s="21">
        <v>2014</v>
      </c>
      <c r="H71" s="21">
        <v>2400</v>
      </c>
      <c r="I71" s="21">
        <v>2962</v>
      </c>
      <c r="J71" s="21">
        <v>2899</v>
      </c>
      <c r="K71" s="21">
        <v>2440</v>
      </c>
      <c r="L71" s="21">
        <v>2325</v>
      </c>
      <c r="M71" s="20">
        <v>2039</v>
      </c>
      <c r="N71" s="20">
        <v>2141</v>
      </c>
      <c r="O71" s="20">
        <v>1962</v>
      </c>
      <c r="P71" s="20">
        <v>2422</v>
      </c>
      <c r="Q71" s="21">
        <v>2448</v>
      </c>
      <c r="R71" s="20">
        <v>1891</v>
      </c>
      <c r="S71" s="20">
        <v>1955</v>
      </c>
      <c r="T71" s="21">
        <v>1925</v>
      </c>
      <c r="U71" s="21">
        <v>2222</v>
      </c>
      <c r="V71" s="21">
        <v>1869</v>
      </c>
      <c r="W71" s="21">
        <v>1815</v>
      </c>
      <c r="X71" s="20">
        <v>2432</v>
      </c>
      <c r="Y71" s="20">
        <v>2134</v>
      </c>
      <c r="Z71" s="20">
        <v>2504</v>
      </c>
    </row>
    <row r="72" spans="1:26" x14ac:dyDescent="0.25">
      <c r="A72" s="72" t="s">
        <v>58</v>
      </c>
      <c r="B72" s="21">
        <v>3709</v>
      </c>
      <c r="C72" s="21">
        <v>3595</v>
      </c>
      <c r="D72" s="21">
        <v>3468</v>
      </c>
      <c r="E72" s="21">
        <v>3314</v>
      </c>
      <c r="F72" s="21">
        <v>3082</v>
      </c>
      <c r="G72" s="21">
        <v>2734</v>
      </c>
      <c r="H72" s="21">
        <v>2640</v>
      </c>
      <c r="I72" s="21">
        <v>2751</v>
      </c>
      <c r="J72" s="21">
        <v>2567</v>
      </c>
      <c r="K72" s="21">
        <v>1889</v>
      </c>
      <c r="L72" s="21">
        <v>1751</v>
      </c>
      <c r="M72" s="20">
        <v>1675</v>
      </c>
      <c r="N72" s="20">
        <v>1422</v>
      </c>
      <c r="O72" s="20">
        <v>1581</v>
      </c>
      <c r="P72" s="20">
        <v>1574</v>
      </c>
      <c r="Q72" s="21">
        <v>1424</v>
      </c>
      <c r="R72" s="20">
        <v>1409</v>
      </c>
      <c r="S72" s="20">
        <v>1316</v>
      </c>
      <c r="T72" s="21">
        <v>938</v>
      </c>
      <c r="U72" s="21">
        <v>535</v>
      </c>
      <c r="V72" s="21">
        <v>780</v>
      </c>
      <c r="W72" s="21">
        <v>723</v>
      </c>
      <c r="X72" s="20">
        <v>659</v>
      </c>
      <c r="Y72" s="20">
        <v>641</v>
      </c>
      <c r="Z72" s="20">
        <v>657</v>
      </c>
    </row>
    <row r="73" spans="1:26" x14ac:dyDescent="0.25">
      <c r="A73" s="72" t="s">
        <v>59</v>
      </c>
      <c r="B73" s="21">
        <v>2721</v>
      </c>
      <c r="C73" s="21">
        <v>2753</v>
      </c>
      <c r="D73" s="21">
        <v>2432</v>
      </c>
      <c r="E73" s="21">
        <v>2293</v>
      </c>
      <c r="F73" s="21">
        <v>2107</v>
      </c>
      <c r="G73" s="21">
        <v>1713</v>
      </c>
      <c r="H73" s="21">
        <v>1713</v>
      </c>
      <c r="I73" s="21">
        <v>1574</v>
      </c>
      <c r="J73" s="21">
        <v>1247</v>
      </c>
      <c r="K73" s="21">
        <v>1108</v>
      </c>
      <c r="L73" s="21">
        <v>896</v>
      </c>
      <c r="M73" s="20">
        <v>900</v>
      </c>
      <c r="N73" s="20">
        <v>841</v>
      </c>
      <c r="O73" s="20">
        <v>855</v>
      </c>
      <c r="P73" s="20">
        <v>775</v>
      </c>
      <c r="Q73" s="21">
        <v>743</v>
      </c>
      <c r="R73" s="20">
        <v>602</v>
      </c>
      <c r="S73" s="20">
        <v>622</v>
      </c>
      <c r="T73" s="21">
        <v>586</v>
      </c>
      <c r="U73" s="21">
        <v>550</v>
      </c>
      <c r="V73" s="21">
        <v>496</v>
      </c>
      <c r="W73" s="21">
        <v>381</v>
      </c>
      <c r="X73" s="20">
        <v>343</v>
      </c>
      <c r="Y73" s="20">
        <v>297</v>
      </c>
      <c r="Z73" s="20">
        <v>256</v>
      </c>
    </row>
    <row r="74" spans="1:26" ht="18" x14ac:dyDescent="0.25">
      <c r="A74" s="7" t="s">
        <v>252</v>
      </c>
      <c r="B74" s="22">
        <v>20383</v>
      </c>
      <c r="C74" s="22">
        <v>20375</v>
      </c>
      <c r="D74" s="22">
        <v>19179</v>
      </c>
      <c r="E74" s="22">
        <v>17298</v>
      </c>
      <c r="F74" s="22">
        <v>17448</v>
      </c>
      <c r="G74" s="22">
        <v>16211</v>
      </c>
      <c r="H74" s="22">
        <v>17686</v>
      </c>
      <c r="I74" s="22">
        <v>18992</v>
      </c>
      <c r="J74" s="22">
        <v>20145</v>
      </c>
      <c r="K74" s="22">
        <v>20476</v>
      </c>
      <c r="L74" s="22">
        <v>20662</v>
      </c>
      <c r="M74" s="26">
        <v>23168</v>
      </c>
      <c r="N74" s="26">
        <v>23029</v>
      </c>
      <c r="O74" s="26">
        <v>23373</v>
      </c>
      <c r="P74" s="26">
        <v>23482</v>
      </c>
      <c r="Q74" s="22">
        <v>22210</v>
      </c>
      <c r="R74" s="26">
        <v>20807</v>
      </c>
      <c r="S74" s="26">
        <v>21823</v>
      </c>
      <c r="T74" s="22">
        <v>13942</v>
      </c>
      <c r="U74" s="22">
        <v>14769</v>
      </c>
      <c r="V74" s="22">
        <v>14806</v>
      </c>
      <c r="W74" s="22">
        <v>16051</v>
      </c>
      <c r="X74" s="26">
        <v>11034</v>
      </c>
      <c r="Y74" s="26">
        <v>10359</v>
      </c>
      <c r="Z74" s="26">
        <v>11040</v>
      </c>
    </row>
    <row r="75" spans="1:26" x14ac:dyDescent="0.25">
      <c r="A75" s="72" t="s">
        <v>60</v>
      </c>
      <c r="B75" s="21">
        <v>1871</v>
      </c>
      <c r="C75" s="21">
        <v>1687</v>
      </c>
      <c r="D75" s="21">
        <v>1561</v>
      </c>
      <c r="E75" s="21">
        <v>1208</v>
      </c>
      <c r="F75" s="21">
        <v>995</v>
      </c>
      <c r="G75" s="21">
        <v>968</v>
      </c>
      <c r="H75" s="21">
        <v>850</v>
      </c>
      <c r="I75" s="21">
        <v>766</v>
      </c>
      <c r="J75" s="21">
        <v>752</v>
      </c>
      <c r="K75" s="21">
        <v>618</v>
      </c>
      <c r="L75" s="21">
        <v>485</v>
      </c>
      <c r="M75" s="20">
        <v>564</v>
      </c>
      <c r="N75" s="20">
        <v>643</v>
      </c>
      <c r="O75" s="20">
        <v>547</v>
      </c>
      <c r="P75" s="20">
        <v>638</v>
      </c>
      <c r="Q75" s="21">
        <v>607</v>
      </c>
      <c r="R75" s="20">
        <v>614</v>
      </c>
      <c r="S75" s="20">
        <v>569</v>
      </c>
      <c r="T75" s="21">
        <v>549</v>
      </c>
      <c r="U75" s="21">
        <v>576</v>
      </c>
      <c r="V75" s="21">
        <v>616</v>
      </c>
      <c r="W75" s="21">
        <v>497</v>
      </c>
      <c r="X75" s="20">
        <v>528</v>
      </c>
      <c r="Y75" s="20">
        <v>751</v>
      </c>
      <c r="Z75" s="20">
        <v>746</v>
      </c>
    </row>
    <row r="76" spans="1:26" x14ac:dyDescent="0.25">
      <c r="A76" s="72" t="s">
        <v>61</v>
      </c>
      <c r="B76" s="21">
        <v>5164</v>
      </c>
      <c r="C76" s="21">
        <v>5108</v>
      </c>
      <c r="D76" s="21">
        <v>4788</v>
      </c>
      <c r="E76" s="21">
        <v>4571</v>
      </c>
      <c r="F76" s="21">
        <v>4295</v>
      </c>
      <c r="G76" s="21">
        <v>4181</v>
      </c>
      <c r="H76" s="21">
        <v>4635</v>
      </c>
      <c r="I76" s="21">
        <v>4967</v>
      </c>
      <c r="J76" s="21">
        <v>5017</v>
      </c>
      <c r="K76" s="21">
        <v>3601</v>
      </c>
      <c r="L76" s="21">
        <v>3724</v>
      </c>
      <c r="M76" s="20">
        <v>3789</v>
      </c>
      <c r="N76" s="20">
        <v>3750</v>
      </c>
      <c r="O76" s="20">
        <v>3791</v>
      </c>
      <c r="P76" s="20">
        <v>3985</v>
      </c>
      <c r="Q76" s="21">
        <v>2317</v>
      </c>
      <c r="R76" s="20">
        <v>4417</v>
      </c>
      <c r="S76" s="20">
        <v>3411</v>
      </c>
      <c r="T76" s="21">
        <v>3670</v>
      </c>
      <c r="U76" s="21">
        <v>4007</v>
      </c>
      <c r="V76" s="21">
        <v>4857</v>
      </c>
      <c r="W76" s="21">
        <v>7265</v>
      </c>
      <c r="X76" s="20">
        <v>1532</v>
      </c>
      <c r="Y76" s="20">
        <v>1070</v>
      </c>
      <c r="Z76" s="20">
        <v>1230</v>
      </c>
    </row>
    <row r="77" spans="1:26" x14ac:dyDescent="0.25">
      <c r="A77" s="72" t="s">
        <v>62</v>
      </c>
      <c r="B77" s="21">
        <v>8603</v>
      </c>
      <c r="C77" s="21">
        <v>9145</v>
      </c>
      <c r="D77" s="21">
        <v>9121</v>
      </c>
      <c r="E77" s="21">
        <v>8156</v>
      </c>
      <c r="F77" s="21">
        <v>9285</v>
      </c>
      <c r="G77" s="21">
        <v>8794</v>
      </c>
      <c r="H77" s="21">
        <v>9854</v>
      </c>
      <c r="I77" s="21">
        <v>10888</v>
      </c>
      <c r="J77" s="21">
        <v>11710</v>
      </c>
      <c r="K77" s="21">
        <v>14250</v>
      </c>
      <c r="L77" s="21">
        <v>14463</v>
      </c>
      <c r="M77" s="20">
        <v>16835</v>
      </c>
      <c r="N77" s="20">
        <v>16416</v>
      </c>
      <c r="O77" s="20">
        <v>16328</v>
      </c>
      <c r="P77" s="20">
        <v>15897</v>
      </c>
      <c r="Q77" s="21">
        <v>16612</v>
      </c>
      <c r="R77" s="20">
        <v>13207</v>
      </c>
      <c r="S77" s="20">
        <v>15024</v>
      </c>
      <c r="T77" s="21">
        <v>7253</v>
      </c>
      <c r="U77" s="21">
        <v>7023</v>
      </c>
      <c r="V77" s="21">
        <v>6057</v>
      </c>
      <c r="W77" s="21">
        <v>4691</v>
      </c>
      <c r="X77" s="20">
        <v>5528</v>
      </c>
      <c r="Y77" s="20">
        <v>4840</v>
      </c>
      <c r="Z77" s="20">
        <v>5396</v>
      </c>
    </row>
    <row r="78" spans="1:26" x14ac:dyDescent="0.25">
      <c r="A78" s="183" t="s">
        <v>63</v>
      </c>
      <c r="B78" s="160"/>
      <c r="C78" s="160"/>
      <c r="D78" s="160"/>
      <c r="E78" s="160"/>
      <c r="F78" s="160"/>
      <c r="G78" s="21"/>
      <c r="H78" s="160"/>
      <c r="I78" s="160"/>
      <c r="J78" s="160"/>
      <c r="K78" s="160"/>
      <c r="L78" s="21"/>
      <c r="M78" s="20"/>
      <c r="N78" s="20"/>
      <c r="O78" s="20"/>
      <c r="P78" s="20"/>
      <c r="Q78" s="21"/>
      <c r="R78" s="20"/>
      <c r="S78" s="20"/>
      <c r="T78" s="21"/>
      <c r="U78" s="21"/>
      <c r="V78" s="21"/>
      <c r="W78" s="21"/>
      <c r="X78" s="20"/>
      <c r="Y78" s="20"/>
      <c r="Z78" s="20"/>
    </row>
    <row r="79" spans="1:26" ht="19.5" x14ac:dyDescent="0.25">
      <c r="A79" s="172" t="s">
        <v>88</v>
      </c>
      <c r="B79" s="21">
        <v>3481</v>
      </c>
      <c r="C79" s="21">
        <v>3950</v>
      </c>
      <c r="D79" s="21">
        <v>3174</v>
      </c>
      <c r="E79" s="21">
        <v>3137</v>
      </c>
      <c r="F79" s="21">
        <v>3425</v>
      </c>
      <c r="G79" s="21">
        <v>4227</v>
      </c>
      <c r="H79" s="21">
        <v>4617</v>
      </c>
      <c r="I79" s="21">
        <v>5707</v>
      </c>
      <c r="J79" s="21">
        <v>4707</v>
      </c>
      <c r="K79" s="21">
        <v>7239</v>
      </c>
      <c r="L79" s="21">
        <v>7706</v>
      </c>
      <c r="M79" s="20">
        <v>8205</v>
      </c>
      <c r="N79" s="20">
        <v>8894</v>
      </c>
      <c r="O79" s="20">
        <v>9651</v>
      </c>
      <c r="P79" s="20">
        <v>9799</v>
      </c>
      <c r="Q79" s="21">
        <v>10657</v>
      </c>
      <c r="R79" s="20">
        <v>7860</v>
      </c>
      <c r="S79" s="20">
        <v>8908</v>
      </c>
      <c r="T79" s="21">
        <v>3270</v>
      </c>
      <c r="U79" s="21">
        <v>2652</v>
      </c>
      <c r="V79" s="21">
        <v>1815</v>
      </c>
      <c r="W79" s="21">
        <v>1622</v>
      </c>
      <c r="X79" s="20">
        <v>1728</v>
      </c>
      <c r="Y79" s="20">
        <v>2131</v>
      </c>
      <c r="Z79" s="20">
        <v>2046</v>
      </c>
    </row>
    <row r="80" spans="1:26" ht="19.5" x14ac:dyDescent="0.25">
      <c r="A80" s="172" t="s">
        <v>64</v>
      </c>
      <c r="B80" s="21">
        <v>3332</v>
      </c>
      <c r="C80" s="21">
        <v>3787</v>
      </c>
      <c r="D80" s="21">
        <v>4106</v>
      </c>
      <c r="E80" s="21">
        <v>3859</v>
      </c>
      <c r="F80" s="21">
        <v>4686</v>
      </c>
      <c r="G80" s="21">
        <v>3653</v>
      </c>
      <c r="H80" s="21">
        <v>4124</v>
      </c>
      <c r="I80" s="21">
        <v>4052</v>
      </c>
      <c r="J80" s="21">
        <v>6004</v>
      </c>
      <c r="K80" s="21">
        <v>6229</v>
      </c>
      <c r="L80" s="21">
        <v>5820</v>
      </c>
      <c r="M80" s="20">
        <v>7693</v>
      </c>
      <c r="N80" s="20">
        <v>6443</v>
      </c>
      <c r="O80" s="20">
        <v>5631</v>
      </c>
      <c r="P80" s="20">
        <v>4902</v>
      </c>
      <c r="Q80" s="21">
        <v>4816</v>
      </c>
      <c r="R80" s="20">
        <v>4304</v>
      </c>
      <c r="S80" s="20">
        <v>5124</v>
      </c>
      <c r="T80" s="21">
        <v>3430</v>
      </c>
      <c r="U80" s="21">
        <v>3875</v>
      </c>
      <c r="V80" s="21">
        <v>2885</v>
      </c>
      <c r="W80" s="21">
        <v>2360</v>
      </c>
      <c r="X80" s="20">
        <v>3131</v>
      </c>
      <c r="Y80" s="20">
        <v>2013</v>
      </c>
      <c r="Z80" s="20">
        <v>2522</v>
      </c>
    </row>
    <row r="81" spans="1:26" ht="19.5" x14ac:dyDescent="0.25">
      <c r="A81" s="172" t="s">
        <v>87</v>
      </c>
      <c r="B81" s="21">
        <v>1790</v>
      </c>
      <c r="C81" s="21">
        <v>1408</v>
      </c>
      <c r="D81" s="21">
        <v>1841</v>
      </c>
      <c r="E81" s="21">
        <v>1160</v>
      </c>
      <c r="F81" s="21">
        <v>1174</v>
      </c>
      <c r="G81" s="21">
        <v>914</v>
      </c>
      <c r="H81" s="21">
        <v>1113</v>
      </c>
      <c r="I81" s="21">
        <v>1129</v>
      </c>
      <c r="J81" s="21">
        <v>999</v>
      </c>
      <c r="K81" s="21">
        <v>782</v>
      </c>
      <c r="L81" s="21">
        <v>937</v>
      </c>
      <c r="M81" s="20">
        <v>937</v>
      </c>
      <c r="N81" s="20">
        <v>1079</v>
      </c>
      <c r="O81" s="20">
        <v>1046</v>
      </c>
      <c r="P81" s="20">
        <v>1196</v>
      </c>
      <c r="Q81" s="21">
        <v>1139</v>
      </c>
      <c r="R81" s="20">
        <v>1043</v>
      </c>
      <c r="S81" s="20">
        <v>992</v>
      </c>
      <c r="T81" s="21">
        <v>553</v>
      </c>
      <c r="U81" s="21">
        <v>496</v>
      </c>
      <c r="V81" s="21">
        <v>1357</v>
      </c>
      <c r="W81" s="21">
        <v>709</v>
      </c>
      <c r="X81" s="20">
        <v>669</v>
      </c>
      <c r="Y81" s="20">
        <v>696</v>
      </c>
      <c r="Z81" s="20">
        <v>828</v>
      </c>
    </row>
    <row r="82" spans="1:26" x14ac:dyDescent="0.25">
      <c r="A82" s="72" t="s">
        <v>65</v>
      </c>
      <c r="B82" s="21">
        <v>4745</v>
      </c>
      <c r="C82" s="21">
        <v>4435</v>
      </c>
      <c r="D82" s="21">
        <v>3709</v>
      </c>
      <c r="E82" s="21">
        <v>3363</v>
      </c>
      <c r="F82" s="21">
        <v>2873</v>
      </c>
      <c r="G82" s="21">
        <v>2268</v>
      </c>
      <c r="H82" s="21">
        <v>2347</v>
      </c>
      <c r="I82" s="21">
        <v>2371</v>
      </c>
      <c r="J82" s="21">
        <v>2666</v>
      </c>
      <c r="K82" s="21">
        <v>2007</v>
      </c>
      <c r="L82" s="21">
        <v>1990</v>
      </c>
      <c r="M82" s="20">
        <v>1980</v>
      </c>
      <c r="N82" s="20">
        <v>2220</v>
      </c>
      <c r="O82" s="20">
        <v>2707</v>
      </c>
      <c r="P82" s="20">
        <v>2962</v>
      </c>
      <c r="Q82" s="21">
        <v>2674</v>
      </c>
      <c r="R82" s="20">
        <v>2569</v>
      </c>
      <c r="S82" s="20">
        <v>2819</v>
      </c>
      <c r="T82" s="21">
        <v>2470</v>
      </c>
      <c r="U82" s="21">
        <v>3163</v>
      </c>
      <c r="V82" s="21">
        <v>3276</v>
      </c>
      <c r="W82" s="21">
        <v>3598</v>
      </c>
      <c r="X82" s="20">
        <v>3446</v>
      </c>
      <c r="Y82" s="20">
        <v>3698</v>
      </c>
      <c r="Z82" s="20">
        <v>3668</v>
      </c>
    </row>
    <row r="83" spans="1:26" ht="18" x14ac:dyDescent="0.25">
      <c r="A83" s="7" t="s">
        <v>248</v>
      </c>
      <c r="B83" s="22">
        <v>25059</v>
      </c>
      <c r="C83" s="22">
        <v>23807</v>
      </c>
      <c r="D83" s="22">
        <v>21772</v>
      </c>
      <c r="E83" s="22">
        <v>19065</v>
      </c>
      <c r="F83" s="22">
        <v>17275</v>
      </c>
      <c r="G83" s="22">
        <v>16043</v>
      </c>
      <c r="H83" s="22">
        <v>14943</v>
      </c>
      <c r="I83" s="22">
        <v>15203</v>
      </c>
      <c r="J83" s="22">
        <v>15868</v>
      </c>
      <c r="K83" s="22">
        <v>15456</v>
      </c>
      <c r="L83" s="22">
        <v>13498</v>
      </c>
      <c r="M83" s="26">
        <v>12136</v>
      </c>
      <c r="N83" s="26">
        <v>13249</v>
      </c>
      <c r="O83" s="26">
        <v>14512</v>
      </c>
      <c r="P83" s="26">
        <v>16380</v>
      </c>
      <c r="Q83" s="22">
        <v>15174</v>
      </c>
      <c r="R83" s="26">
        <v>13398</v>
      </c>
      <c r="S83" s="26">
        <v>12819</v>
      </c>
      <c r="T83" s="22">
        <v>12024</v>
      </c>
      <c r="U83" s="22">
        <v>12183</v>
      </c>
      <c r="V83" s="22">
        <v>11846</v>
      </c>
      <c r="W83" s="22">
        <v>11553</v>
      </c>
      <c r="X83" s="26">
        <v>12747</v>
      </c>
      <c r="Y83" s="26">
        <v>12369</v>
      </c>
      <c r="Z83" s="26">
        <v>12938</v>
      </c>
    </row>
    <row r="84" spans="1:26" x14ac:dyDescent="0.25">
      <c r="A84" s="72" t="s">
        <v>66</v>
      </c>
      <c r="B84" s="21">
        <v>242</v>
      </c>
      <c r="C84" s="21">
        <v>270</v>
      </c>
      <c r="D84" s="21">
        <v>242</v>
      </c>
      <c r="E84" s="21">
        <v>191</v>
      </c>
      <c r="F84" s="21">
        <v>593</v>
      </c>
      <c r="G84" s="21">
        <v>484</v>
      </c>
      <c r="H84" s="21">
        <v>212</v>
      </c>
      <c r="I84" s="21">
        <v>158</v>
      </c>
      <c r="J84" s="21">
        <v>188</v>
      </c>
      <c r="K84" s="21">
        <v>175</v>
      </c>
      <c r="L84" s="21">
        <v>75</v>
      </c>
      <c r="M84" s="20">
        <v>96</v>
      </c>
      <c r="N84" s="20">
        <v>82</v>
      </c>
      <c r="O84" s="20">
        <v>91</v>
      </c>
      <c r="P84" s="20">
        <v>115</v>
      </c>
      <c r="Q84" s="21">
        <v>91</v>
      </c>
      <c r="R84" s="20">
        <v>54</v>
      </c>
      <c r="S84" s="20">
        <v>106</v>
      </c>
      <c r="T84" s="21">
        <v>75</v>
      </c>
      <c r="U84" s="21">
        <v>169</v>
      </c>
      <c r="V84" s="21">
        <v>165</v>
      </c>
      <c r="W84" s="21">
        <v>180</v>
      </c>
      <c r="X84" s="20">
        <v>205</v>
      </c>
      <c r="Y84" s="20">
        <v>324</v>
      </c>
      <c r="Z84" s="20">
        <v>243</v>
      </c>
    </row>
    <row r="85" spans="1:26" x14ac:dyDescent="0.25">
      <c r="A85" s="72" t="s">
        <v>68</v>
      </c>
      <c r="B85" s="21">
        <v>578</v>
      </c>
      <c r="C85" s="21">
        <v>447</v>
      </c>
      <c r="D85" s="21">
        <v>405</v>
      </c>
      <c r="E85" s="21">
        <v>385</v>
      </c>
      <c r="F85" s="21">
        <v>234</v>
      </c>
      <c r="G85" s="21">
        <v>171</v>
      </c>
      <c r="H85" s="21">
        <v>174</v>
      </c>
      <c r="I85" s="21">
        <v>206</v>
      </c>
      <c r="J85" s="21">
        <v>131</v>
      </c>
      <c r="K85" s="21">
        <v>154</v>
      </c>
      <c r="L85" s="21">
        <v>134</v>
      </c>
      <c r="M85" s="20">
        <v>72</v>
      </c>
      <c r="N85" s="20">
        <v>11</v>
      </c>
      <c r="O85" s="20">
        <v>78</v>
      </c>
      <c r="P85" s="20">
        <v>479</v>
      </c>
      <c r="Q85" s="21">
        <v>192</v>
      </c>
      <c r="R85" s="20">
        <v>48</v>
      </c>
      <c r="S85" s="20">
        <v>42</v>
      </c>
      <c r="T85" s="21">
        <v>22</v>
      </c>
      <c r="U85" s="21">
        <v>30</v>
      </c>
      <c r="V85" s="21">
        <v>26</v>
      </c>
      <c r="W85" s="21">
        <v>23</v>
      </c>
      <c r="X85" s="20">
        <v>33</v>
      </c>
      <c r="Y85" s="20">
        <v>52</v>
      </c>
      <c r="Z85" s="20">
        <v>84</v>
      </c>
    </row>
    <row r="86" spans="1:26" x14ac:dyDescent="0.25">
      <c r="A86" s="72" t="s">
        <v>69</v>
      </c>
      <c r="B86" s="21">
        <v>685</v>
      </c>
      <c r="C86" s="21">
        <v>649</v>
      </c>
      <c r="D86" s="21">
        <v>505</v>
      </c>
      <c r="E86" s="21">
        <v>384</v>
      </c>
      <c r="F86" s="21">
        <v>252</v>
      </c>
      <c r="G86" s="21">
        <v>299</v>
      </c>
      <c r="H86" s="21">
        <v>297</v>
      </c>
      <c r="I86" s="21">
        <v>181</v>
      </c>
      <c r="J86" s="21">
        <v>181</v>
      </c>
      <c r="K86" s="21">
        <v>186</v>
      </c>
      <c r="L86" s="21">
        <v>263</v>
      </c>
      <c r="M86" s="20">
        <v>206</v>
      </c>
      <c r="N86" s="20">
        <v>224</v>
      </c>
      <c r="O86" s="20">
        <v>215</v>
      </c>
      <c r="P86" s="20">
        <v>143</v>
      </c>
      <c r="Q86" s="21">
        <v>259</v>
      </c>
      <c r="R86" s="20">
        <v>102</v>
      </c>
      <c r="S86" s="20">
        <v>130</v>
      </c>
      <c r="T86" s="21">
        <v>184</v>
      </c>
      <c r="U86" s="21">
        <v>172</v>
      </c>
      <c r="V86" s="21">
        <v>154</v>
      </c>
      <c r="W86" s="21">
        <v>138</v>
      </c>
      <c r="X86" s="20">
        <v>143</v>
      </c>
      <c r="Y86" s="20">
        <v>154</v>
      </c>
      <c r="Z86" s="20">
        <v>142</v>
      </c>
    </row>
    <row r="87" spans="1:26" x14ac:dyDescent="0.25">
      <c r="A87" s="72" t="s">
        <v>70</v>
      </c>
      <c r="B87" s="21">
        <v>3737</v>
      </c>
      <c r="C87" s="21">
        <v>3581</v>
      </c>
      <c r="D87" s="21">
        <v>3522</v>
      </c>
      <c r="E87" s="21">
        <v>3091</v>
      </c>
      <c r="F87" s="21">
        <v>2738</v>
      </c>
      <c r="G87" s="21">
        <v>2555</v>
      </c>
      <c r="H87" s="21">
        <v>2343</v>
      </c>
      <c r="I87" s="21">
        <v>2091</v>
      </c>
      <c r="J87" s="21">
        <v>1894</v>
      </c>
      <c r="K87" s="21">
        <v>1921</v>
      </c>
      <c r="L87" s="21">
        <v>1795</v>
      </c>
      <c r="M87" s="20">
        <v>1879</v>
      </c>
      <c r="N87" s="20">
        <v>2551</v>
      </c>
      <c r="O87" s="20">
        <v>2353</v>
      </c>
      <c r="P87" s="20">
        <v>3876</v>
      </c>
      <c r="Q87" s="21">
        <v>3731</v>
      </c>
      <c r="R87" s="20">
        <v>3363</v>
      </c>
      <c r="S87" s="20">
        <v>2998</v>
      </c>
      <c r="T87" s="21">
        <v>1055</v>
      </c>
      <c r="U87" s="21">
        <v>1101</v>
      </c>
      <c r="V87" s="21">
        <v>1002</v>
      </c>
      <c r="W87" s="21">
        <v>1008</v>
      </c>
      <c r="X87" s="20">
        <v>1097</v>
      </c>
      <c r="Y87" s="20">
        <v>1212</v>
      </c>
      <c r="Z87" s="20">
        <v>1104</v>
      </c>
    </row>
    <row r="88" spans="1:26" x14ac:dyDescent="0.25">
      <c r="A88" s="72" t="s">
        <v>72</v>
      </c>
      <c r="B88" s="21">
        <v>4419</v>
      </c>
      <c r="C88" s="21">
        <v>4445</v>
      </c>
      <c r="D88" s="21">
        <v>3904</v>
      </c>
      <c r="E88" s="21">
        <v>3754</v>
      </c>
      <c r="F88" s="21">
        <v>3783</v>
      </c>
      <c r="G88" s="21">
        <v>2839</v>
      </c>
      <c r="H88" s="21">
        <v>2314</v>
      </c>
      <c r="I88" s="21">
        <v>2903</v>
      </c>
      <c r="J88" s="21">
        <v>3147</v>
      </c>
      <c r="K88" s="21">
        <v>2831</v>
      </c>
      <c r="L88" s="21">
        <v>2171</v>
      </c>
      <c r="M88" s="20">
        <v>2169</v>
      </c>
      <c r="N88" s="20">
        <v>2154</v>
      </c>
      <c r="O88" s="20">
        <v>2366</v>
      </c>
      <c r="P88" s="20">
        <v>2661</v>
      </c>
      <c r="Q88" s="21">
        <v>2586</v>
      </c>
      <c r="R88" s="20">
        <v>3031</v>
      </c>
      <c r="S88" s="20">
        <v>3459</v>
      </c>
      <c r="T88" s="21">
        <v>3415</v>
      </c>
      <c r="U88" s="21">
        <v>4372</v>
      </c>
      <c r="V88" s="21">
        <v>3960</v>
      </c>
      <c r="W88" s="21">
        <v>1789</v>
      </c>
      <c r="X88" s="20">
        <v>2205</v>
      </c>
      <c r="Y88" s="20">
        <v>2010</v>
      </c>
      <c r="Z88" s="20">
        <v>3032</v>
      </c>
    </row>
    <row r="89" spans="1:26" x14ac:dyDescent="0.25">
      <c r="A89" s="72" t="s">
        <v>73</v>
      </c>
      <c r="B89" s="21">
        <v>3686</v>
      </c>
      <c r="C89" s="21">
        <v>3331</v>
      </c>
      <c r="D89" s="21">
        <v>2823</v>
      </c>
      <c r="E89" s="21">
        <v>2032</v>
      </c>
      <c r="F89" s="21">
        <v>1645</v>
      </c>
      <c r="G89" s="21">
        <v>1693</v>
      </c>
      <c r="H89" s="21">
        <v>1639</v>
      </c>
      <c r="I89" s="21">
        <v>1515</v>
      </c>
      <c r="J89" s="21">
        <v>2022</v>
      </c>
      <c r="K89" s="21">
        <v>1963</v>
      </c>
      <c r="L89" s="21">
        <v>1632</v>
      </c>
      <c r="M89" s="20">
        <v>1494</v>
      </c>
      <c r="N89" s="20">
        <v>1621</v>
      </c>
      <c r="O89" s="20">
        <v>1342</v>
      </c>
      <c r="P89" s="20">
        <v>1084</v>
      </c>
      <c r="Q89" s="21">
        <v>881</v>
      </c>
      <c r="R89" s="20">
        <v>463</v>
      </c>
      <c r="S89" s="20">
        <v>413</v>
      </c>
      <c r="T89" s="21">
        <v>796</v>
      </c>
      <c r="U89" s="21">
        <v>1059</v>
      </c>
      <c r="V89" s="21">
        <v>1066</v>
      </c>
      <c r="W89" s="21">
        <v>2430</v>
      </c>
      <c r="X89" s="20">
        <v>2468</v>
      </c>
      <c r="Y89" s="20">
        <v>3024</v>
      </c>
      <c r="Z89" s="20">
        <v>2462</v>
      </c>
    </row>
    <row r="90" spans="1:26" x14ac:dyDescent="0.25">
      <c r="A90" s="72" t="s">
        <v>74</v>
      </c>
      <c r="B90" s="21">
        <v>4876</v>
      </c>
      <c r="C90" s="21">
        <v>4538</v>
      </c>
      <c r="D90" s="21">
        <v>4043</v>
      </c>
      <c r="E90" s="21">
        <v>3339</v>
      </c>
      <c r="F90" s="21">
        <v>2930</v>
      </c>
      <c r="G90" s="21">
        <v>2871</v>
      </c>
      <c r="H90" s="21">
        <v>2988</v>
      </c>
      <c r="I90" s="21">
        <v>3050</v>
      </c>
      <c r="J90" s="21">
        <v>3137</v>
      </c>
      <c r="K90" s="21">
        <v>3142</v>
      </c>
      <c r="L90" s="21">
        <v>2638</v>
      </c>
      <c r="M90" s="20">
        <v>2013</v>
      </c>
      <c r="N90" s="20">
        <v>2299</v>
      </c>
      <c r="O90" s="20">
        <v>3117</v>
      </c>
      <c r="P90" s="20">
        <v>2789</v>
      </c>
      <c r="Q90" s="21">
        <v>3026</v>
      </c>
      <c r="R90" s="20">
        <v>2596</v>
      </c>
      <c r="S90" s="20">
        <v>2064</v>
      </c>
      <c r="T90" s="21">
        <v>2628</v>
      </c>
      <c r="U90" s="21">
        <v>2408</v>
      </c>
      <c r="V90" s="21">
        <v>2394</v>
      </c>
      <c r="W90" s="21">
        <v>2806</v>
      </c>
      <c r="X90" s="20">
        <v>3117</v>
      </c>
      <c r="Y90" s="20">
        <v>2565</v>
      </c>
      <c r="Z90" s="20">
        <v>2473</v>
      </c>
    </row>
    <row r="91" spans="1:26" x14ac:dyDescent="0.25">
      <c r="A91" s="72" t="s">
        <v>75</v>
      </c>
      <c r="B91" s="21">
        <v>3286</v>
      </c>
      <c r="C91" s="21">
        <v>3257</v>
      </c>
      <c r="D91" s="21">
        <v>3106</v>
      </c>
      <c r="E91" s="21">
        <v>2898</v>
      </c>
      <c r="F91" s="21">
        <v>2786</v>
      </c>
      <c r="G91" s="21">
        <v>2767</v>
      </c>
      <c r="H91" s="21">
        <v>2843</v>
      </c>
      <c r="I91" s="21">
        <v>2865</v>
      </c>
      <c r="J91" s="21">
        <v>2967</v>
      </c>
      <c r="K91" s="21">
        <v>3407</v>
      </c>
      <c r="L91" s="21">
        <v>2859</v>
      </c>
      <c r="M91" s="20">
        <v>2758</v>
      </c>
      <c r="N91" s="20">
        <v>2524</v>
      </c>
      <c r="O91" s="20">
        <v>3419</v>
      </c>
      <c r="P91" s="20">
        <v>3772</v>
      </c>
      <c r="Q91" s="21">
        <v>3279</v>
      </c>
      <c r="R91" s="20">
        <v>2748</v>
      </c>
      <c r="S91" s="20">
        <v>2721</v>
      </c>
      <c r="T91" s="21">
        <v>2955</v>
      </c>
      <c r="U91" s="21">
        <v>2270</v>
      </c>
      <c r="V91" s="21">
        <v>2234</v>
      </c>
      <c r="W91" s="21">
        <v>2584</v>
      </c>
      <c r="X91" s="20">
        <v>2883</v>
      </c>
      <c r="Y91" s="20">
        <v>2496</v>
      </c>
      <c r="Z91" s="20">
        <v>2868</v>
      </c>
    </row>
    <row r="92" spans="1:26" x14ac:dyDescent="0.25">
      <c r="A92" s="72" t="s">
        <v>76</v>
      </c>
      <c r="B92" s="21">
        <v>2267</v>
      </c>
      <c r="C92" s="21">
        <v>2093</v>
      </c>
      <c r="D92" s="21">
        <v>2068</v>
      </c>
      <c r="E92" s="21">
        <v>1750</v>
      </c>
      <c r="F92" s="21">
        <v>1545</v>
      </c>
      <c r="G92" s="21">
        <v>1597</v>
      </c>
      <c r="H92" s="21">
        <v>1226</v>
      </c>
      <c r="I92" s="21">
        <v>1276</v>
      </c>
      <c r="J92" s="21">
        <v>1012</v>
      </c>
      <c r="K92" s="21">
        <v>780</v>
      </c>
      <c r="L92" s="21">
        <v>885</v>
      </c>
      <c r="M92" s="20">
        <v>575</v>
      </c>
      <c r="N92" s="20">
        <v>802</v>
      </c>
      <c r="O92" s="20">
        <v>558</v>
      </c>
      <c r="P92" s="20">
        <v>530</v>
      </c>
      <c r="Q92" s="21">
        <v>375</v>
      </c>
      <c r="R92" s="20">
        <v>373</v>
      </c>
      <c r="S92" s="20">
        <v>429</v>
      </c>
      <c r="T92" s="21">
        <v>452</v>
      </c>
      <c r="U92" s="21">
        <v>433</v>
      </c>
      <c r="V92" s="21">
        <v>588</v>
      </c>
      <c r="W92" s="21">
        <v>359</v>
      </c>
      <c r="X92" s="20">
        <v>357</v>
      </c>
      <c r="Y92" s="20">
        <v>413</v>
      </c>
      <c r="Z92" s="20">
        <v>364</v>
      </c>
    </row>
    <row r="93" spans="1:26" x14ac:dyDescent="0.25">
      <c r="A93" s="72" t="s">
        <v>77</v>
      </c>
      <c r="B93" s="21">
        <v>1283</v>
      </c>
      <c r="C93" s="21">
        <v>1196</v>
      </c>
      <c r="D93" s="21">
        <v>1154</v>
      </c>
      <c r="E93" s="21">
        <v>1241</v>
      </c>
      <c r="F93" s="21">
        <v>769</v>
      </c>
      <c r="G93" s="21">
        <v>767</v>
      </c>
      <c r="H93" s="21">
        <v>907</v>
      </c>
      <c r="I93" s="21">
        <v>958</v>
      </c>
      <c r="J93" s="21">
        <v>1189</v>
      </c>
      <c r="K93" s="21">
        <v>897</v>
      </c>
      <c r="L93" s="21">
        <v>1046</v>
      </c>
      <c r="M93" s="20">
        <v>874</v>
      </c>
      <c r="N93" s="20">
        <v>981</v>
      </c>
      <c r="O93" s="20">
        <v>973</v>
      </c>
      <c r="P93" s="20">
        <v>931</v>
      </c>
      <c r="Q93" s="21">
        <v>754</v>
      </c>
      <c r="R93" s="20">
        <v>620</v>
      </c>
      <c r="S93" s="20">
        <v>457</v>
      </c>
      <c r="T93" s="21">
        <v>442</v>
      </c>
      <c r="U93" s="21">
        <v>169</v>
      </c>
      <c r="V93" s="21">
        <v>257</v>
      </c>
      <c r="W93" s="21">
        <v>236</v>
      </c>
      <c r="X93" s="20">
        <v>239</v>
      </c>
      <c r="Y93" s="20">
        <v>119</v>
      </c>
      <c r="Z93" s="20">
        <v>166</v>
      </c>
    </row>
    <row r="94" spans="1:26" ht="18" x14ac:dyDescent="0.25">
      <c r="A94" s="7" t="s">
        <v>253</v>
      </c>
      <c r="B94" s="22">
        <v>12635</v>
      </c>
      <c r="C94" s="22">
        <v>11950</v>
      </c>
      <c r="D94" s="22">
        <v>10816</v>
      </c>
      <c r="E94" s="22">
        <v>8410</v>
      </c>
      <c r="F94" s="22">
        <v>7366</v>
      </c>
      <c r="G94" s="22">
        <v>7363</v>
      </c>
      <c r="H94" s="22">
        <v>7247</v>
      </c>
      <c r="I94" s="22">
        <v>7716</v>
      </c>
      <c r="J94" s="22">
        <v>6452</v>
      </c>
      <c r="K94" s="22">
        <v>4075</v>
      </c>
      <c r="L94" s="22">
        <v>5246</v>
      </c>
      <c r="M94" s="26">
        <v>10105</v>
      </c>
      <c r="N94" s="26">
        <v>9234</v>
      </c>
      <c r="O94" s="26">
        <v>8227</v>
      </c>
      <c r="P94" s="26">
        <v>7484</v>
      </c>
      <c r="Q94" s="22">
        <v>6723</v>
      </c>
      <c r="R94" s="26">
        <v>6321</v>
      </c>
      <c r="S94" s="26">
        <v>5844</v>
      </c>
      <c r="T94" s="22">
        <v>5998</v>
      </c>
      <c r="U94" s="22">
        <v>3678</v>
      </c>
      <c r="V94" s="22">
        <v>2725</v>
      </c>
      <c r="W94" s="22">
        <v>3631</v>
      </c>
      <c r="X94" s="26">
        <v>4195</v>
      </c>
      <c r="Y94" s="26">
        <v>3886</v>
      </c>
      <c r="Z94" s="26">
        <v>4712</v>
      </c>
    </row>
    <row r="95" spans="1:26" x14ac:dyDescent="0.25">
      <c r="A95" s="72" t="s">
        <v>67</v>
      </c>
      <c r="B95" s="21">
        <v>854</v>
      </c>
      <c r="C95" s="21">
        <v>910</v>
      </c>
      <c r="D95" s="21">
        <v>908</v>
      </c>
      <c r="E95" s="21">
        <v>804</v>
      </c>
      <c r="F95" s="21">
        <v>419</v>
      </c>
      <c r="G95" s="21">
        <v>571</v>
      </c>
      <c r="H95" s="21">
        <v>414</v>
      </c>
      <c r="I95" s="21">
        <v>406</v>
      </c>
      <c r="J95" s="21">
        <v>369</v>
      </c>
      <c r="K95" s="21">
        <v>282</v>
      </c>
      <c r="L95" s="21">
        <v>275</v>
      </c>
      <c r="M95" s="20">
        <v>330</v>
      </c>
      <c r="N95" s="20">
        <v>243</v>
      </c>
      <c r="O95" s="20">
        <v>316</v>
      </c>
      <c r="P95" s="20">
        <v>300</v>
      </c>
      <c r="Q95" s="21">
        <v>214</v>
      </c>
      <c r="R95" s="20">
        <v>158</v>
      </c>
      <c r="S95" s="20">
        <v>109</v>
      </c>
      <c r="T95" s="21">
        <v>30</v>
      </c>
      <c r="U95" s="21">
        <v>324</v>
      </c>
      <c r="V95" s="21">
        <v>99</v>
      </c>
      <c r="W95" s="21">
        <v>389</v>
      </c>
      <c r="X95" s="20">
        <v>281</v>
      </c>
      <c r="Y95" s="20">
        <v>259</v>
      </c>
      <c r="Z95" s="20">
        <v>400</v>
      </c>
    </row>
    <row r="96" spans="1:26" x14ac:dyDescent="0.25">
      <c r="A96" s="72" t="s">
        <v>78</v>
      </c>
      <c r="B96" s="21">
        <v>2346</v>
      </c>
      <c r="C96" s="21">
        <v>2615</v>
      </c>
      <c r="D96" s="21">
        <v>2276</v>
      </c>
      <c r="E96" s="21">
        <v>1309</v>
      </c>
      <c r="F96" s="21">
        <v>1135</v>
      </c>
      <c r="G96" s="21">
        <v>1146</v>
      </c>
      <c r="H96" s="21">
        <v>1136</v>
      </c>
      <c r="I96" s="21">
        <v>1569</v>
      </c>
      <c r="J96" s="21">
        <v>1395</v>
      </c>
      <c r="K96" s="21">
        <v>240</v>
      </c>
      <c r="L96" s="21">
        <v>1337</v>
      </c>
      <c r="M96" s="20">
        <v>2401</v>
      </c>
      <c r="N96" s="20">
        <v>3405</v>
      </c>
      <c r="O96" s="20">
        <v>3497</v>
      </c>
      <c r="P96" s="20">
        <v>4050</v>
      </c>
      <c r="Q96" s="21">
        <v>3390</v>
      </c>
      <c r="R96" s="20">
        <v>3180</v>
      </c>
      <c r="S96" s="20">
        <v>3129</v>
      </c>
      <c r="T96" s="21">
        <v>3179</v>
      </c>
      <c r="U96" s="21">
        <v>267</v>
      </c>
      <c r="V96" s="21">
        <v>185</v>
      </c>
      <c r="W96" s="21">
        <v>188</v>
      </c>
      <c r="X96" s="20">
        <v>387</v>
      </c>
      <c r="Y96" s="20">
        <v>436</v>
      </c>
      <c r="Z96" s="20">
        <v>414</v>
      </c>
    </row>
    <row r="97" spans="1:26" x14ac:dyDescent="0.25">
      <c r="A97" s="72" t="s">
        <v>71</v>
      </c>
      <c r="B97" s="21">
        <v>1914</v>
      </c>
      <c r="C97" s="21">
        <v>1663</v>
      </c>
      <c r="D97" s="21">
        <v>1357</v>
      </c>
      <c r="E97" s="21">
        <v>1401</v>
      </c>
      <c r="F97" s="21">
        <v>1256</v>
      </c>
      <c r="G97" s="21">
        <v>1098</v>
      </c>
      <c r="H97" s="21">
        <v>1131</v>
      </c>
      <c r="I97" s="21">
        <v>1250</v>
      </c>
      <c r="J97" s="21">
        <v>937</v>
      </c>
      <c r="K97" s="21">
        <v>746</v>
      </c>
      <c r="L97" s="21">
        <v>590</v>
      </c>
      <c r="M97" s="20">
        <v>590</v>
      </c>
      <c r="N97" s="20">
        <v>557</v>
      </c>
      <c r="O97" s="20">
        <v>509</v>
      </c>
      <c r="P97" s="20">
        <v>466</v>
      </c>
      <c r="Q97" s="21">
        <v>436</v>
      </c>
      <c r="R97" s="20">
        <v>454</v>
      </c>
      <c r="S97" s="20">
        <v>276</v>
      </c>
      <c r="T97" s="21">
        <v>282</v>
      </c>
      <c r="U97" s="21">
        <v>291</v>
      </c>
      <c r="V97" s="21">
        <v>82</v>
      </c>
      <c r="W97" s="21">
        <v>551</v>
      </c>
      <c r="X97" s="20">
        <v>535</v>
      </c>
      <c r="Y97" s="20">
        <v>547</v>
      </c>
      <c r="Z97" s="20">
        <v>382</v>
      </c>
    </row>
    <row r="98" spans="1:26" x14ac:dyDescent="0.25">
      <c r="A98" s="72" t="s">
        <v>79</v>
      </c>
      <c r="B98" s="21">
        <v>432</v>
      </c>
      <c r="C98" s="21">
        <v>394</v>
      </c>
      <c r="D98" s="21">
        <v>313</v>
      </c>
      <c r="E98" s="21">
        <v>318</v>
      </c>
      <c r="F98" s="21">
        <v>273</v>
      </c>
      <c r="G98" s="21">
        <v>323</v>
      </c>
      <c r="H98" s="21">
        <v>367</v>
      </c>
      <c r="I98" s="21">
        <v>381</v>
      </c>
      <c r="J98" s="21">
        <v>271</v>
      </c>
      <c r="K98" s="21">
        <v>231</v>
      </c>
      <c r="L98" s="21">
        <v>172</v>
      </c>
      <c r="M98" s="20">
        <v>133</v>
      </c>
      <c r="N98" s="20">
        <v>87</v>
      </c>
      <c r="O98" s="20">
        <v>79</v>
      </c>
      <c r="P98" s="20">
        <v>89</v>
      </c>
      <c r="Q98" s="21">
        <v>77</v>
      </c>
      <c r="R98" s="20">
        <v>72</v>
      </c>
      <c r="S98" s="20">
        <v>76</v>
      </c>
      <c r="T98" s="21">
        <v>72</v>
      </c>
      <c r="U98" s="21">
        <v>55</v>
      </c>
      <c r="V98" s="21">
        <v>73</v>
      </c>
      <c r="W98" s="21">
        <v>68</v>
      </c>
      <c r="X98" s="20">
        <v>70</v>
      </c>
      <c r="Y98" s="20">
        <v>85</v>
      </c>
      <c r="Z98" s="20">
        <v>91</v>
      </c>
    </row>
    <row r="99" spans="1:26" x14ac:dyDescent="0.25">
      <c r="A99" s="72" t="s">
        <v>80</v>
      </c>
      <c r="B99" s="21">
        <v>2323</v>
      </c>
      <c r="C99" s="21">
        <v>2242</v>
      </c>
      <c r="D99" s="21">
        <v>2230</v>
      </c>
      <c r="E99" s="21">
        <v>1502</v>
      </c>
      <c r="F99" s="21">
        <v>1872</v>
      </c>
      <c r="G99" s="21">
        <v>1816</v>
      </c>
      <c r="H99" s="21">
        <v>1905</v>
      </c>
      <c r="I99" s="21">
        <v>1815</v>
      </c>
      <c r="J99" s="21">
        <v>1533</v>
      </c>
      <c r="K99" s="21">
        <v>1032</v>
      </c>
      <c r="L99" s="21">
        <v>1242</v>
      </c>
      <c r="M99" s="20">
        <v>5245</v>
      </c>
      <c r="N99" s="20">
        <v>3483</v>
      </c>
      <c r="O99" s="20">
        <v>2071</v>
      </c>
      <c r="P99" s="20">
        <v>776</v>
      </c>
      <c r="Q99" s="21">
        <v>716</v>
      </c>
      <c r="R99" s="20">
        <v>625</v>
      </c>
      <c r="S99" s="20">
        <v>499</v>
      </c>
      <c r="T99" s="21">
        <v>382</v>
      </c>
      <c r="U99" s="21">
        <v>593</v>
      </c>
      <c r="V99" s="21">
        <v>397</v>
      </c>
      <c r="W99" s="21">
        <v>462</v>
      </c>
      <c r="X99" s="20">
        <v>544</v>
      </c>
      <c r="Y99" s="20">
        <v>844</v>
      </c>
      <c r="Z99" s="20">
        <v>706</v>
      </c>
    </row>
    <row r="100" spans="1:26" x14ac:dyDescent="0.25">
      <c r="A100" s="72" t="s">
        <v>81</v>
      </c>
      <c r="B100" s="21">
        <v>1116</v>
      </c>
      <c r="C100" s="21">
        <v>1025</v>
      </c>
      <c r="D100" s="21">
        <v>915</v>
      </c>
      <c r="E100" s="21">
        <v>853</v>
      </c>
      <c r="F100" s="21">
        <v>785</v>
      </c>
      <c r="G100" s="21">
        <v>790</v>
      </c>
      <c r="H100" s="21">
        <v>751</v>
      </c>
      <c r="I100" s="21">
        <v>700</v>
      </c>
      <c r="J100" s="21">
        <v>530</v>
      </c>
      <c r="K100" s="21">
        <v>430</v>
      </c>
      <c r="L100" s="21">
        <v>397</v>
      </c>
      <c r="M100" s="20">
        <v>378</v>
      </c>
      <c r="N100" s="20">
        <v>319</v>
      </c>
      <c r="O100" s="20">
        <v>368</v>
      </c>
      <c r="P100" s="20">
        <v>336</v>
      </c>
      <c r="Q100" s="21">
        <v>329</v>
      </c>
      <c r="R100" s="20">
        <v>406</v>
      </c>
      <c r="S100" s="20">
        <v>598</v>
      </c>
      <c r="T100" s="21">
        <v>506</v>
      </c>
      <c r="U100" s="21">
        <v>796</v>
      </c>
      <c r="V100" s="21">
        <v>670</v>
      </c>
      <c r="W100" s="21">
        <v>229</v>
      </c>
      <c r="X100" s="20">
        <v>296</v>
      </c>
      <c r="Y100" s="20">
        <v>289</v>
      </c>
      <c r="Z100" s="20">
        <v>395</v>
      </c>
    </row>
    <row r="101" spans="1:26" x14ac:dyDescent="0.25">
      <c r="A101" s="72" t="s">
        <v>82</v>
      </c>
      <c r="B101" s="21">
        <v>1934</v>
      </c>
      <c r="C101" s="21">
        <v>1620</v>
      </c>
      <c r="D101" s="21">
        <v>1455</v>
      </c>
      <c r="E101" s="21">
        <v>805</v>
      </c>
      <c r="F101" s="21">
        <v>676</v>
      </c>
      <c r="G101" s="21">
        <v>577</v>
      </c>
      <c r="H101" s="21">
        <v>558</v>
      </c>
      <c r="I101" s="21">
        <v>558</v>
      </c>
      <c r="J101" s="21">
        <v>602</v>
      </c>
      <c r="K101" s="21">
        <v>459</v>
      </c>
      <c r="L101" s="21">
        <v>626</v>
      </c>
      <c r="M101" s="20">
        <v>452</v>
      </c>
      <c r="N101" s="20">
        <v>549</v>
      </c>
      <c r="O101" s="20">
        <v>466</v>
      </c>
      <c r="P101" s="20">
        <v>410</v>
      </c>
      <c r="Q101" s="21">
        <v>367</v>
      </c>
      <c r="R101" s="20">
        <v>550</v>
      </c>
      <c r="S101" s="20">
        <v>434</v>
      </c>
      <c r="T101" s="21">
        <v>855</v>
      </c>
      <c r="U101" s="21">
        <v>864</v>
      </c>
      <c r="V101" s="21">
        <v>777</v>
      </c>
      <c r="W101" s="21">
        <v>1326</v>
      </c>
      <c r="X101" s="20">
        <v>1558</v>
      </c>
      <c r="Y101" s="20">
        <v>952</v>
      </c>
      <c r="Z101" s="20">
        <v>1807</v>
      </c>
    </row>
    <row r="102" spans="1:26" x14ac:dyDescent="0.25">
      <c r="A102" s="72" t="s">
        <v>83</v>
      </c>
      <c r="B102" s="21">
        <v>687</v>
      </c>
      <c r="C102" s="21">
        <v>596</v>
      </c>
      <c r="D102" s="21">
        <v>548</v>
      </c>
      <c r="E102" s="21">
        <v>370</v>
      </c>
      <c r="F102" s="21">
        <v>393</v>
      </c>
      <c r="G102" s="21">
        <v>362</v>
      </c>
      <c r="H102" s="21">
        <v>366</v>
      </c>
      <c r="I102" s="21">
        <v>249</v>
      </c>
      <c r="J102" s="21">
        <v>261</v>
      </c>
      <c r="K102" s="21">
        <v>164</v>
      </c>
      <c r="L102" s="21">
        <v>166</v>
      </c>
      <c r="M102" s="20">
        <v>139</v>
      </c>
      <c r="N102" s="20">
        <v>233</v>
      </c>
      <c r="O102" s="20">
        <v>252</v>
      </c>
      <c r="P102" s="20">
        <v>218</v>
      </c>
      <c r="Q102" s="21">
        <v>284</v>
      </c>
      <c r="R102" s="20">
        <v>280</v>
      </c>
      <c r="S102" s="20">
        <v>165</v>
      </c>
      <c r="T102" s="21">
        <v>111</v>
      </c>
      <c r="U102" s="21">
        <v>114</v>
      </c>
      <c r="V102" s="21">
        <v>104</v>
      </c>
      <c r="W102" s="21">
        <v>146</v>
      </c>
      <c r="X102" s="20">
        <v>129</v>
      </c>
      <c r="Y102" s="20">
        <v>105</v>
      </c>
      <c r="Z102" s="20">
        <v>67</v>
      </c>
    </row>
    <row r="103" spans="1:26" x14ac:dyDescent="0.25">
      <c r="A103" s="72" t="s">
        <v>84</v>
      </c>
      <c r="B103" s="21">
        <v>644</v>
      </c>
      <c r="C103" s="21">
        <v>563</v>
      </c>
      <c r="D103" s="21">
        <v>423</v>
      </c>
      <c r="E103" s="21">
        <v>430</v>
      </c>
      <c r="F103" s="21">
        <v>467</v>
      </c>
      <c r="G103" s="21">
        <v>438</v>
      </c>
      <c r="H103" s="21">
        <v>395</v>
      </c>
      <c r="I103" s="21">
        <v>556</v>
      </c>
      <c r="J103" s="21">
        <v>333</v>
      </c>
      <c r="K103" s="21">
        <v>354</v>
      </c>
      <c r="L103" s="21">
        <v>278</v>
      </c>
      <c r="M103" s="20">
        <v>322</v>
      </c>
      <c r="N103" s="20">
        <v>304</v>
      </c>
      <c r="O103" s="20">
        <v>365</v>
      </c>
      <c r="P103" s="20">
        <v>257</v>
      </c>
      <c r="Q103" s="21">
        <v>253</v>
      </c>
      <c r="R103" s="20">
        <v>51</v>
      </c>
      <c r="S103" s="20">
        <v>223</v>
      </c>
      <c r="T103" s="21">
        <v>156</v>
      </c>
      <c r="U103" s="21">
        <v>292</v>
      </c>
      <c r="V103" s="21">
        <v>287</v>
      </c>
      <c r="W103" s="21">
        <v>224</v>
      </c>
      <c r="X103" s="20">
        <v>319</v>
      </c>
      <c r="Y103" s="20">
        <v>296</v>
      </c>
      <c r="Z103" s="20">
        <v>372</v>
      </c>
    </row>
    <row r="104" spans="1:26" x14ac:dyDescent="0.25">
      <c r="A104" s="72" t="s">
        <v>85</v>
      </c>
      <c r="B104" s="21">
        <v>236</v>
      </c>
      <c r="C104" s="21">
        <v>148</v>
      </c>
      <c r="D104" s="21">
        <v>124</v>
      </c>
      <c r="E104" s="21">
        <v>102</v>
      </c>
      <c r="F104" s="21">
        <v>90</v>
      </c>
      <c r="G104" s="21">
        <v>123</v>
      </c>
      <c r="H104" s="21">
        <v>95</v>
      </c>
      <c r="I104" s="21">
        <v>94</v>
      </c>
      <c r="J104" s="21">
        <v>96</v>
      </c>
      <c r="K104" s="21">
        <v>93</v>
      </c>
      <c r="L104" s="21">
        <v>128</v>
      </c>
      <c r="M104" s="20">
        <v>93</v>
      </c>
      <c r="N104" s="20">
        <v>54</v>
      </c>
      <c r="O104" s="20">
        <v>304</v>
      </c>
      <c r="P104" s="20">
        <v>582</v>
      </c>
      <c r="Q104" s="21">
        <v>657</v>
      </c>
      <c r="R104" s="20">
        <v>504</v>
      </c>
      <c r="S104" s="20">
        <v>291</v>
      </c>
      <c r="T104" s="21">
        <v>382</v>
      </c>
      <c r="U104" s="21">
        <v>12</v>
      </c>
      <c r="V104" s="21">
        <v>11</v>
      </c>
      <c r="W104" s="21">
        <v>3</v>
      </c>
      <c r="X104" s="20">
        <v>20</v>
      </c>
      <c r="Y104" s="20">
        <v>23</v>
      </c>
      <c r="Z104" s="20">
        <v>27</v>
      </c>
    </row>
    <row r="105" spans="1:26" ht="15.75" thickBot="1" x14ac:dyDescent="0.3">
      <c r="A105" s="78" t="s">
        <v>86</v>
      </c>
      <c r="B105" s="64">
        <v>149</v>
      </c>
      <c r="C105" s="64">
        <v>174</v>
      </c>
      <c r="D105" s="64">
        <v>267</v>
      </c>
      <c r="E105" s="64">
        <v>516</v>
      </c>
      <c r="F105" s="64" t="s">
        <v>96</v>
      </c>
      <c r="G105" s="64">
        <v>119</v>
      </c>
      <c r="H105" s="64">
        <v>129</v>
      </c>
      <c r="I105" s="64">
        <v>138</v>
      </c>
      <c r="J105" s="64">
        <v>125</v>
      </c>
      <c r="K105" s="64">
        <v>44</v>
      </c>
      <c r="L105" s="64">
        <v>35</v>
      </c>
      <c r="M105" s="64">
        <v>22</v>
      </c>
      <c r="N105" s="64" t="s">
        <v>96</v>
      </c>
      <c r="O105" s="64" t="s">
        <v>96</v>
      </c>
      <c r="P105" s="64" t="s">
        <v>96</v>
      </c>
      <c r="Q105" s="64" t="s">
        <v>96</v>
      </c>
      <c r="R105" s="64">
        <v>41</v>
      </c>
      <c r="S105" s="64">
        <v>44</v>
      </c>
      <c r="T105" s="64">
        <v>43</v>
      </c>
      <c r="U105" s="64">
        <v>70</v>
      </c>
      <c r="V105" s="64">
        <v>40</v>
      </c>
      <c r="W105" s="64">
        <v>45</v>
      </c>
      <c r="X105" s="64">
        <v>56</v>
      </c>
      <c r="Y105" s="64">
        <v>50</v>
      </c>
      <c r="Z105" s="64">
        <v>51</v>
      </c>
    </row>
    <row r="106" spans="1:26" x14ac:dyDescent="0.25">
      <c r="A106" s="12"/>
      <c r="B106" s="12"/>
      <c r="C106" s="12"/>
      <c r="D106" s="12"/>
      <c r="E106" s="12"/>
      <c r="F106" s="12"/>
      <c r="G106" s="12"/>
      <c r="H106" s="12"/>
      <c r="J106" s="12"/>
      <c r="K106" s="12"/>
      <c r="L106" s="12"/>
      <c r="T106" s="12"/>
      <c r="U106" s="12"/>
      <c r="V106" s="12"/>
      <c r="W106" s="12"/>
      <c r="X106" s="12"/>
      <c r="Z106" s="12"/>
    </row>
    <row r="107" spans="1:26" x14ac:dyDescent="0.25">
      <c r="A107" s="12"/>
      <c r="B107" s="12"/>
      <c r="C107" s="12"/>
      <c r="D107" s="12"/>
      <c r="E107" s="12"/>
      <c r="F107" s="12"/>
      <c r="G107" s="12"/>
      <c r="H107" s="12"/>
      <c r="J107" s="12"/>
      <c r="K107" s="12"/>
      <c r="L107" s="12"/>
      <c r="T107" s="12"/>
      <c r="U107" s="12"/>
      <c r="V107" s="12"/>
      <c r="W107" s="12"/>
      <c r="X107" s="12"/>
      <c r="Z107" s="1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Y109"/>
  <sheetViews>
    <sheetView topLeftCell="A61" zoomScale="50" zoomScaleNormal="50" workbookViewId="0">
      <pane xSplit="1" topLeftCell="K1" activePane="topRight" state="frozen"/>
      <selection activeCell="A7" sqref="A7"/>
      <selection pane="topRight" activeCell="D1" sqref="D1"/>
    </sheetView>
  </sheetViews>
  <sheetFormatPr defaultRowHeight="15" x14ac:dyDescent="0.25"/>
  <cols>
    <col min="1" max="1" width="23" customWidth="1"/>
    <col min="2" max="2" width="11.140625" customWidth="1"/>
    <col min="3" max="3" width="10.7109375" customWidth="1"/>
    <col min="4" max="4" width="9.140625" customWidth="1"/>
    <col min="5" max="5" width="10.7109375" customWidth="1"/>
    <col min="6" max="6" width="10" customWidth="1"/>
    <col min="7" max="7" width="10.7109375" customWidth="1"/>
    <col min="8" max="8" width="9.5703125" customWidth="1"/>
    <col min="9" max="9" width="10.140625" customWidth="1"/>
    <col min="10" max="10" width="9.42578125" customWidth="1"/>
    <col min="11" max="11" width="10" customWidth="1"/>
    <col min="12" max="12" width="9.85546875" customWidth="1"/>
    <col min="13" max="13" width="9.7109375" customWidth="1"/>
    <col min="14" max="14" width="10" customWidth="1"/>
    <col min="15" max="15" width="10.5703125" customWidth="1"/>
    <col min="16" max="16" width="9.85546875" customWidth="1"/>
    <col min="17" max="17" width="10.5703125" customWidth="1"/>
    <col min="18" max="18" width="9.7109375" customWidth="1"/>
    <col min="19" max="19" width="10.28515625" customWidth="1"/>
    <col min="20" max="20" width="9.28515625" customWidth="1"/>
    <col min="21" max="21" width="10.28515625" customWidth="1"/>
    <col min="22" max="22" width="9.5703125" customWidth="1"/>
    <col min="23" max="23" width="10" customWidth="1"/>
    <col min="24" max="24" width="9.5703125" customWidth="1"/>
    <col min="25" max="25" width="9.7109375" customWidth="1"/>
    <col min="26" max="26" width="9.5703125" customWidth="1"/>
    <col min="27" max="28" width="9.85546875" customWidth="1"/>
    <col min="29" max="29" width="10.42578125" customWidth="1"/>
    <col min="30" max="30" width="10.28515625" customWidth="1"/>
    <col min="31" max="32" width="10.7109375" customWidth="1"/>
    <col min="33" max="33" width="10.42578125" customWidth="1"/>
    <col min="34" max="34" width="10.140625" customWidth="1"/>
    <col min="35" max="35" width="10.7109375" customWidth="1"/>
    <col min="36" max="36" width="10.140625" customWidth="1"/>
    <col min="37" max="37" width="10.7109375" customWidth="1"/>
    <col min="46" max="46" width="9.140625" style="12"/>
    <col min="47" max="47" width="9.140625" style="1"/>
    <col min="48" max="49" width="9.140625" style="12"/>
  </cols>
  <sheetData>
    <row r="1" spans="1:51" s="1" customFormat="1" ht="30" customHeight="1" x14ac:dyDescent="0.25">
      <c r="AT1" s="12"/>
      <c r="AV1" s="12"/>
      <c r="AW1" s="12"/>
    </row>
    <row r="2" spans="1:51" s="1" customFormat="1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AT2" s="12"/>
      <c r="AV2" s="12"/>
      <c r="AW2" s="12"/>
    </row>
    <row r="3" spans="1:51" s="1" customFormat="1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AT3" s="12"/>
      <c r="AV3" s="12"/>
      <c r="AW3" s="12"/>
    </row>
    <row r="4" spans="1:51" s="1" customFormat="1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AT4" s="12"/>
      <c r="AV4" s="12"/>
      <c r="AW4" s="12"/>
    </row>
    <row r="5" spans="1:51" ht="21.75" customHeight="1" x14ac:dyDescent="0.25">
      <c r="A5" s="207" t="s">
        <v>241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12"/>
      <c r="AS5" s="12"/>
      <c r="AU5" s="12"/>
      <c r="AX5" s="12"/>
      <c r="AY5" s="12"/>
    </row>
    <row r="6" spans="1:51" ht="15.75" thickBot="1" x14ac:dyDescent="0.3">
      <c r="A6" s="185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6"/>
      <c r="R6" s="185"/>
      <c r="S6" s="185"/>
      <c r="T6" s="185"/>
      <c r="U6" s="185"/>
      <c r="V6" s="185"/>
      <c r="W6" s="186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2"/>
      <c r="AS6" s="12"/>
      <c r="AU6" s="12"/>
      <c r="AX6" s="12"/>
      <c r="AY6" s="12"/>
    </row>
    <row r="7" spans="1:51" ht="15.75" thickBot="1" x14ac:dyDescent="0.3">
      <c r="A7" s="10"/>
      <c r="B7" s="204">
        <v>2000</v>
      </c>
      <c r="C7" s="205"/>
      <c r="D7" s="204">
        <v>2001</v>
      </c>
      <c r="E7" s="205"/>
      <c r="F7" s="204">
        <v>2002</v>
      </c>
      <c r="G7" s="205"/>
      <c r="H7" s="204">
        <v>2003</v>
      </c>
      <c r="I7" s="205"/>
      <c r="J7" s="204">
        <v>2004</v>
      </c>
      <c r="K7" s="205"/>
      <c r="L7" s="204">
        <v>2005</v>
      </c>
      <c r="M7" s="205"/>
      <c r="N7" s="204">
        <v>2006</v>
      </c>
      <c r="O7" s="205"/>
      <c r="P7" s="204">
        <v>2007</v>
      </c>
      <c r="Q7" s="205"/>
      <c r="R7" s="204">
        <v>2008</v>
      </c>
      <c r="S7" s="205"/>
      <c r="T7" s="204">
        <v>2009</v>
      </c>
      <c r="U7" s="205"/>
      <c r="V7" s="204">
        <v>2010</v>
      </c>
      <c r="W7" s="205"/>
      <c r="X7" s="204">
        <v>2011</v>
      </c>
      <c r="Y7" s="205"/>
      <c r="Z7" s="204">
        <v>2012</v>
      </c>
      <c r="AA7" s="206"/>
      <c r="AB7" s="204">
        <v>2013</v>
      </c>
      <c r="AC7" s="205"/>
      <c r="AD7" s="206">
        <v>2014</v>
      </c>
      <c r="AE7" s="206"/>
      <c r="AF7" s="204">
        <v>2015</v>
      </c>
      <c r="AG7" s="205"/>
      <c r="AH7" s="206">
        <v>2016</v>
      </c>
      <c r="AI7" s="206"/>
      <c r="AJ7" s="204">
        <v>2017</v>
      </c>
      <c r="AK7" s="205"/>
      <c r="AL7" s="204">
        <v>2018</v>
      </c>
      <c r="AM7" s="205"/>
      <c r="AN7" s="204">
        <v>2019</v>
      </c>
      <c r="AO7" s="205"/>
      <c r="AP7" s="204">
        <v>2020</v>
      </c>
      <c r="AQ7" s="205"/>
      <c r="AR7" s="204">
        <v>2021</v>
      </c>
      <c r="AS7" s="205"/>
      <c r="AT7" s="204">
        <v>2022</v>
      </c>
      <c r="AU7" s="205"/>
      <c r="AV7" s="204">
        <v>2023</v>
      </c>
      <c r="AW7" s="205"/>
      <c r="AX7" s="204">
        <v>2024</v>
      </c>
      <c r="AY7" s="205"/>
    </row>
    <row r="8" spans="1:51" ht="62.25" customHeight="1" thickBot="1" x14ac:dyDescent="0.3">
      <c r="A8" s="184"/>
      <c r="B8" s="2" t="s">
        <v>222</v>
      </c>
      <c r="C8" s="10" t="s">
        <v>243</v>
      </c>
      <c r="D8" s="10" t="s">
        <v>222</v>
      </c>
      <c r="E8" s="10" t="s">
        <v>243</v>
      </c>
      <c r="F8" s="10" t="s">
        <v>222</v>
      </c>
      <c r="G8" s="10" t="s">
        <v>243</v>
      </c>
      <c r="H8" s="10" t="s">
        <v>222</v>
      </c>
      <c r="I8" s="10" t="s">
        <v>243</v>
      </c>
      <c r="J8" s="10" t="s">
        <v>222</v>
      </c>
      <c r="K8" s="10" t="s">
        <v>243</v>
      </c>
      <c r="L8" s="10" t="s">
        <v>222</v>
      </c>
      <c r="M8" s="10" t="s">
        <v>243</v>
      </c>
      <c r="N8" s="10" t="s">
        <v>222</v>
      </c>
      <c r="O8" s="10" t="s">
        <v>243</v>
      </c>
      <c r="P8" s="10" t="s">
        <v>222</v>
      </c>
      <c r="Q8" s="10" t="s">
        <v>243</v>
      </c>
      <c r="R8" s="10" t="s">
        <v>222</v>
      </c>
      <c r="S8" s="10" t="s">
        <v>243</v>
      </c>
      <c r="T8" s="10" t="s">
        <v>222</v>
      </c>
      <c r="U8" s="10" t="s">
        <v>243</v>
      </c>
      <c r="V8" s="10" t="s">
        <v>222</v>
      </c>
      <c r="W8" s="10" t="s">
        <v>243</v>
      </c>
      <c r="X8" s="10" t="s">
        <v>222</v>
      </c>
      <c r="Y8" s="10" t="s">
        <v>243</v>
      </c>
      <c r="Z8" s="10" t="s">
        <v>222</v>
      </c>
      <c r="AA8" s="10" t="s">
        <v>243</v>
      </c>
      <c r="AB8" s="10" t="s">
        <v>222</v>
      </c>
      <c r="AC8" s="10" t="s">
        <v>243</v>
      </c>
      <c r="AD8" s="10" t="s">
        <v>222</v>
      </c>
      <c r="AE8" s="10" t="s">
        <v>243</v>
      </c>
      <c r="AF8" s="10" t="s">
        <v>222</v>
      </c>
      <c r="AG8" s="10" t="s">
        <v>243</v>
      </c>
      <c r="AH8" s="10" t="s">
        <v>222</v>
      </c>
      <c r="AI8" s="10" t="s">
        <v>243</v>
      </c>
      <c r="AJ8" s="10" t="s">
        <v>222</v>
      </c>
      <c r="AK8" s="10" t="s">
        <v>243</v>
      </c>
      <c r="AL8" s="10" t="s">
        <v>222</v>
      </c>
      <c r="AM8" s="2" t="s">
        <v>243</v>
      </c>
      <c r="AN8" s="2" t="s">
        <v>222</v>
      </c>
      <c r="AO8" s="2" t="s">
        <v>243</v>
      </c>
      <c r="AP8" s="2" t="s">
        <v>222</v>
      </c>
      <c r="AQ8" s="2" t="s">
        <v>243</v>
      </c>
      <c r="AR8" s="2" t="s">
        <v>222</v>
      </c>
      <c r="AS8" s="2" t="s">
        <v>243</v>
      </c>
      <c r="AT8" s="2" t="s">
        <v>222</v>
      </c>
      <c r="AU8" s="2" t="s">
        <v>243</v>
      </c>
      <c r="AV8" s="2" t="s">
        <v>222</v>
      </c>
      <c r="AW8" s="2" t="s">
        <v>243</v>
      </c>
      <c r="AX8" s="2" t="s">
        <v>222</v>
      </c>
      <c r="AY8" s="2" t="s">
        <v>243</v>
      </c>
    </row>
    <row r="9" spans="1:51" x14ac:dyDescent="0.25">
      <c r="A9" s="13" t="s">
        <v>0</v>
      </c>
      <c r="B9" s="121">
        <v>41112</v>
      </c>
      <c r="C9" s="119">
        <v>45167.9</v>
      </c>
      <c r="D9" s="115">
        <v>38670</v>
      </c>
      <c r="E9" s="114">
        <v>44343.200000000004</v>
      </c>
      <c r="F9" s="113">
        <v>34137</v>
      </c>
      <c r="G9" s="114">
        <v>40061</v>
      </c>
      <c r="H9" s="113">
        <v>28627</v>
      </c>
      <c r="I9" s="114">
        <v>40137.699999999997</v>
      </c>
      <c r="J9" s="113">
        <v>23168</v>
      </c>
      <c r="K9" s="114">
        <v>38890.800000000003</v>
      </c>
      <c r="L9" s="113">
        <v>20367</v>
      </c>
      <c r="M9" s="114">
        <v>34993</v>
      </c>
      <c r="N9" s="113">
        <v>17025</v>
      </c>
      <c r="O9" s="114">
        <v>36030</v>
      </c>
      <c r="P9" s="113">
        <v>16368</v>
      </c>
      <c r="Q9" s="114">
        <v>39173.599999999999</v>
      </c>
      <c r="R9" s="113">
        <v>14076</v>
      </c>
      <c r="S9" s="114">
        <v>39488.699999999997</v>
      </c>
      <c r="T9" s="113">
        <v>12837</v>
      </c>
      <c r="U9" s="114">
        <v>33949.9</v>
      </c>
      <c r="V9" s="113">
        <v>11597</v>
      </c>
      <c r="W9" s="114">
        <v>29748.799999999999</v>
      </c>
      <c r="X9" s="113">
        <v>11435</v>
      </c>
      <c r="Y9" s="114">
        <v>28724.9</v>
      </c>
      <c r="Z9" s="113">
        <v>10242</v>
      </c>
      <c r="AA9" s="114">
        <v>29538.9</v>
      </c>
      <c r="AB9" s="113">
        <v>9149</v>
      </c>
      <c r="AC9" s="114">
        <v>33652.400000000001</v>
      </c>
      <c r="AD9" s="113">
        <v>9128</v>
      </c>
      <c r="AE9" s="114">
        <v>36185.1</v>
      </c>
      <c r="AF9" s="113">
        <v>7696</v>
      </c>
      <c r="AG9" s="114">
        <v>34740.300000000003</v>
      </c>
      <c r="AH9" s="113">
        <v>7140</v>
      </c>
      <c r="AI9" s="114">
        <v>37322.1</v>
      </c>
      <c r="AJ9" s="113">
        <v>6314</v>
      </c>
      <c r="AK9" s="114">
        <v>37504.9</v>
      </c>
      <c r="AL9" s="126">
        <v>7864</v>
      </c>
      <c r="AM9" s="124">
        <v>52867</v>
      </c>
      <c r="AN9" s="121">
        <v>7492</v>
      </c>
      <c r="AO9" s="124">
        <v>46509.2</v>
      </c>
      <c r="AP9" s="121">
        <v>7760</v>
      </c>
      <c r="AQ9" s="124">
        <v>46113.4</v>
      </c>
      <c r="AR9" s="121">
        <v>7681</v>
      </c>
      <c r="AS9" s="124">
        <v>51244.2</v>
      </c>
      <c r="AT9" s="26">
        <v>8961</v>
      </c>
      <c r="AU9" s="124">
        <v>54826.139000000003</v>
      </c>
      <c r="AV9" s="26">
        <v>8386</v>
      </c>
      <c r="AW9" s="124">
        <v>62204.394999999997</v>
      </c>
      <c r="AX9" s="26">
        <v>10199</v>
      </c>
      <c r="AY9" s="124">
        <v>68062.777000000002</v>
      </c>
    </row>
    <row r="10" spans="1:51" ht="18" x14ac:dyDescent="0.25">
      <c r="A10" s="8" t="s">
        <v>247</v>
      </c>
      <c r="B10" s="121">
        <v>11485</v>
      </c>
      <c r="C10" s="124">
        <v>12781.4</v>
      </c>
      <c r="D10" s="133">
        <v>10792</v>
      </c>
      <c r="E10" s="130">
        <v>12908.8</v>
      </c>
      <c r="F10" s="133">
        <v>9656</v>
      </c>
      <c r="G10" s="130">
        <v>11976.3</v>
      </c>
      <c r="H10" s="133">
        <v>8044</v>
      </c>
      <c r="I10" s="130">
        <v>13515.5</v>
      </c>
      <c r="J10" s="133">
        <v>6579</v>
      </c>
      <c r="K10" s="130">
        <v>12479.1</v>
      </c>
      <c r="L10" s="133">
        <v>5618</v>
      </c>
      <c r="M10" s="130">
        <v>9227</v>
      </c>
      <c r="N10" s="133">
        <v>4429</v>
      </c>
      <c r="O10" s="130">
        <v>9971</v>
      </c>
      <c r="P10" s="133">
        <v>3495</v>
      </c>
      <c r="Q10" s="130">
        <v>7296.7</v>
      </c>
      <c r="R10" s="133">
        <v>2786</v>
      </c>
      <c r="S10" s="130">
        <v>7582</v>
      </c>
      <c r="T10" s="133">
        <v>2375</v>
      </c>
      <c r="U10" s="130">
        <v>6963.6</v>
      </c>
      <c r="V10" s="133">
        <v>2128</v>
      </c>
      <c r="W10" s="130">
        <v>5754.6</v>
      </c>
      <c r="X10" s="133">
        <v>2160</v>
      </c>
      <c r="Y10" s="130">
        <v>5454.5</v>
      </c>
      <c r="Z10" s="133">
        <v>1979</v>
      </c>
      <c r="AA10" s="130">
        <v>5105.3999999999996</v>
      </c>
      <c r="AB10" s="133">
        <v>1884</v>
      </c>
      <c r="AC10" s="130">
        <v>7916.1</v>
      </c>
      <c r="AD10" s="133">
        <v>1765</v>
      </c>
      <c r="AE10" s="130">
        <v>8452.7999999999993</v>
      </c>
      <c r="AF10" s="133">
        <v>1452</v>
      </c>
      <c r="AG10" s="130">
        <v>8943.5</v>
      </c>
      <c r="AH10" s="133">
        <v>1394</v>
      </c>
      <c r="AI10" s="130">
        <v>9323.2999999999993</v>
      </c>
      <c r="AJ10" s="133">
        <v>1278</v>
      </c>
      <c r="AK10" s="130">
        <v>10392.6</v>
      </c>
      <c r="AL10" s="121">
        <v>1410</v>
      </c>
      <c r="AM10" s="124">
        <v>13096.3</v>
      </c>
      <c r="AN10" s="121">
        <v>1157</v>
      </c>
      <c r="AO10" s="124">
        <v>9631.7999999999993</v>
      </c>
      <c r="AP10" s="121">
        <v>1396</v>
      </c>
      <c r="AQ10" s="124">
        <v>11100.6</v>
      </c>
      <c r="AR10" s="121">
        <v>1362</v>
      </c>
      <c r="AS10" s="124">
        <v>13550.3</v>
      </c>
      <c r="AT10" s="26">
        <v>1668</v>
      </c>
      <c r="AU10" s="124">
        <v>16452.855</v>
      </c>
      <c r="AV10" s="26">
        <v>1542</v>
      </c>
      <c r="AW10" s="124">
        <v>16610.478999999999</v>
      </c>
      <c r="AX10" s="26">
        <v>2011</v>
      </c>
      <c r="AY10" s="124">
        <v>17568.999</v>
      </c>
    </row>
    <row r="11" spans="1:51" x14ac:dyDescent="0.25">
      <c r="A11" s="9" t="s">
        <v>1</v>
      </c>
      <c r="B11" s="117">
        <v>454</v>
      </c>
      <c r="C11" s="122">
        <v>595.79999999999995</v>
      </c>
      <c r="D11" s="134">
        <v>414</v>
      </c>
      <c r="E11" s="131">
        <v>581.9</v>
      </c>
      <c r="F11" s="134">
        <v>347</v>
      </c>
      <c r="G11" s="131">
        <v>438.5</v>
      </c>
      <c r="H11" s="134">
        <v>216</v>
      </c>
      <c r="I11" s="131">
        <v>436</v>
      </c>
      <c r="J11" s="134">
        <v>177</v>
      </c>
      <c r="K11" s="131">
        <v>352.3</v>
      </c>
      <c r="L11" s="134">
        <v>129</v>
      </c>
      <c r="M11" s="131">
        <v>258</v>
      </c>
      <c r="N11" s="134">
        <v>132</v>
      </c>
      <c r="O11" s="131">
        <v>376</v>
      </c>
      <c r="P11" s="134">
        <v>154</v>
      </c>
      <c r="Q11" s="131">
        <v>354.1</v>
      </c>
      <c r="R11" s="134">
        <v>76</v>
      </c>
      <c r="S11" s="131">
        <v>340.1</v>
      </c>
      <c r="T11" s="134">
        <v>110</v>
      </c>
      <c r="U11" s="131">
        <v>280.5</v>
      </c>
      <c r="V11" s="134">
        <v>167</v>
      </c>
      <c r="W11" s="131">
        <v>269</v>
      </c>
      <c r="X11" s="134">
        <v>201</v>
      </c>
      <c r="Y11" s="131">
        <v>197</v>
      </c>
      <c r="Z11" s="134">
        <v>142</v>
      </c>
      <c r="AA11" s="131">
        <v>156.5</v>
      </c>
      <c r="AB11" s="134">
        <v>63</v>
      </c>
      <c r="AC11" s="131">
        <v>321</v>
      </c>
      <c r="AD11" s="134">
        <v>43</v>
      </c>
      <c r="AE11" s="131">
        <v>334.2</v>
      </c>
      <c r="AF11" s="134">
        <v>48</v>
      </c>
      <c r="AG11" s="131">
        <v>205.3</v>
      </c>
      <c r="AH11" s="134">
        <v>49</v>
      </c>
      <c r="AI11" s="131">
        <v>184.7</v>
      </c>
      <c r="AJ11" s="134">
        <v>17</v>
      </c>
      <c r="AK11" s="131">
        <v>93.2</v>
      </c>
      <c r="AL11" s="117">
        <v>38</v>
      </c>
      <c r="AM11" s="122">
        <v>241.2</v>
      </c>
      <c r="AN11" s="117">
        <v>26</v>
      </c>
      <c r="AO11" s="122">
        <v>165</v>
      </c>
      <c r="AP11" s="117">
        <v>52</v>
      </c>
      <c r="AQ11" s="122">
        <v>157.5</v>
      </c>
      <c r="AR11" s="117">
        <v>61</v>
      </c>
      <c r="AS11" s="122">
        <v>437.3</v>
      </c>
      <c r="AT11" s="20">
        <v>47</v>
      </c>
      <c r="AU11" s="122">
        <v>219.96199999999999</v>
      </c>
      <c r="AV11" s="20">
        <v>22</v>
      </c>
      <c r="AW11" s="122">
        <v>441.423</v>
      </c>
      <c r="AX11" s="20">
        <v>28</v>
      </c>
      <c r="AY11" s="122">
        <v>172.02500000000001</v>
      </c>
    </row>
    <row r="12" spans="1:51" x14ac:dyDescent="0.25">
      <c r="A12" s="9" t="s">
        <v>2</v>
      </c>
      <c r="B12" s="117">
        <v>1500</v>
      </c>
      <c r="C12" s="122">
        <v>680.1</v>
      </c>
      <c r="D12" s="134">
        <v>1324</v>
      </c>
      <c r="E12" s="131">
        <v>601.29999999999995</v>
      </c>
      <c r="F12" s="134">
        <v>1282</v>
      </c>
      <c r="G12" s="131">
        <v>523</v>
      </c>
      <c r="H12" s="134">
        <v>1212</v>
      </c>
      <c r="I12" s="131">
        <v>521.20000000000005</v>
      </c>
      <c r="J12" s="134">
        <v>1108</v>
      </c>
      <c r="K12" s="131">
        <v>385.8</v>
      </c>
      <c r="L12" s="134">
        <v>1049</v>
      </c>
      <c r="M12" s="131">
        <v>406</v>
      </c>
      <c r="N12" s="134">
        <v>430</v>
      </c>
      <c r="O12" s="131">
        <v>333</v>
      </c>
      <c r="P12" s="134">
        <v>176</v>
      </c>
      <c r="Q12" s="131">
        <v>225</v>
      </c>
      <c r="R12" s="134">
        <v>134</v>
      </c>
      <c r="S12" s="131">
        <v>293.5</v>
      </c>
      <c r="T12" s="134">
        <v>143</v>
      </c>
      <c r="U12" s="131">
        <v>325.10000000000002</v>
      </c>
      <c r="V12" s="134">
        <v>108</v>
      </c>
      <c r="W12" s="131">
        <v>284.8</v>
      </c>
      <c r="X12" s="134">
        <v>87</v>
      </c>
      <c r="Y12" s="131">
        <v>307.89999999999998</v>
      </c>
      <c r="Z12" s="134">
        <v>53</v>
      </c>
      <c r="AA12" s="131">
        <v>116.2</v>
      </c>
      <c r="AB12" s="134">
        <v>51</v>
      </c>
      <c r="AC12" s="131">
        <v>95.8</v>
      </c>
      <c r="AD12" s="134">
        <v>57</v>
      </c>
      <c r="AE12" s="131">
        <v>378.2</v>
      </c>
      <c r="AF12" s="134">
        <v>52</v>
      </c>
      <c r="AG12" s="131">
        <v>377.7</v>
      </c>
      <c r="AH12" s="134">
        <v>35</v>
      </c>
      <c r="AI12" s="131">
        <v>235.8</v>
      </c>
      <c r="AJ12" s="134">
        <v>30</v>
      </c>
      <c r="AK12" s="131">
        <v>183.7</v>
      </c>
      <c r="AL12" s="117">
        <v>58</v>
      </c>
      <c r="AM12" s="122">
        <v>377.5</v>
      </c>
      <c r="AN12" s="117">
        <v>37</v>
      </c>
      <c r="AO12" s="122">
        <v>233</v>
      </c>
      <c r="AP12" s="117">
        <v>45</v>
      </c>
      <c r="AQ12" s="122">
        <v>274.89999999999998</v>
      </c>
      <c r="AR12" s="117">
        <v>34</v>
      </c>
      <c r="AS12" s="122">
        <v>266.39999999999998</v>
      </c>
      <c r="AT12" s="20">
        <v>50</v>
      </c>
      <c r="AU12" s="122">
        <v>407.73399999999998</v>
      </c>
      <c r="AV12" s="20">
        <v>43</v>
      </c>
      <c r="AW12" s="122">
        <v>268.51799999999997</v>
      </c>
      <c r="AX12" s="20">
        <v>50</v>
      </c>
      <c r="AY12" s="122">
        <v>323.01</v>
      </c>
    </row>
    <row r="13" spans="1:51" x14ac:dyDescent="0.25">
      <c r="A13" s="9" t="s">
        <v>3</v>
      </c>
      <c r="B13" s="134">
        <v>491</v>
      </c>
      <c r="C13" s="122">
        <v>537.9</v>
      </c>
      <c r="D13" s="134">
        <v>464</v>
      </c>
      <c r="E13" s="131">
        <v>546.79999999999995</v>
      </c>
      <c r="F13" s="134">
        <v>435</v>
      </c>
      <c r="G13" s="131">
        <v>551.6</v>
      </c>
      <c r="H13" s="134">
        <v>377</v>
      </c>
      <c r="I13" s="131">
        <v>436.9</v>
      </c>
      <c r="J13" s="134">
        <v>313</v>
      </c>
      <c r="K13" s="131">
        <v>337.5</v>
      </c>
      <c r="L13" s="134">
        <v>261</v>
      </c>
      <c r="M13" s="131">
        <v>305</v>
      </c>
      <c r="N13" s="134">
        <v>245</v>
      </c>
      <c r="O13" s="131">
        <v>213</v>
      </c>
      <c r="P13" s="134">
        <v>212</v>
      </c>
      <c r="Q13" s="131">
        <v>258.60000000000002</v>
      </c>
      <c r="R13" s="134">
        <v>139</v>
      </c>
      <c r="S13" s="131">
        <v>202.8</v>
      </c>
      <c r="T13" s="134">
        <v>132</v>
      </c>
      <c r="U13" s="131">
        <v>182.8</v>
      </c>
      <c r="V13" s="134">
        <v>136</v>
      </c>
      <c r="W13" s="131">
        <v>239.7</v>
      </c>
      <c r="X13" s="134">
        <v>144</v>
      </c>
      <c r="Y13" s="131">
        <v>199.5</v>
      </c>
      <c r="Z13" s="134">
        <v>148</v>
      </c>
      <c r="AA13" s="131">
        <v>165.3</v>
      </c>
      <c r="AB13" s="134">
        <v>120</v>
      </c>
      <c r="AC13" s="131">
        <v>218.1</v>
      </c>
      <c r="AD13" s="134">
        <v>99</v>
      </c>
      <c r="AE13" s="131">
        <v>290.89999999999998</v>
      </c>
      <c r="AF13" s="134">
        <v>123</v>
      </c>
      <c r="AG13" s="131">
        <v>450.5</v>
      </c>
      <c r="AH13" s="134">
        <v>178</v>
      </c>
      <c r="AI13" s="131">
        <v>639.29999999999995</v>
      </c>
      <c r="AJ13" s="134">
        <v>150</v>
      </c>
      <c r="AK13" s="131">
        <v>652.79999999999995</v>
      </c>
      <c r="AL13" s="117">
        <v>114</v>
      </c>
      <c r="AM13" s="122">
        <v>545.9</v>
      </c>
      <c r="AN13" s="117">
        <v>84</v>
      </c>
      <c r="AO13" s="122">
        <v>499</v>
      </c>
      <c r="AP13" s="117">
        <v>119</v>
      </c>
      <c r="AQ13" s="122">
        <v>728.6</v>
      </c>
      <c r="AR13" s="117">
        <v>176</v>
      </c>
      <c r="AS13" s="122">
        <v>723.9</v>
      </c>
      <c r="AT13" s="20">
        <v>139</v>
      </c>
      <c r="AU13" s="122">
        <v>526.00400000000002</v>
      </c>
      <c r="AV13" s="20">
        <v>111</v>
      </c>
      <c r="AW13" s="122">
        <v>464.70800000000003</v>
      </c>
      <c r="AX13" s="20">
        <v>103</v>
      </c>
      <c r="AY13" s="122">
        <v>520.25300000000004</v>
      </c>
    </row>
    <row r="14" spans="1:51" x14ac:dyDescent="0.25">
      <c r="A14" s="9" t="s">
        <v>4</v>
      </c>
      <c r="B14" s="134">
        <v>905</v>
      </c>
      <c r="C14" s="122">
        <v>645.6</v>
      </c>
      <c r="D14" s="134">
        <v>1011</v>
      </c>
      <c r="E14" s="131">
        <v>772.7</v>
      </c>
      <c r="F14" s="134">
        <v>895</v>
      </c>
      <c r="G14" s="131">
        <v>687.3</v>
      </c>
      <c r="H14" s="134">
        <v>762</v>
      </c>
      <c r="I14" s="131">
        <v>697.6</v>
      </c>
      <c r="J14" s="134">
        <v>596</v>
      </c>
      <c r="K14" s="131">
        <v>753</v>
      </c>
      <c r="L14" s="134">
        <v>517</v>
      </c>
      <c r="M14" s="131">
        <v>803</v>
      </c>
      <c r="N14" s="134">
        <v>494</v>
      </c>
      <c r="O14" s="131">
        <v>723</v>
      </c>
      <c r="P14" s="134">
        <v>333</v>
      </c>
      <c r="Q14" s="131">
        <v>776.2</v>
      </c>
      <c r="R14" s="134">
        <v>319</v>
      </c>
      <c r="S14" s="131">
        <v>747.4</v>
      </c>
      <c r="T14" s="134">
        <v>193</v>
      </c>
      <c r="U14" s="131">
        <v>800.4</v>
      </c>
      <c r="V14" s="134">
        <v>177</v>
      </c>
      <c r="W14" s="131">
        <v>483.5</v>
      </c>
      <c r="X14" s="134">
        <v>111</v>
      </c>
      <c r="Y14" s="131">
        <v>585.29999999999995</v>
      </c>
      <c r="Z14" s="134">
        <v>148</v>
      </c>
      <c r="AA14" s="131">
        <v>673.3</v>
      </c>
      <c r="AB14" s="134">
        <v>180</v>
      </c>
      <c r="AC14" s="131">
        <v>1624.9</v>
      </c>
      <c r="AD14" s="134">
        <v>151</v>
      </c>
      <c r="AE14" s="131">
        <v>1240.4000000000001</v>
      </c>
      <c r="AF14" s="134">
        <v>164</v>
      </c>
      <c r="AG14" s="131">
        <v>1330.4</v>
      </c>
      <c r="AH14" s="134">
        <v>169</v>
      </c>
      <c r="AI14" s="131">
        <v>1515.9</v>
      </c>
      <c r="AJ14" s="134">
        <v>173</v>
      </c>
      <c r="AK14" s="131">
        <v>1404.6</v>
      </c>
      <c r="AL14" s="117">
        <v>184</v>
      </c>
      <c r="AM14" s="122">
        <v>1843</v>
      </c>
      <c r="AN14" s="117">
        <v>101</v>
      </c>
      <c r="AO14" s="122">
        <v>833.8</v>
      </c>
      <c r="AP14" s="117">
        <v>76</v>
      </c>
      <c r="AQ14" s="122">
        <v>472.7</v>
      </c>
      <c r="AR14" s="117">
        <v>59</v>
      </c>
      <c r="AS14" s="122">
        <v>595.9</v>
      </c>
      <c r="AT14" s="20">
        <v>230</v>
      </c>
      <c r="AU14" s="122">
        <v>1111.557</v>
      </c>
      <c r="AV14" s="20">
        <v>226</v>
      </c>
      <c r="AW14" s="122">
        <v>1570.43</v>
      </c>
      <c r="AX14" s="20">
        <v>272</v>
      </c>
      <c r="AY14" s="122">
        <v>1448.232</v>
      </c>
    </row>
    <row r="15" spans="1:51" x14ac:dyDescent="0.25">
      <c r="A15" s="9" t="s">
        <v>5</v>
      </c>
      <c r="B15" s="134">
        <v>248</v>
      </c>
      <c r="C15" s="122">
        <v>291</v>
      </c>
      <c r="D15" s="134">
        <v>220</v>
      </c>
      <c r="E15" s="131">
        <v>283.60000000000002</v>
      </c>
      <c r="F15" s="134">
        <v>188</v>
      </c>
      <c r="G15" s="131">
        <v>229.9</v>
      </c>
      <c r="H15" s="134">
        <v>153</v>
      </c>
      <c r="I15" s="131">
        <v>213.9</v>
      </c>
      <c r="J15" s="134">
        <v>125</v>
      </c>
      <c r="K15" s="131">
        <v>193.1</v>
      </c>
      <c r="L15" s="134">
        <v>125</v>
      </c>
      <c r="M15" s="131">
        <v>125</v>
      </c>
      <c r="N15" s="134">
        <v>71</v>
      </c>
      <c r="O15" s="131">
        <v>98</v>
      </c>
      <c r="P15" s="134">
        <v>52</v>
      </c>
      <c r="Q15" s="131">
        <v>69.5</v>
      </c>
      <c r="R15" s="134">
        <v>44</v>
      </c>
      <c r="S15" s="131">
        <v>78.2</v>
      </c>
      <c r="T15" s="134">
        <v>53</v>
      </c>
      <c r="U15" s="131">
        <v>221.1</v>
      </c>
      <c r="V15" s="134">
        <v>39</v>
      </c>
      <c r="W15" s="131">
        <v>167.7</v>
      </c>
      <c r="X15" s="134">
        <v>57</v>
      </c>
      <c r="Y15" s="131">
        <v>107.7</v>
      </c>
      <c r="Z15" s="134">
        <v>51</v>
      </c>
      <c r="AA15" s="131">
        <v>259.2</v>
      </c>
      <c r="AB15" s="134">
        <v>41</v>
      </c>
      <c r="AC15" s="131">
        <v>254.6</v>
      </c>
      <c r="AD15" s="134">
        <v>29</v>
      </c>
      <c r="AE15" s="131">
        <v>223.6</v>
      </c>
      <c r="AF15" s="134">
        <v>38</v>
      </c>
      <c r="AG15" s="131">
        <v>217.2</v>
      </c>
      <c r="AH15" s="134">
        <v>37</v>
      </c>
      <c r="AI15" s="131">
        <v>185</v>
      </c>
      <c r="AJ15" s="134">
        <v>26</v>
      </c>
      <c r="AK15" s="131">
        <v>105.7</v>
      </c>
      <c r="AL15" s="117">
        <v>47</v>
      </c>
      <c r="AM15" s="122">
        <v>247.9</v>
      </c>
      <c r="AN15" s="117">
        <v>26</v>
      </c>
      <c r="AO15" s="122">
        <v>158.9</v>
      </c>
      <c r="AP15" s="117">
        <v>20</v>
      </c>
      <c r="AQ15" s="122">
        <v>119</v>
      </c>
      <c r="AR15" s="117">
        <v>38</v>
      </c>
      <c r="AS15" s="122">
        <v>262.8</v>
      </c>
      <c r="AT15" s="20">
        <v>62</v>
      </c>
      <c r="AU15" s="122">
        <v>338.97</v>
      </c>
      <c r="AV15" s="20">
        <v>60</v>
      </c>
      <c r="AW15" s="122">
        <v>230.50399999999999</v>
      </c>
      <c r="AX15" s="20">
        <v>62</v>
      </c>
      <c r="AY15" s="122">
        <v>257.34399999999999</v>
      </c>
    </row>
    <row r="16" spans="1:51" x14ac:dyDescent="0.25">
      <c r="A16" s="9" t="s">
        <v>6</v>
      </c>
      <c r="B16" s="134">
        <v>526</v>
      </c>
      <c r="C16" s="122">
        <v>561.4</v>
      </c>
      <c r="D16" s="134">
        <v>489</v>
      </c>
      <c r="E16" s="131">
        <v>515.70000000000005</v>
      </c>
      <c r="F16" s="134">
        <v>428</v>
      </c>
      <c r="G16" s="131">
        <v>428</v>
      </c>
      <c r="H16" s="134">
        <v>380</v>
      </c>
      <c r="I16" s="131">
        <v>409.9</v>
      </c>
      <c r="J16" s="134">
        <v>334</v>
      </c>
      <c r="K16" s="131">
        <v>420.8</v>
      </c>
      <c r="L16" s="134">
        <v>288</v>
      </c>
      <c r="M16" s="131">
        <v>492</v>
      </c>
      <c r="N16" s="134">
        <v>239</v>
      </c>
      <c r="O16" s="131">
        <v>356</v>
      </c>
      <c r="P16" s="134">
        <v>169</v>
      </c>
      <c r="Q16" s="131">
        <v>302</v>
      </c>
      <c r="R16" s="134">
        <v>163</v>
      </c>
      <c r="S16" s="131">
        <v>261.60000000000002</v>
      </c>
      <c r="T16" s="134">
        <v>96</v>
      </c>
      <c r="U16" s="131">
        <v>177.4</v>
      </c>
      <c r="V16" s="134">
        <v>90</v>
      </c>
      <c r="W16" s="131">
        <v>212.6</v>
      </c>
      <c r="X16" s="134">
        <v>45</v>
      </c>
      <c r="Y16" s="131">
        <v>103.5</v>
      </c>
      <c r="Z16" s="134">
        <v>52</v>
      </c>
      <c r="AA16" s="131">
        <v>142</v>
      </c>
      <c r="AB16" s="134">
        <v>105</v>
      </c>
      <c r="AC16" s="131">
        <v>261.89999999999998</v>
      </c>
      <c r="AD16" s="134">
        <v>164</v>
      </c>
      <c r="AE16" s="131">
        <v>205.5</v>
      </c>
      <c r="AF16" s="134">
        <v>81</v>
      </c>
      <c r="AG16" s="131">
        <v>312.7</v>
      </c>
      <c r="AH16" s="134">
        <v>60</v>
      </c>
      <c r="AI16" s="131">
        <v>285.3</v>
      </c>
      <c r="AJ16" s="134">
        <v>20</v>
      </c>
      <c r="AK16" s="131">
        <v>77.599999999999994</v>
      </c>
      <c r="AL16" s="117">
        <v>15</v>
      </c>
      <c r="AM16" s="122">
        <v>52.7</v>
      </c>
      <c r="AN16" s="117">
        <v>37</v>
      </c>
      <c r="AO16" s="122">
        <v>282.10000000000002</v>
      </c>
      <c r="AP16" s="117">
        <v>5</v>
      </c>
      <c r="AQ16" s="122">
        <v>18.2</v>
      </c>
      <c r="AR16" s="117">
        <v>34</v>
      </c>
      <c r="AS16" s="122">
        <v>114.7</v>
      </c>
      <c r="AT16" s="20">
        <v>28</v>
      </c>
      <c r="AU16" s="122">
        <v>186.334</v>
      </c>
      <c r="AV16" s="20">
        <v>17</v>
      </c>
      <c r="AW16" s="122">
        <v>137.65700000000001</v>
      </c>
      <c r="AX16" s="20">
        <v>12</v>
      </c>
      <c r="AY16" s="122">
        <v>78.838999999999999</v>
      </c>
    </row>
    <row r="17" spans="1:51" x14ac:dyDescent="0.25">
      <c r="A17" s="9" t="s">
        <v>7</v>
      </c>
      <c r="B17" s="134">
        <v>545</v>
      </c>
      <c r="C17" s="122">
        <v>463</v>
      </c>
      <c r="D17" s="134">
        <v>475</v>
      </c>
      <c r="E17" s="131">
        <v>290.10000000000002</v>
      </c>
      <c r="F17" s="134">
        <v>390</v>
      </c>
      <c r="G17" s="131">
        <v>220.8</v>
      </c>
      <c r="H17" s="134">
        <v>302</v>
      </c>
      <c r="I17" s="131">
        <v>161.69999999999999</v>
      </c>
      <c r="J17" s="134">
        <v>233</v>
      </c>
      <c r="K17" s="131">
        <v>142.6</v>
      </c>
      <c r="L17" s="134">
        <v>167</v>
      </c>
      <c r="M17" s="131">
        <v>84</v>
      </c>
      <c r="N17" s="134">
        <v>92</v>
      </c>
      <c r="O17" s="131">
        <v>67</v>
      </c>
      <c r="P17" s="134">
        <v>83</v>
      </c>
      <c r="Q17" s="131">
        <v>110</v>
      </c>
      <c r="R17" s="134">
        <v>59</v>
      </c>
      <c r="S17" s="131">
        <v>85.3</v>
      </c>
      <c r="T17" s="134">
        <v>52</v>
      </c>
      <c r="U17" s="131">
        <v>92.4</v>
      </c>
      <c r="V17" s="134">
        <v>30</v>
      </c>
      <c r="W17" s="131">
        <v>42.9</v>
      </c>
      <c r="X17" s="134">
        <v>42</v>
      </c>
      <c r="Y17" s="131">
        <v>70.7</v>
      </c>
      <c r="Z17" s="134">
        <v>27</v>
      </c>
      <c r="AA17" s="131">
        <v>67.599999999999994</v>
      </c>
      <c r="AB17" s="134">
        <v>22</v>
      </c>
      <c r="AC17" s="131">
        <v>87.1</v>
      </c>
      <c r="AD17" s="134">
        <v>21</v>
      </c>
      <c r="AE17" s="131">
        <v>97.8</v>
      </c>
      <c r="AF17" s="134">
        <v>25</v>
      </c>
      <c r="AG17" s="131">
        <v>101.8</v>
      </c>
      <c r="AH17" s="134">
        <v>26</v>
      </c>
      <c r="AI17" s="131">
        <v>156.6</v>
      </c>
      <c r="AJ17" s="134">
        <v>28</v>
      </c>
      <c r="AK17" s="131">
        <v>133.4</v>
      </c>
      <c r="AL17" s="117">
        <v>63</v>
      </c>
      <c r="AM17" s="122">
        <v>165.3</v>
      </c>
      <c r="AN17" s="117">
        <v>73</v>
      </c>
      <c r="AO17" s="122">
        <v>172</v>
      </c>
      <c r="AP17" s="117">
        <v>76</v>
      </c>
      <c r="AQ17" s="122">
        <v>170.6</v>
      </c>
      <c r="AR17" s="117">
        <v>76</v>
      </c>
      <c r="AS17" s="122">
        <v>108.7</v>
      </c>
      <c r="AT17" s="20">
        <v>60</v>
      </c>
      <c r="AU17" s="122">
        <v>147.54300000000001</v>
      </c>
      <c r="AV17" s="20">
        <v>46</v>
      </c>
      <c r="AW17" s="122">
        <v>95.888000000000005</v>
      </c>
      <c r="AX17" s="20">
        <v>110</v>
      </c>
      <c r="AY17" s="122">
        <v>82.668999999999997</v>
      </c>
    </row>
    <row r="18" spans="1:51" x14ac:dyDescent="0.25">
      <c r="A18" s="9" t="s">
        <v>8</v>
      </c>
      <c r="B18" s="134">
        <v>602</v>
      </c>
      <c r="C18" s="122">
        <v>406.6</v>
      </c>
      <c r="D18" s="134">
        <v>548</v>
      </c>
      <c r="E18" s="131">
        <v>389.1</v>
      </c>
      <c r="F18" s="134">
        <v>489</v>
      </c>
      <c r="G18" s="131">
        <v>384.9</v>
      </c>
      <c r="H18" s="134">
        <v>441</v>
      </c>
      <c r="I18" s="131">
        <v>408.2</v>
      </c>
      <c r="J18" s="134">
        <v>303</v>
      </c>
      <c r="K18" s="131">
        <v>408.6</v>
      </c>
      <c r="L18" s="134">
        <v>237</v>
      </c>
      <c r="M18" s="131">
        <v>377</v>
      </c>
      <c r="N18" s="134">
        <v>169</v>
      </c>
      <c r="O18" s="131">
        <v>481</v>
      </c>
      <c r="P18" s="134">
        <v>146</v>
      </c>
      <c r="Q18" s="131">
        <v>500.6</v>
      </c>
      <c r="R18" s="134">
        <v>121</v>
      </c>
      <c r="S18" s="131">
        <v>420.2</v>
      </c>
      <c r="T18" s="134">
        <v>104</v>
      </c>
      <c r="U18" s="131">
        <v>400.9</v>
      </c>
      <c r="V18" s="134">
        <v>106</v>
      </c>
      <c r="W18" s="131">
        <v>282</v>
      </c>
      <c r="X18" s="134">
        <v>98</v>
      </c>
      <c r="Y18" s="131">
        <v>292.2</v>
      </c>
      <c r="Z18" s="134">
        <v>111</v>
      </c>
      <c r="AA18" s="131">
        <v>333.8</v>
      </c>
      <c r="AB18" s="134">
        <v>94</v>
      </c>
      <c r="AC18" s="131">
        <v>428.4</v>
      </c>
      <c r="AD18" s="134">
        <v>131</v>
      </c>
      <c r="AE18" s="131">
        <v>436.7</v>
      </c>
      <c r="AF18" s="134">
        <v>92</v>
      </c>
      <c r="AG18" s="131">
        <v>575.29999999999995</v>
      </c>
      <c r="AH18" s="134">
        <v>94</v>
      </c>
      <c r="AI18" s="131">
        <v>675.2</v>
      </c>
      <c r="AJ18" s="134">
        <v>76</v>
      </c>
      <c r="AK18" s="131">
        <v>624.79999999999995</v>
      </c>
      <c r="AL18" s="117">
        <v>85</v>
      </c>
      <c r="AM18" s="122">
        <v>619.70000000000005</v>
      </c>
      <c r="AN18" s="117">
        <v>79</v>
      </c>
      <c r="AO18" s="122">
        <v>330.5</v>
      </c>
      <c r="AP18" s="117">
        <v>53</v>
      </c>
      <c r="AQ18" s="122">
        <v>402.3</v>
      </c>
      <c r="AR18" s="117">
        <v>91</v>
      </c>
      <c r="AS18" s="122">
        <v>455.8</v>
      </c>
      <c r="AT18" s="20">
        <v>119</v>
      </c>
      <c r="AU18" s="122">
        <v>416.67099999999999</v>
      </c>
      <c r="AV18" s="20">
        <v>132</v>
      </c>
      <c r="AW18" s="122">
        <v>661.88</v>
      </c>
      <c r="AX18" s="20">
        <v>140</v>
      </c>
      <c r="AY18" s="122">
        <v>808.76700000000005</v>
      </c>
    </row>
    <row r="19" spans="1:51" x14ac:dyDescent="0.25">
      <c r="A19" s="9" t="s">
        <v>9</v>
      </c>
      <c r="B19" s="134">
        <v>377</v>
      </c>
      <c r="C19" s="122">
        <v>404.7</v>
      </c>
      <c r="D19" s="134">
        <v>344</v>
      </c>
      <c r="E19" s="131">
        <v>367</v>
      </c>
      <c r="F19" s="134">
        <v>275</v>
      </c>
      <c r="G19" s="131">
        <v>304.60000000000002</v>
      </c>
      <c r="H19" s="134">
        <v>233</v>
      </c>
      <c r="I19" s="131">
        <v>267.3</v>
      </c>
      <c r="J19" s="134">
        <v>181</v>
      </c>
      <c r="K19" s="131">
        <v>333.7</v>
      </c>
      <c r="L19" s="134">
        <v>120</v>
      </c>
      <c r="M19" s="131">
        <v>248</v>
      </c>
      <c r="N19" s="134">
        <v>111</v>
      </c>
      <c r="O19" s="131">
        <v>269</v>
      </c>
      <c r="P19" s="134">
        <v>124</v>
      </c>
      <c r="Q19" s="131">
        <v>407.4</v>
      </c>
      <c r="R19" s="134">
        <v>107</v>
      </c>
      <c r="S19" s="131">
        <v>433.9</v>
      </c>
      <c r="T19" s="134">
        <v>97</v>
      </c>
      <c r="U19" s="131">
        <v>373.5</v>
      </c>
      <c r="V19" s="134">
        <v>123</v>
      </c>
      <c r="W19" s="131">
        <v>235</v>
      </c>
      <c r="X19" s="134">
        <v>236</v>
      </c>
      <c r="Y19" s="131">
        <v>175.8</v>
      </c>
      <c r="Z19" s="134">
        <v>237</v>
      </c>
      <c r="AA19" s="131">
        <v>216.2</v>
      </c>
      <c r="AB19" s="134">
        <v>208</v>
      </c>
      <c r="AC19" s="131">
        <v>351.3</v>
      </c>
      <c r="AD19" s="134">
        <v>178</v>
      </c>
      <c r="AE19" s="131">
        <v>603.79999999999995</v>
      </c>
      <c r="AF19" s="134">
        <v>148</v>
      </c>
      <c r="AG19" s="131">
        <v>689.3</v>
      </c>
      <c r="AH19" s="134">
        <v>128</v>
      </c>
      <c r="AI19" s="131">
        <v>722.2</v>
      </c>
      <c r="AJ19" s="134">
        <v>99</v>
      </c>
      <c r="AK19" s="131">
        <v>766.3</v>
      </c>
      <c r="AL19" s="117">
        <v>76</v>
      </c>
      <c r="AM19" s="122">
        <v>496.4</v>
      </c>
      <c r="AN19" s="117">
        <v>75</v>
      </c>
      <c r="AO19" s="122">
        <v>409</v>
      </c>
      <c r="AP19" s="117">
        <v>60</v>
      </c>
      <c r="AQ19" s="122">
        <v>505.1</v>
      </c>
      <c r="AR19" s="117">
        <v>87</v>
      </c>
      <c r="AS19" s="122">
        <v>356.4</v>
      </c>
      <c r="AT19" s="20">
        <v>91</v>
      </c>
      <c r="AU19" s="122">
        <v>440.63200000000001</v>
      </c>
      <c r="AV19" s="20">
        <v>127</v>
      </c>
      <c r="AW19" s="122">
        <v>640.06899999999996</v>
      </c>
      <c r="AX19" s="20">
        <v>329</v>
      </c>
      <c r="AY19" s="122">
        <v>758.24</v>
      </c>
    </row>
    <row r="20" spans="1:51" x14ac:dyDescent="0.25">
      <c r="A20" s="9" t="s">
        <v>10</v>
      </c>
      <c r="B20" s="134">
        <v>962</v>
      </c>
      <c r="C20" s="122">
        <v>2411.1999999999998</v>
      </c>
      <c r="D20" s="134">
        <v>910</v>
      </c>
      <c r="E20" s="131">
        <v>2395.6999999999998</v>
      </c>
      <c r="F20" s="134">
        <v>793</v>
      </c>
      <c r="G20" s="131">
        <v>2310.8000000000002</v>
      </c>
      <c r="H20" s="134">
        <v>598</v>
      </c>
      <c r="I20" s="131">
        <v>3286</v>
      </c>
      <c r="J20" s="134">
        <v>484</v>
      </c>
      <c r="K20" s="131">
        <v>3058.3</v>
      </c>
      <c r="L20" s="134">
        <v>508</v>
      </c>
      <c r="M20" s="131">
        <v>2002</v>
      </c>
      <c r="N20" s="134">
        <v>437</v>
      </c>
      <c r="O20" s="131">
        <v>2417</v>
      </c>
      <c r="P20" s="134">
        <v>476</v>
      </c>
      <c r="Q20" s="131">
        <v>1823.6</v>
      </c>
      <c r="R20" s="134">
        <v>318</v>
      </c>
      <c r="S20" s="131">
        <v>2105</v>
      </c>
      <c r="T20" s="134">
        <v>326</v>
      </c>
      <c r="U20" s="131">
        <v>1786.5</v>
      </c>
      <c r="V20" s="134">
        <v>316</v>
      </c>
      <c r="W20" s="131">
        <v>1930.7</v>
      </c>
      <c r="X20" s="134">
        <v>263</v>
      </c>
      <c r="Y20" s="131">
        <v>1828.3</v>
      </c>
      <c r="Z20" s="134">
        <v>158</v>
      </c>
      <c r="AA20" s="131">
        <v>1345</v>
      </c>
      <c r="AB20" s="134">
        <v>226</v>
      </c>
      <c r="AC20" s="131">
        <v>2335.5</v>
      </c>
      <c r="AD20" s="134">
        <v>269</v>
      </c>
      <c r="AE20" s="131">
        <v>2395.9</v>
      </c>
      <c r="AF20" s="134">
        <v>176</v>
      </c>
      <c r="AG20" s="131">
        <v>1916.9</v>
      </c>
      <c r="AH20" s="134">
        <v>191</v>
      </c>
      <c r="AI20" s="131">
        <v>1956.6</v>
      </c>
      <c r="AJ20" s="134">
        <v>159</v>
      </c>
      <c r="AK20" s="131">
        <v>1880.3</v>
      </c>
      <c r="AL20" s="117">
        <v>211</v>
      </c>
      <c r="AM20" s="122">
        <v>2041.8</v>
      </c>
      <c r="AN20" s="117">
        <v>176</v>
      </c>
      <c r="AO20" s="122">
        <v>1780.5</v>
      </c>
      <c r="AP20" s="117">
        <v>101</v>
      </c>
      <c r="AQ20" s="122">
        <v>2547.8000000000002</v>
      </c>
      <c r="AR20" s="117">
        <v>92</v>
      </c>
      <c r="AS20" s="122">
        <v>1103.7</v>
      </c>
      <c r="AT20" s="20">
        <v>221</v>
      </c>
      <c r="AU20" s="122">
        <v>3216.1219999999998</v>
      </c>
      <c r="AV20" s="20">
        <v>105</v>
      </c>
      <c r="AW20" s="122">
        <v>1920.6489999999999</v>
      </c>
      <c r="AX20" s="20">
        <v>181</v>
      </c>
      <c r="AY20" s="122">
        <v>1692.444</v>
      </c>
    </row>
    <row r="21" spans="1:51" x14ac:dyDescent="0.25">
      <c r="A21" s="9" t="s">
        <v>11</v>
      </c>
      <c r="B21" s="134">
        <v>643</v>
      </c>
      <c r="C21" s="122">
        <v>331</v>
      </c>
      <c r="D21" s="134">
        <v>610</v>
      </c>
      <c r="E21" s="131">
        <v>345.3</v>
      </c>
      <c r="F21" s="134">
        <v>619</v>
      </c>
      <c r="G21" s="131">
        <v>401.9</v>
      </c>
      <c r="H21" s="134">
        <v>489</v>
      </c>
      <c r="I21" s="131">
        <v>329.4</v>
      </c>
      <c r="J21" s="134">
        <v>373</v>
      </c>
      <c r="K21" s="131">
        <v>342.1</v>
      </c>
      <c r="L21" s="134">
        <v>274</v>
      </c>
      <c r="M21" s="131">
        <v>295</v>
      </c>
      <c r="N21" s="134">
        <v>263</v>
      </c>
      <c r="O21" s="131">
        <v>350</v>
      </c>
      <c r="P21" s="134">
        <v>199</v>
      </c>
      <c r="Q21" s="131">
        <v>306.8</v>
      </c>
      <c r="R21" s="134">
        <v>207</v>
      </c>
      <c r="S21" s="131">
        <v>401.1</v>
      </c>
      <c r="T21" s="134">
        <v>173</v>
      </c>
      <c r="U21" s="131">
        <v>317.2</v>
      </c>
      <c r="V21" s="134">
        <v>172</v>
      </c>
      <c r="W21" s="131">
        <v>318.10000000000002</v>
      </c>
      <c r="X21" s="134">
        <v>171</v>
      </c>
      <c r="Y21" s="131">
        <v>287.2</v>
      </c>
      <c r="Z21" s="134">
        <v>200</v>
      </c>
      <c r="AA21" s="131">
        <v>312.39999999999998</v>
      </c>
      <c r="AB21" s="134">
        <v>178</v>
      </c>
      <c r="AC21" s="131">
        <v>540.9</v>
      </c>
      <c r="AD21" s="134">
        <v>161</v>
      </c>
      <c r="AE21" s="131">
        <v>569.79999999999995</v>
      </c>
      <c r="AF21" s="134">
        <v>129</v>
      </c>
      <c r="AG21" s="131">
        <v>481.3</v>
      </c>
      <c r="AH21" s="134">
        <v>63</v>
      </c>
      <c r="AI21" s="131">
        <v>331</v>
      </c>
      <c r="AJ21" s="134">
        <v>56</v>
      </c>
      <c r="AK21" s="131">
        <v>325.89999999999998</v>
      </c>
      <c r="AL21" s="117">
        <v>48</v>
      </c>
      <c r="AM21" s="122">
        <v>245.9</v>
      </c>
      <c r="AN21" s="117">
        <v>46</v>
      </c>
      <c r="AO21" s="122">
        <v>228</v>
      </c>
      <c r="AP21" s="117">
        <v>43</v>
      </c>
      <c r="AQ21" s="122">
        <v>190.6</v>
      </c>
      <c r="AR21" s="117">
        <v>48</v>
      </c>
      <c r="AS21" s="122">
        <v>439.4</v>
      </c>
      <c r="AT21" s="20">
        <v>50</v>
      </c>
      <c r="AU21" s="122">
        <v>248.48099999999999</v>
      </c>
      <c r="AV21" s="20">
        <v>48</v>
      </c>
      <c r="AW21" s="122">
        <v>275.84300000000002</v>
      </c>
      <c r="AX21" s="20">
        <v>64</v>
      </c>
      <c r="AY21" s="122">
        <v>420.26900000000001</v>
      </c>
    </row>
    <row r="22" spans="1:51" x14ac:dyDescent="0.25">
      <c r="A22" s="9" t="s">
        <v>12</v>
      </c>
      <c r="B22" s="134">
        <v>395</v>
      </c>
      <c r="C22" s="122">
        <v>195.9</v>
      </c>
      <c r="D22" s="134">
        <v>362</v>
      </c>
      <c r="E22" s="131">
        <v>190.9</v>
      </c>
      <c r="F22" s="134">
        <v>310</v>
      </c>
      <c r="G22" s="131">
        <v>135.80000000000001</v>
      </c>
      <c r="H22" s="134">
        <v>268</v>
      </c>
      <c r="I22" s="131">
        <v>151.4</v>
      </c>
      <c r="J22" s="134">
        <v>249</v>
      </c>
      <c r="K22" s="131">
        <v>112.5</v>
      </c>
      <c r="L22" s="134">
        <v>231</v>
      </c>
      <c r="M22" s="131">
        <v>92</v>
      </c>
      <c r="N22" s="134">
        <v>200</v>
      </c>
      <c r="O22" s="131">
        <v>114</v>
      </c>
      <c r="P22" s="134">
        <v>86</v>
      </c>
      <c r="Q22" s="131">
        <v>92.1</v>
      </c>
      <c r="R22" s="134">
        <v>73</v>
      </c>
      <c r="S22" s="131">
        <v>87.7</v>
      </c>
      <c r="T22" s="134">
        <v>58</v>
      </c>
      <c r="U22" s="131">
        <v>32.6</v>
      </c>
      <c r="V22" s="134">
        <v>48</v>
      </c>
      <c r="W22" s="131">
        <v>42.6</v>
      </c>
      <c r="X22" s="134">
        <v>44</v>
      </c>
      <c r="Y22" s="131">
        <v>34.1</v>
      </c>
      <c r="Z22" s="134">
        <v>53</v>
      </c>
      <c r="AA22" s="131">
        <v>39</v>
      </c>
      <c r="AB22" s="134">
        <v>36</v>
      </c>
      <c r="AC22" s="131">
        <v>60.1</v>
      </c>
      <c r="AD22" s="134">
        <v>41</v>
      </c>
      <c r="AE22" s="131">
        <v>75</v>
      </c>
      <c r="AF22" s="134">
        <v>21</v>
      </c>
      <c r="AG22" s="131">
        <v>55.6</v>
      </c>
      <c r="AH22" s="134">
        <v>30</v>
      </c>
      <c r="AI22" s="131">
        <v>101.2</v>
      </c>
      <c r="AJ22" s="134">
        <v>11</v>
      </c>
      <c r="AK22" s="131">
        <v>11.2</v>
      </c>
      <c r="AL22" s="117">
        <v>31</v>
      </c>
      <c r="AM22" s="122">
        <v>348.5</v>
      </c>
      <c r="AN22" s="117">
        <v>6</v>
      </c>
      <c r="AO22" s="122">
        <v>57</v>
      </c>
      <c r="AP22" s="117">
        <v>210</v>
      </c>
      <c r="AQ22" s="122">
        <v>19.8</v>
      </c>
      <c r="AR22" s="117">
        <v>1</v>
      </c>
      <c r="AS22" s="122">
        <v>17.2</v>
      </c>
      <c r="AT22" s="20">
        <v>1</v>
      </c>
      <c r="AU22" s="122">
        <v>5.8319999999999999</v>
      </c>
      <c r="AV22" s="20" t="s">
        <v>96</v>
      </c>
      <c r="AW22" s="122" t="s">
        <v>96</v>
      </c>
      <c r="AX22" s="20">
        <v>2</v>
      </c>
      <c r="AY22" s="122">
        <v>3.1840000000000002</v>
      </c>
    </row>
    <row r="23" spans="1:51" x14ac:dyDescent="0.25">
      <c r="A23" s="9" t="s">
        <v>13</v>
      </c>
      <c r="B23" s="134">
        <v>554</v>
      </c>
      <c r="C23" s="122">
        <v>350.6</v>
      </c>
      <c r="D23" s="134">
        <v>497</v>
      </c>
      <c r="E23" s="131">
        <v>356</v>
      </c>
      <c r="F23" s="134">
        <v>435</v>
      </c>
      <c r="G23" s="131">
        <v>437.6</v>
      </c>
      <c r="H23" s="134">
        <v>308</v>
      </c>
      <c r="I23" s="131">
        <v>276.2</v>
      </c>
      <c r="J23" s="134">
        <v>282</v>
      </c>
      <c r="K23" s="131">
        <v>301.89999999999998</v>
      </c>
      <c r="L23" s="134">
        <v>212</v>
      </c>
      <c r="M23" s="131">
        <v>306</v>
      </c>
      <c r="N23" s="134">
        <v>142</v>
      </c>
      <c r="O23" s="131">
        <v>199</v>
      </c>
      <c r="P23" s="134">
        <v>109</v>
      </c>
      <c r="Q23" s="131">
        <v>172</v>
      </c>
      <c r="R23" s="134">
        <v>88</v>
      </c>
      <c r="S23" s="131">
        <v>177.3</v>
      </c>
      <c r="T23" s="134">
        <v>84</v>
      </c>
      <c r="U23" s="131">
        <v>158.19999999999999</v>
      </c>
      <c r="V23" s="134">
        <v>97</v>
      </c>
      <c r="W23" s="131">
        <v>199.8</v>
      </c>
      <c r="X23" s="134">
        <v>69</v>
      </c>
      <c r="Y23" s="131">
        <v>149.80000000000001</v>
      </c>
      <c r="Z23" s="134">
        <v>88</v>
      </c>
      <c r="AA23" s="131">
        <v>319.8</v>
      </c>
      <c r="AB23" s="134">
        <v>104</v>
      </c>
      <c r="AC23" s="131">
        <v>398.2</v>
      </c>
      <c r="AD23" s="134">
        <v>110</v>
      </c>
      <c r="AE23" s="131">
        <v>462.6</v>
      </c>
      <c r="AF23" s="134">
        <v>88</v>
      </c>
      <c r="AG23" s="131">
        <v>520.1</v>
      </c>
      <c r="AH23" s="134">
        <v>73</v>
      </c>
      <c r="AI23" s="131">
        <v>421.1</v>
      </c>
      <c r="AJ23" s="134">
        <v>75</v>
      </c>
      <c r="AK23" s="131">
        <v>340.2</v>
      </c>
      <c r="AL23" s="117">
        <v>94</v>
      </c>
      <c r="AM23" s="122">
        <v>574</v>
      </c>
      <c r="AN23" s="117">
        <v>92</v>
      </c>
      <c r="AO23" s="122">
        <v>521.70000000000005</v>
      </c>
      <c r="AP23" s="117">
        <v>91</v>
      </c>
      <c r="AQ23" s="122">
        <v>436.8</v>
      </c>
      <c r="AR23" s="117">
        <v>123</v>
      </c>
      <c r="AS23" s="122">
        <v>478.4</v>
      </c>
      <c r="AT23" s="20">
        <v>101</v>
      </c>
      <c r="AU23" s="122">
        <v>414.16800000000001</v>
      </c>
      <c r="AV23" s="20">
        <v>110</v>
      </c>
      <c r="AW23" s="122">
        <v>519.24599999999998</v>
      </c>
      <c r="AX23" s="20">
        <v>108</v>
      </c>
      <c r="AY23" s="122">
        <v>537.50900000000001</v>
      </c>
    </row>
    <row r="24" spans="1:51" x14ac:dyDescent="0.25">
      <c r="A24" s="9" t="s">
        <v>14</v>
      </c>
      <c r="B24" s="134">
        <v>448</v>
      </c>
      <c r="C24" s="122">
        <v>261.5</v>
      </c>
      <c r="D24" s="134">
        <v>387</v>
      </c>
      <c r="E24" s="131">
        <v>283.39999999999998</v>
      </c>
      <c r="F24" s="134">
        <v>335</v>
      </c>
      <c r="G24" s="131">
        <v>245.4</v>
      </c>
      <c r="H24" s="134">
        <v>289</v>
      </c>
      <c r="I24" s="131">
        <v>238.6</v>
      </c>
      <c r="J24" s="134">
        <v>255</v>
      </c>
      <c r="K24" s="131">
        <v>159.6</v>
      </c>
      <c r="L24" s="134">
        <v>185</v>
      </c>
      <c r="M24" s="131">
        <v>115</v>
      </c>
      <c r="N24" s="134">
        <v>138</v>
      </c>
      <c r="O24" s="131">
        <v>64</v>
      </c>
      <c r="P24" s="134">
        <v>214</v>
      </c>
      <c r="Q24" s="131">
        <v>134.1</v>
      </c>
      <c r="R24" s="134">
        <v>241</v>
      </c>
      <c r="S24" s="131">
        <v>114.3</v>
      </c>
      <c r="T24" s="134">
        <v>183</v>
      </c>
      <c r="U24" s="131">
        <v>90.5</v>
      </c>
      <c r="V24" s="134">
        <v>151</v>
      </c>
      <c r="W24" s="131">
        <v>90.3</v>
      </c>
      <c r="X24" s="134">
        <v>280</v>
      </c>
      <c r="Y24" s="131">
        <v>83.9</v>
      </c>
      <c r="Z24" s="134">
        <v>219</v>
      </c>
      <c r="AA24" s="131">
        <v>63.9</v>
      </c>
      <c r="AB24" s="134">
        <v>175</v>
      </c>
      <c r="AC24" s="131">
        <v>42</v>
      </c>
      <c r="AD24" s="134">
        <v>73</v>
      </c>
      <c r="AE24" s="131">
        <v>21</v>
      </c>
      <c r="AF24" s="134">
        <v>50</v>
      </c>
      <c r="AG24" s="131">
        <v>166.5</v>
      </c>
      <c r="AH24" s="134">
        <v>69</v>
      </c>
      <c r="AI24" s="131">
        <v>197.8</v>
      </c>
      <c r="AJ24" s="134">
        <v>57</v>
      </c>
      <c r="AK24" s="131">
        <v>148.6</v>
      </c>
      <c r="AL24" s="117">
        <v>61</v>
      </c>
      <c r="AM24" s="122">
        <v>204.7</v>
      </c>
      <c r="AN24" s="117">
        <v>46</v>
      </c>
      <c r="AO24" s="122">
        <v>210.5</v>
      </c>
      <c r="AP24" s="117">
        <v>69</v>
      </c>
      <c r="AQ24" s="122">
        <v>168.2</v>
      </c>
      <c r="AR24" s="117">
        <v>51</v>
      </c>
      <c r="AS24" s="122">
        <v>172.7</v>
      </c>
      <c r="AT24" s="20">
        <v>33</v>
      </c>
      <c r="AU24" s="122">
        <v>142.00299999999999</v>
      </c>
      <c r="AV24" s="20">
        <v>37</v>
      </c>
      <c r="AW24" s="122">
        <v>170.89500000000001</v>
      </c>
      <c r="AX24" s="20">
        <v>53</v>
      </c>
      <c r="AY24" s="122">
        <v>198.06800000000001</v>
      </c>
    </row>
    <row r="25" spans="1:51" x14ac:dyDescent="0.25">
      <c r="A25" s="9" t="s">
        <v>15</v>
      </c>
      <c r="B25" s="134">
        <v>664</v>
      </c>
      <c r="C25" s="122">
        <v>615.79999999999995</v>
      </c>
      <c r="D25" s="134">
        <v>569</v>
      </c>
      <c r="E25" s="131">
        <v>516.6</v>
      </c>
      <c r="F25" s="134">
        <v>473</v>
      </c>
      <c r="G25" s="131">
        <v>465</v>
      </c>
      <c r="H25" s="134">
        <v>438</v>
      </c>
      <c r="I25" s="131">
        <v>451.5</v>
      </c>
      <c r="J25" s="134">
        <v>336</v>
      </c>
      <c r="K25" s="131">
        <v>329.8</v>
      </c>
      <c r="L25" s="134">
        <v>282</v>
      </c>
      <c r="M25" s="131">
        <v>268</v>
      </c>
      <c r="N25" s="134">
        <v>252</v>
      </c>
      <c r="O25" s="131">
        <v>226</v>
      </c>
      <c r="P25" s="134">
        <v>191</v>
      </c>
      <c r="Q25" s="131">
        <v>257.60000000000002</v>
      </c>
      <c r="R25" s="134">
        <v>113</v>
      </c>
      <c r="S25" s="131">
        <v>155.69999999999999</v>
      </c>
      <c r="T25" s="134">
        <v>106</v>
      </c>
      <c r="U25" s="131">
        <v>153.6</v>
      </c>
      <c r="V25" s="134">
        <v>107</v>
      </c>
      <c r="W25" s="131">
        <v>128</v>
      </c>
      <c r="X25" s="134">
        <v>68</v>
      </c>
      <c r="Y25" s="131">
        <v>121.9</v>
      </c>
      <c r="Z25" s="134">
        <v>64</v>
      </c>
      <c r="AA25" s="131">
        <v>94.1</v>
      </c>
      <c r="AB25" s="134">
        <v>61</v>
      </c>
      <c r="AC25" s="131">
        <v>87.3</v>
      </c>
      <c r="AD25" s="134">
        <v>59</v>
      </c>
      <c r="AE25" s="131">
        <v>89.8</v>
      </c>
      <c r="AF25" s="134">
        <v>61</v>
      </c>
      <c r="AG25" s="131">
        <v>180.4</v>
      </c>
      <c r="AH25" s="134">
        <v>55</v>
      </c>
      <c r="AI25" s="131">
        <v>254.6</v>
      </c>
      <c r="AJ25" s="134">
        <v>45</v>
      </c>
      <c r="AK25" s="131">
        <v>74.599999999999994</v>
      </c>
      <c r="AL25" s="117">
        <v>7</v>
      </c>
      <c r="AM25" s="122">
        <v>98.5</v>
      </c>
      <c r="AN25" s="117">
        <v>11</v>
      </c>
      <c r="AO25" s="122">
        <v>92</v>
      </c>
      <c r="AP25" s="117">
        <v>15</v>
      </c>
      <c r="AQ25" s="122">
        <v>32.4</v>
      </c>
      <c r="AR25" s="117">
        <v>34</v>
      </c>
      <c r="AS25" s="122">
        <v>188.8</v>
      </c>
      <c r="AT25" s="20">
        <v>25</v>
      </c>
      <c r="AU25" s="122">
        <v>100.77</v>
      </c>
      <c r="AV25" s="20">
        <v>19</v>
      </c>
      <c r="AW25" s="122">
        <v>88.168000000000006</v>
      </c>
      <c r="AX25" s="20">
        <v>13</v>
      </c>
      <c r="AY25" s="122">
        <v>34.774999999999999</v>
      </c>
    </row>
    <row r="26" spans="1:51" x14ac:dyDescent="0.25">
      <c r="A26" s="9" t="s">
        <v>16</v>
      </c>
      <c r="B26" s="134">
        <v>1282</v>
      </c>
      <c r="C26" s="122">
        <v>729.5</v>
      </c>
      <c r="D26" s="134">
        <v>1265</v>
      </c>
      <c r="E26" s="131">
        <v>682.9</v>
      </c>
      <c r="F26" s="134">
        <v>1098</v>
      </c>
      <c r="G26" s="131">
        <v>654.20000000000005</v>
      </c>
      <c r="H26" s="134">
        <v>745</v>
      </c>
      <c r="I26" s="131">
        <v>615.4</v>
      </c>
      <c r="J26" s="134">
        <v>531</v>
      </c>
      <c r="K26" s="131">
        <v>319.60000000000002</v>
      </c>
      <c r="L26" s="134">
        <v>388</v>
      </c>
      <c r="M26" s="131">
        <v>287</v>
      </c>
      <c r="N26" s="134">
        <v>315</v>
      </c>
      <c r="O26" s="131">
        <v>230</v>
      </c>
      <c r="P26" s="134">
        <v>203</v>
      </c>
      <c r="Q26" s="131">
        <v>164.4</v>
      </c>
      <c r="R26" s="134">
        <v>147</v>
      </c>
      <c r="S26" s="131">
        <v>139.5</v>
      </c>
      <c r="T26" s="134">
        <v>147</v>
      </c>
      <c r="U26" s="131">
        <v>111.9</v>
      </c>
      <c r="V26" s="134">
        <v>104</v>
      </c>
      <c r="W26" s="131">
        <v>94.9</v>
      </c>
      <c r="X26" s="134">
        <v>103</v>
      </c>
      <c r="Y26" s="131">
        <v>92.4</v>
      </c>
      <c r="Z26" s="134">
        <v>91</v>
      </c>
      <c r="AA26" s="131">
        <v>86.8</v>
      </c>
      <c r="AB26" s="134">
        <v>95</v>
      </c>
      <c r="AC26" s="131">
        <v>91.4</v>
      </c>
      <c r="AD26" s="134">
        <v>77</v>
      </c>
      <c r="AE26" s="131">
        <v>48.7</v>
      </c>
      <c r="AF26" s="134">
        <v>22</v>
      </c>
      <c r="AG26" s="131">
        <v>28.8</v>
      </c>
      <c r="AH26" s="134">
        <v>12</v>
      </c>
      <c r="AI26" s="131">
        <v>36.200000000000003</v>
      </c>
      <c r="AJ26" s="134">
        <v>11</v>
      </c>
      <c r="AK26" s="131">
        <v>37</v>
      </c>
      <c r="AL26" s="117">
        <v>52</v>
      </c>
      <c r="AM26" s="122">
        <v>373.6</v>
      </c>
      <c r="AN26" s="117">
        <v>29</v>
      </c>
      <c r="AO26" s="122">
        <v>201.4</v>
      </c>
      <c r="AP26" s="117">
        <v>56</v>
      </c>
      <c r="AQ26" s="122">
        <v>187.3</v>
      </c>
      <c r="AR26" s="117">
        <v>53</v>
      </c>
      <c r="AS26" s="122">
        <v>234.6</v>
      </c>
      <c r="AT26" s="20">
        <v>38</v>
      </c>
      <c r="AU26" s="122">
        <v>355.66</v>
      </c>
      <c r="AV26" s="20">
        <v>17</v>
      </c>
      <c r="AW26" s="122">
        <v>246.80199999999999</v>
      </c>
      <c r="AX26" s="20">
        <v>15</v>
      </c>
      <c r="AY26" s="122">
        <v>266.27300000000002</v>
      </c>
    </row>
    <row r="27" spans="1:51" x14ac:dyDescent="0.25">
      <c r="A27" s="9" t="s">
        <v>17</v>
      </c>
      <c r="B27" s="134">
        <v>582</v>
      </c>
      <c r="C27" s="122">
        <v>408.3</v>
      </c>
      <c r="D27" s="134">
        <v>562</v>
      </c>
      <c r="E27" s="131">
        <v>485.8</v>
      </c>
      <c r="F27" s="134">
        <v>510</v>
      </c>
      <c r="G27" s="131">
        <v>458.9</v>
      </c>
      <c r="H27" s="134">
        <v>487</v>
      </c>
      <c r="I27" s="131">
        <v>461.4</v>
      </c>
      <c r="J27" s="134">
        <v>431</v>
      </c>
      <c r="K27" s="131">
        <v>381.9</v>
      </c>
      <c r="L27" s="134">
        <v>361</v>
      </c>
      <c r="M27" s="131">
        <v>285</v>
      </c>
      <c r="N27" s="134">
        <v>425</v>
      </c>
      <c r="O27" s="131">
        <v>385</v>
      </c>
      <c r="P27" s="134">
        <v>421</v>
      </c>
      <c r="Q27" s="131">
        <v>462.3</v>
      </c>
      <c r="R27" s="134">
        <v>321</v>
      </c>
      <c r="S27" s="131">
        <v>313.3</v>
      </c>
      <c r="T27" s="134">
        <v>127</v>
      </c>
      <c r="U27" s="131">
        <v>181.3</v>
      </c>
      <c r="V27" s="134">
        <v>101</v>
      </c>
      <c r="W27" s="131">
        <v>126.9</v>
      </c>
      <c r="X27" s="134">
        <v>102</v>
      </c>
      <c r="Y27" s="131">
        <v>208.1</v>
      </c>
      <c r="Z27" s="134">
        <v>96</v>
      </c>
      <c r="AA27" s="131">
        <v>276</v>
      </c>
      <c r="AB27" s="134">
        <v>74</v>
      </c>
      <c r="AC27" s="131">
        <v>163.6</v>
      </c>
      <c r="AD27" s="134">
        <v>55</v>
      </c>
      <c r="AE27" s="131">
        <v>196</v>
      </c>
      <c r="AF27" s="134">
        <v>42</v>
      </c>
      <c r="AG27" s="131">
        <v>146.69999999999999</v>
      </c>
      <c r="AH27" s="134">
        <v>56</v>
      </c>
      <c r="AI27" s="131">
        <v>245.9</v>
      </c>
      <c r="AJ27" s="134">
        <v>48</v>
      </c>
      <c r="AK27" s="131">
        <v>144.4</v>
      </c>
      <c r="AL27" s="117">
        <v>61</v>
      </c>
      <c r="AM27" s="122">
        <v>289.3</v>
      </c>
      <c r="AN27" s="117">
        <v>67</v>
      </c>
      <c r="AO27" s="122">
        <v>272.3</v>
      </c>
      <c r="AP27" s="117">
        <v>61</v>
      </c>
      <c r="AQ27" s="122">
        <v>209.3</v>
      </c>
      <c r="AR27" s="117">
        <v>52</v>
      </c>
      <c r="AS27" s="122">
        <v>153.1</v>
      </c>
      <c r="AT27" s="20">
        <v>19</v>
      </c>
      <c r="AU27" s="122">
        <v>75.543999999999997</v>
      </c>
      <c r="AV27" s="20">
        <v>21</v>
      </c>
      <c r="AW27" s="122">
        <v>107.634</v>
      </c>
      <c r="AX27" s="20">
        <v>34</v>
      </c>
      <c r="AY27" s="122">
        <v>221.745</v>
      </c>
    </row>
    <row r="28" spans="1:51" x14ac:dyDescent="0.25">
      <c r="A28" s="9" t="s">
        <v>18</v>
      </c>
      <c r="B28" s="134">
        <v>307</v>
      </c>
      <c r="C28" s="122">
        <v>2891.4</v>
      </c>
      <c r="D28" s="134">
        <v>341</v>
      </c>
      <c r="E28" s="131">
        <v>3303.9</v>
      </c>
      <c r="F28" s="134">
        <v>354</v>
      </c>
      <c r="G28" s="131">
        <v>3097.9</v>
      </c>
      <c r="H28" s="134">
        <v>346</v>
      </c>
      <c r="I28" s="131">
        <v>4153.1000000000004</v>
      </c>
      <c r="J28" s="134">
        <v>268</v>
      </c>
      <c r="K28" s="131">
        <v>4146</v>
      </c>
      <c r="L28" s="134">
        <v>284</v>
      </c>
      <c r="M28" s="131">
        <v>2479</v>
      </c>
      <c r="N28" s="134">
        <v>274</v>
      </c>
      <c r="O28" s="131">
        <v>3070</v>
      </c>
      <c r="P28" s="134">
        <v>147</v>
      </c>
      <c r="Q28" s="131">
        <v>880.3</v>
      </c>
      <c r="R28" s="134">
        <v>116</v>
      </c>
      <c r="S28" s="131">
        <v>1224.9000000000001</v>
      </c>
      <c r="T28" s="134">
        <v>191</v>
      </c>
      <c r="U28" s="131">
        <v>1277.5999999999999</v>
      </c>
      <c r="V28" s="134">
        <v>56</v>
      </c>
      <c r="W28" s="131">
        <v>605.9</v>
      </c>
      <c r="X28" s="134">
        <v>39</v>
      </c>
      <c r="Y28" s="131">
        <v>609.1</v>
      </c>
      <c r="Z28" s="134">
        <v>41</v>
      </c>
      <c r="AA28" s="131">
        <v>438.4</v>
      </c>
      <c r="AB28" s="134">
        <v>51</v>
      </c>
      <c r="AC28" s="131">
        <v>554.20000000000005</v>
      </c>
      <c r="AD28" s="134">
        <v>47</v>
      </c>
      <c r="AE28" s="131">
        <v>782.9</v>
      </c>
      <c r="AF28" s="134">
        <v>92</v>
      </c>
      <c r="AG28" s="131">
        <v>1186.9000000000001</v>
      </c>
      <c r="AH28" s="134">
        <v>69</v>
      </c>
      <c r="AI28" s="131">
        <v>1178.9000000000001</v>
      </c>
      <c r="AJ28" s="134">
        <v>197</v>
      </c>
      <c r="AK28" s="131">
        <v>3388.4</v>
      </c>
      <c r="AL28" s="117">
        <v>165</v>
      </c>
      <c r="AM28" s="122">
        <v>4330.3</v>
      </c>
      <c r="AN28" s="117">
        <v>146</v>
      </c>
      <c r="AO28" s="122">
        <v>3185.1</v>
      </c>
      <c r="AP28" s="117">
        <v>244</v>
      </c>
      <c r="AQ28" s="122">
        <v>4459.5</v>
      </c>
      <c r="AR28" s="117">
        <v>252</v>
      </c>
      <c r="AS28" s="122">
        <v>7440.4</v>
      </c>
      <c r="AT28" s="20">
        <v>354</v>
      </c>
      <c r="AU28" s="122">
        <v>8098.8680000000004</v>
      </c>
      <c r="AV28" s="20">
        <v>401</v>
      </c>
      <c r="AW28" s="122">
        <v>8770.1650000000009</v>
      </c>
      <c r="AX28" s="20">
        <v>435</v>
      </c>
      <c r="AY28" s="122">
        <v>9745.3529999999992</v>
      </c>
    </row>
    <row r="29" spans="1:51" ht="21.75" customHeight="1" x14ac:dyDescent="0.25">
      <c r="A29" s="8" t="s">
        <v>249</v>
      </c>
      <c r="B29" s="133">
        <v>2336</v>
      </c>
      <c r="C29" s="124">
        <v>3930.1</v>
      </c>
      <c r="D29" s="133">
        <v>2156</v>
      </c>
      <c r="E29" s="130">
        <v>3863.2</v>
      </c>
      <c r="F29" s="133">
        <v>1822</v>
      </c>
      <c r="G29" s="124">
        <v>3181.6</v>
      </c>
      <c r="H29" s="133">
        <v>1508</v>
      </c>
      <c r="I29" s="122">
        <v>3346.5</v>
      </c>
      <c r="J29" s="133">
        <v>1403</v>
      </c>
      <c r="K29" s="124">
        <v>3714.1</v>
      </c>
      <c r="L29" s="133">
        <v>1423</v>
      </c>
      <c r="M29" s="130">
        <v>3102</v>
      </c>
      <c r="N29" s="133">
        <v>1268</v>
      </c>
      <c r="O29" s="130">
        <v>2477</v>
      </c>
      <c r="P29" s="133">
        <v>1396</v>
      </c>
      <c r="Q29" s="130">
        <v>5024.2</v>
      </c>
      <c r="R29" s="133">
        <v>1341</v>
      </c>
      <c r="S29" s="124">
        <v>5202.8999999999996</v>
      </c>
      <c r="T29" s="133">
        <v>1077</v>
      </c>
      <c r="U29" s="130">
        <v>2388.1999999999998</v>
      </c>
      <c r="V29" s="133">
        <v>1049</v>
      </c>
      <c r="W29" s="130">
        <v>2756.9</v>
      </c>
      <c r="X29" s="133">
        <v>711</v>
      </c>
      <c r="Y29" s="130">
        <v>3094</v>
      </c>
      <c r="Z29" s="133">
        <v>572</v>
      </c>
      <c r="AA29" s="130">
        <v>4100.1000000000004</v>
      </c>
      <c r="AB29" s="133">
        <v>524</v>
      </c>
      <c r="AC29" s="130">
        <v>3400.4</v>
      </c>
      <c r="AD29" s="133">
        <v>566</v>
      </c>
      <c r="AE29" s="130">
        <v>4514.6000000000004</v>
      </c>
      <c r="AF29" s="133">
        <v>542</v>
      </c>
      <c r="AG29" s="130">
        <v>2787.3</v>
      </c>
      <c r="AH29" s="133">
        <v>498</v>
      </c>
      <c r="AI29" s="130">
        <v>4031.2</v>
      </c>
      <c r="AJ29" s="133">
        <v>557</v>
      </c>
      <c r="AK29" s="130">
        <v>4454.7</v>
      </c>
      <c r="AL29" s="121">
        <v>935</v>
      </c>
      <c r="AM29" s="124">
        <v>11537</v>
      </c>
      <c r="AN29" s="121">
        <v>836</v>
      </c>
      <c r="AO29" s="124">
        <v>6987.3</v>
      </c>
      <c r="AP29" s="121">
        <v>811</v>
      </c>
      <c r="AQ29" s="124">
        <v>7686.1</v>
      </c>
      <c r="AR29" s="121">
        <v>684</v>
      </c>
      <c r="AS29" s="124">
        <v>6039.7</v>
      </c>
      <c r="AT29" s="26">
        <v>770</v>
      </c>
      <c r="AU29" s="124">
        <v>6382.8019999999997</v>
      </c>
      <c r="AV29" s="26">
        <v>762</v>
      </c>
      <c r="AW29" s="124">
        <v>6891.1469999999999</v>
      </c>
      <c r="AX29" s="26">
        <v>835</v>
      </c>
      <c r="AY29" s="124">
        <v>7707.9970000000003</v>
      </c>
    </row>
    <row r="30" spans="1:51" x14ac:dyDescent="0.25">
      <c r="A30" s="9" t="s">
        <v>19</v>
      </c>
      <c r="B30" s="134">
        <v>175</v>
      </c>
      <c r="C30" s="122">
        <v>208.2</v>
      </c>
      <c r="D30" s="134">
        <v>144</v>
      </c>
      <c r="E30" s="122">
        <v>177</v>
      </c>
      <c r="F30" s="134">
        <v>133</v>
      </c>
      <c r="G30" s="131">
        <v>150.1</v>
      </c>
      <c r="H30" s="134">
        <v>109</v>
      </c>
      <c r="I30" s="122">
        <v>158.9</v>
      </c>
      <c r="J30" s="134">
        <v>61</v>
      </c>
      <c r="K30" s="131">
        <v>112.2</v>
      </c>
      <c r="L30" s="134">
        <v>81</v>
      </c>
      <c r="M30" s="131">
        <v>115</v>
      </c>
      <c r="N30" s="134">
        <v>98</v>
      </c>
      <c r="O30" s="131">
        <v>107</v>
      </c>
      <c r="P30" s="134">
        <v>75</v>
      </c>
      <c r="Q30" s="122">
        <v>126.6</v>
      </c>
      <c r="R30" s="134">
        <v>70</v>
      </c>
      <c r="S30" s="131">
        <v>122.8</v>
      </c>
      <c r="T30" s="134">
        <v>65</v>
      </c>
      <c r="U30" s="131">
        <v>122.6</v>
      </c>
      <c r="V30" s="134">
        <v>54</v>
      </c>
      <c r="W30" s="131">
        <v>91.7</v>
      </c>
      <c r="X30" s="134">
        <v>72</v>
      </c>
      <c r="Y30" s="131">
        <v>73.8</v>
      </c>
      <c r="Z30" s="134">
        <v>78</v>
      </c>
      <c r="AA30" s="131">
        <v>55.2</v>
      </c>
      <c r="AB30" s="134">
        <v>65</v>
      </c>
      <c r="AC30" s="131">
        <v>97.6</v>
      </c>
      <c r="AD30" s="134">
        <v>62</v>
      </c>
      <c r="AE30" s="131">
        <v>190</v>
      </c>
      <c r="AF30" s="134">
        <v>82</v>
      </c>
      <c r="AG30" s="131">
        <v>183.9</v>
      </c>
      <c r="AH30" s="134">
        <v>65</v>
      </c>
      <c r="AI30" s="131">
        <v>155.9</v>
      </c>
      <c r="AJ30" s="134">
        <v>54</v>
      </c>
      <c r="AK30" s="131">
        <v>116.6</v>
      </c>
      <c r="AL30" s="117">
        <v>61</v>
      </c>
      <c r="AM30" s="122">
        <v>107.8</v>
      </c>
      <c r="AN30" s="117">
        <v>62</v>
      </c>
      <c r="AO30" s="122">
        <v>100.5</v>
      </c>
      <c r="AP30" s="117">
        <v>49</v>
      </c>
      <c r="AQ30" s="122">
        <v>74.900000000000006</v>
      </c>
      <c r="AR30" s="117">
        <v>38</v>
      </c>
      <c r="AS30" s="122">
        <v>57.9</v>
      </c>
      <c r="AT30" s="20">
        <v>33</v>
      </c>
      <c r="AU30" s="122">
        <v>52.243000000000002</v>
      </c>
      <c r="AV30" s="20">
        <v>21</v>
      </c>
      <c r="AW30" s="122">
        <v>35.656999999999996</v>
      </c>
      <c r="AX30" s="20">
        <v>12</v>
      </c>
      <c r="AY30" s="122">
        <v>34.335999999999999</v>
      </c>
    </row>
    <row r="31" spans="1:51" x14ac:dyDescent="0.25">
      <c r="A31" s="9" t="s">
        <v>20</v>
      </c>
      <c r="B31" s="134">
        <v>156</v>
      </c>
      <c r="C31" s="122">
        <v>311.7</v>
      </c>
      <c r="D31" s="134">
        <v>158</v>
      </c>
      <c r="E31" s="131">
        <v>376.6</v>
      </c>
      <c r="F31" s="134">
        <v>107</v>
      </c>
      <c r="G31" s="131">
        <v>290.8</v>
      </c>
      <c r="H31" s="134">
        <v>112</v>
      </c>
      <c r="I31" s="131">
        <v>231.5</v>
      </c>
      <c r="J31" s="134">
        <v>69</v>
      </c>
      <c r="K31" s="131">
        <v>242.7</v>
      </c>
      <c r="L31" s="134">
        <v>89</v>
      </c>
      <c r="M31" s="131">
        <v>352</v>
      </c>
      <c r="N31" s="134">
        <v>56</v>
      </c>
      <c r="O31" s="131">
        <v>255</v>
      </c>
      <c r="P31" s="134">
        <v>46</v>
      </c>
      <c r="Q31" s="131">
        <v>272.39999999999998</v>
      </c>
      <c r="R31" s="134">
        <v>83</v>
      </c>
      <c r="S31" s="131">
        <v>181.8</v>
      </c>
      <c r="T31" s="134">
        <v>123</v>
      </c>
      <c r="U31" s="131">
        <v>110.8</v>
      </c>
      <c r="V31" s="134">
        <v>48</v>
      </c>
      <c r="W31" s="131">
        <v>99.8</v>
      </c>
      <c r="X31" s="134">
        <v>31</v>
      </c>
      <c r="Y31" s="131">
        <v>99.8</v>
      </c>
      <c r="Z31" s="134">
        <v>30</v>
      </c>
      <c r="AA31" s="131">
        <v>97.8</v>
      </c>
      <c r="AB31" s="134">
        <v>34</v>
      </c>
      <c r="AC31" s="131">
        <v>111.6</v>
      </c>
      <c r="AD31" s="134">
        <v>99</v>
      </c>
      <c r="AE31" s="131">
        <v>163.6</v>
      </c>
      <c r="AF31" s="134">
        <v>74</v>
      </c>
      <c r="AG31" s="131">
        <v>157.30000000000001</v>
      </c>
      <c r="AH31" s="134">
        <v>21</v>
      </c>
      <c r="AI31" s="131">
        <v>75.8</v>
      </c>
      <c r="AJ31" s="134">
        <v>17</v>
      </c>
      <c r="AK31" s="131">
        <v>60.4</v>
      </c>
      <c r="AL31" s="117">
        <v>29</v>
      </c>
      <c r="AM31" s="122">
        <v>125.3</v>
      </c>
      <c r="AN31" s="117">
        <v>21</v>
      </c>
      <c r="AO31" s="122">
        <v>125.3</v>
      </c>
      <c r="AP31" s="117">
        <v>15</v>
      </c>
      <c r="AQ31" s="122">
        <v>55.2</v>
      </c>
      <c r="AR31" s="117">
        <v>20</v>
      </c>
      <c r="AS31" s="122">
        <v>105.7</v>
      </c>
      <c r="AT31" s="20">
        <v>26</v>
      </c>
      <c r="AU31" s="122">
        <v>163.57599999999999</v>
      </c>
      <c r="AV31" s="20">
        <v>25</v>
      </c>
      <c r="AW31" s="122">
        <v>161.471</v>
      </c>
      <c r="AX31" s="20">
        <v>21</v>
      </c>
      <c r="AY31" s="122">
        <v>142.87</v>
      </c>
    </row>
    <row r="32" spans="1:51" x14ac:dyDescent="0.25">
      <c r="A32" s="9" t="s">
        <v>21</v>
      </c>
      <c r="B32" s="134">
        <v>337</v>
      </c>
      <c r="C32" s="122">
        <v>488.5</v>
      </c>
      <c r="D32" s="134">
        <v>313</v>
      </c>
      <c r="E32" s="131">
        <v>475.4</v>
      </c>
      <c r="F32" s="134">
        <v>278</v>
      </c>
      <c r="G32" s="131">
        <v>498.8</v>
      </c>
      <c r="H32" s="134">
        <v>221</v>
      </c>
      <c r="I32" s="131">
        <v>426.7</v>
      </c>
      <c r="J32" s="134">
        <v>245</v>
      </c>
      <c r="K32" s="131">
        <v>352.7</v>
      </c>
      <c r="L32" s="134">
        <v>382</v>
      </c>
      <c r="M32" s="131">
        <v>400</v>
      </c>
      <c r="N32" s="134">
        <v>346</v>
      </c>
      <c r="O32" s="131">
        <v>355</v>
      </c>
      <c r="P32" s="134">
        <v>395</v>
      </c>
      <c r="Q32" s="131">
        <v>476.8</v>
      </c>
      <c r="R32" s="134">
        <v>335</v>
      </c>
      <c r="S32" s="131">
        <v>414</v>
      </c>
      <c r="T32" s="134">
        <v>316</v>
      </c>
      <c r="U32" s="131">
        <v>437.4</v>
      </c>
      <c r="V32" s="134">
        <v>329</v>
      </c>
      <c r="W32" s="131">
        <v>431.5</v>
      </c>
      <c r="X32" s="134">
        <v>231</v>
      </c>
      <c r="Y32" s="131">
        <v>375.5</v>
      </c>
      <c r="Z32" s="134">
        <v>131</v>
      </c>
      <c r="AA32" s="131">
        <v>269</v>
      </c>
      <c r="AB32" s="134">
        <v>104</v>
      </c>
      <c r="AC32" s="131">
        <v>259.3</v>
      </c>
      <c r="AD32" s="134">
        <v>71</v>
      </c>
      <c r="AE32" s="131">
        <v>188.6</v>
      </c>
      <c r="AF32" s="134">
        <v>63</v>
      </c>
      <c r="AG32" s="131">
        <v>205.1</v>
      </c>
      <c r="AH32" s="134">
        <v>57</v>
      </c>
      <c r="AI32" s="131">
        <v>206.8</v>
      </c>
      <c r="AJ32" s="134">
        <v>44</v>
      </c>
      <c r="AK32" s="131">
        <v>174.7</v>
      </c>
      <c r="AL32" s="117">
        <v>63</v>
      </c>
      <c r="AM32" s="122">
        <v>303.60000000000002</v>
      </c>
      <c r="AN32" s="117">
        <v>73</v>
      </c>
      <c r="AO32" s="122">
        <v>343</v>
      </c>
      <c r="AP32" s="117">
        <v>56</v>
      </c>
      <c r="AQ32" s="122">
        <v>194.9</v>
      </c>
      <c r="AR32" s="117">
        <v>21</v>
      </c>
      <c r="AS32" s="122">
        <v>102.6</v>
      </c>
      <c r="AT32" s="20">
        <v>74</v>
      </c>
      <c r="AU32" s="122">
        <v>392.97899999999998</v>
      </c>
      <c r="AV32" s="20">
        <v>85</v>
      </c>
      <c r="AW32" s="122">
        <v>412.41699999999997</v>
      </c>
      <c r="AX32" s="20">
        <v>66</v>
      </c>
      <c r="AY32" s="122">
        <v>454.19099999999997</v>
      </c>
    </row>
    <row r="33" spans="1:51" ht="15" customHeight="1" x14ac:dyDescent="0.25">
      <c r="A33" s="4" t="s">
        <v>63</v>
      </c>
      <c r="B33" s="134"/>
      <c r="C33" s="131"/>
      <c r="D33" s="136"/>
      <c r="E33" s="131"/>
      <c r="F33" s="136"/>
      <c r="G33" s="131"/>
      <c r="H33" s="136"/>
      <c r="I33" s="131"/>
      <c r="J33" s="136"/>
      <c r="K33" s="131"/>
      <c r="L33" s="136"/>
      <c r="M33" s="131"/>
      <c r="N33" s="136"/>
      <c r="O33" s="131"/>
      <c r="P33" s="136"/>
      <c r="Q33" s="131"/>
      <c r="R33" s="136"/>
      <c r="S33" s="131"/>
      <c r="T33" s="136"/>
      <c r="U33" s="125"/>
      <c r="V33" s="136"/>
      <c r="W33" s="125"/>
      <c r="X33" s="136"/>
      <c r="Y33" s="125"/>
      <c r="Z33" s="136"/>
      <c r="AA33" s="125"/>
      <c r="AB33" s="136"/>
      <c r="AC33" s="125"/>
      <c r="AD33" s="136"/>
      <c r="AE33" s="125"/>
      <c r="AF33" s="136"/>
      <c r="AG33" s="125"/>
      <c r="AH33" s="136"/>
      <c r="AI33" s="125"/>
      <c r="AJ33" s="136"/>
      <c r="AK33" s="125"/>
      <c r="AL33" s="117"/>
      <c r="AM33" s="122"/>
      <c r="AN33" s="117"/>
      <c r="AO33" s="122"/>
      <c r="AP33" s="117"/>
      <c r="AQ33" s="122"/>
      <c r="AR33" s="117"/>
      <c r="AS33" s="122"/>
      <c r="AT33" s="20"/>
      <c r="AU33" s="122"/>
      <c r="AV33" s="20"/>
      <c r="AW33" s="122"/>
      <c r="AX33" s="12"/>
      <c r="AY33" s="12"/>
    </row>
    <row r="34" spans="1:51" ht="14.25" customHeight="1" x14ac:dyDescent="0.25">
      <c r="A34" s="14" t="s">
        <v>23</v>
      </c>
      <c r="B34" s="134">
        <v>24</v>
      </c>
      <c r="C34" s="122">
        <v>14.9</v>
      </c>
      <c r="D34" s="134">
        <v>39</v>
      </c>
      <c r="E34" s="131">
        <v>81.599999999999994</v>
      </c>
      <c r="F34" s="134">
        <v>32</v>
      </c>
      <c r="G34" s="131">
        <v>56.9</v>
      </c>
      <c r="H34" s="134">
        <v>24</v>
      </c>
      <c r="I34" s="131">
        <v>60.6</v>
      </c>
      <c r="J34" s="134">
        <v>85</v>
      </c>
      <c r="K34" s="131">
        <v>59.3</v>
      </c>
      <c r="L34" s="134">
        <v>196</v>
      </c>
      <c r="M34" s="131">
        <v>91</v>
      </c>
      <c r="N34" s="134">
        <v>176</v>
      </c>
      <c r="O34" s="122">
        <v>82</v>
      </c>
      <c r="P34" s="134">
        <v>201</v>
      </c>
      <c r="Q34" s="131">
        <v>86.9</v>
      </c>
      <c r="R34" s="134">
        <v>178</v>
      </c>
      <c r="S34" s="131">
        <v>70.8</v>
      </c>
      <c r="T34" s="134">
        <v>79</v>
      </c>
      <c r="U34" s="131">
        <v>45.9</v>
      </c>
      <c r="V34" s="134">
        <v>78</v>
      </c>
      <c r="W34" s="131">
        <v>38.799999999999997</v>
      </c>
      <c r="X34" s="134">
        <v>78</v>
      </c>
      <c r="Y34" s="131">
        <v>34.700000000000003</v>
      </c>
      <c r="Z34" s="134">
        <v>49</v>
      </c>
      <c r="AA34" s="131">
        <v>26.6</v>
      </c>
      <c r="AB34" s="134">
        <v>31</v>
      </c>
      <c r="AC34" s="131">
        <v>44.8</v>
      </c>
      <c r="AD34" s="134">
        <v>20</v>
      </c>
      <c r="AE34" s="131">
        <v>11.3</v>
      </c>
      <c r="AF34" s="134">
        <v>11</v>
      </c>
      <c r="AG34" s="131">
        <v>5.8</v>
      </c>
      <c r="AH34" s="134">
        <v>12</v>
      </c>
      <c r="AI34" s="131">
        <v>3.6</v>
      </c>
      <c r="AJ34" s="134">
        <v>1</v>
      </c>
      <c r="AK34" s="131">
        <v>0.8</v>
      </c>
      <c r="AL34" s="117" t="s">
        <v>96</v>
      </c>
      <c r="AM34" s="122" t="s">
        <v>96</v>
      </c>
      <c r="AN34" s="117">
        <v>11</v>
      </c>
      <c r="AO34" s="122">
        <v>33</v>
      </c>
      <c r="AP34" s="117" t="s">
        <v>96</v>
      </c>
      <c r="AQ34" s="122" t="s">
        <v>96</v>
      </c>
      <c r="AR34" s="117">
        <v>3</v>
      </c>
      <c r="AS34" s="122">
        <v>0.5</v>
      </c>
      <c r="AT34" s="20" t="s">
        <v>96</v>
      </c>
      <c r="AU34" s="122" t="s">
        <v>96</v>
      </c>
      <c r="AV34" s="20" t="s">
        <v>96</v>
      </c>
      <c r="AW34" s="122" t="s">
        <v>96</v>
      </c>
      <c r="AX34" s="20">
        <v>1</v>
      </c>
      <c r="AY34" s="122">
        <v>0.124</v>
      </c>
    </row>
    <row r="35" spans="1:51" ht="20.25" customHeight="1" x14ac:dyDescent="0.25">
      <c r="A35" s="14" t="s">
        <v>93</v>
      </c>
      <c r="B35" s="134">
        <v>313</v>
      </c>
      <c r="C35" s="122">
        <v>474</v>
      </c>
      <c r="D35" s="134">
        <v>274</v>
      </c>
      <c r="E35" s="122">
        <v>393.79999999999995</v>
      </c>
      <c r="F35" s="134">
        <v>246</v>
      </c>
      <c r="G35" s="131">
        <v>441.9</v>
      </c>
      <c r="H35" s="134">
        <v>197</v>
      </c>
      <c r="I35" s="131">
        <v>366.1</v>
      </c>
      <c r="J35" s="134">
        <v>160</v>
      </c>
      <c r="K35" s="122">
        <v>293.39999999999998</v>
      </c>
      <c r="L35" s="134">
        <v>186</v>
      </c>
      <c r="M35" s="131">
        <v>309</v>
      </c>
      <c r="N35" s="134">
        <v>170</v>
      </c>
      <c r="O35" s="122">
        <v>273</v>
      </c>
      <c r="P35" s="134">
        <v>194</v>
      </c>
      <c r="Q35" s="122">
        <v>389.9</v>
      </c>
      <c r="R35" s="134">
        <v>157</v>
      </c>
      <c r="S35" s="122">
        <v>343.2</v>
      </c>
      <c r="T35" s="134">
        <v>237</v>
      </c>
      <c r="U35" s="131">
        <v>391.5</v>
      </c>
      <c r="V35" s="134">
        <v>251</v>
      </c>
      <c r="W35" s="131">
        <v>392.6</v>
      </c>
      <c r="X35" s="134">
        <v>153</v>
      </c>
      <c r="Y35" s="131">
        <v>340.8</v>
      </c>
      <c r="Z35" s="134">
        <v>82</v>
      </c>
      <c r="AA35" s="131">
        <v>242.4</v>
      </c>
      <c r="AB35" s="134">
        <v>73</v>
      </c>
      <c r="AC35" s="131">
        <v>214.5</v>
      </c>
      <c r="AD35" s="134">
        <v>51</v>
      </c>
      <c r="AE35" s="131">
        <v>177.3</v>
      </c>
      <c r="AF35" s="134">
        <v>52</v>
      </c>
      <c r="AG35" s="131">
        <v>199.3</v>
      </c>
      <c r="AH35" s="134">
        <v>45</v>
      </c>
      <c r="AI35" s="131">
        <v>203.2</v>
      </c>
      <c r="AJ35" s="134">
        <v>43</v>
      </c>
      <c r="AK35" s="131">
        <v>173.9</v>
      </c>
      <c r="AL35" s="117">
        <v>63</v>
      </c>
      <c r="AM35" s="122">
        <v>303.60000000000002</v>
      </c>
      <c r="AN35" s="117">
        <v>62</v>
      </c>
      <c r="AO35" s="122">
        <v>310</v>
      </c>
      <c r="AP35" s="117">
        <v>56</v>
      </c>
      <c r="AQ35" s="122">
        <v>194.9</v>
      </c>
      <c r="AR35" s="117">
        <v>18</v>
      </c>
      <c r="AS35" s="122">
        <v>102.12</v>
      </c>
      <c r="AT35" s="20">
        <v>74</v>
      </c>
      <c r="AU35" s="122">
        <v>392.97899999999998</v>
      </c>
      <c r="AV35" s="20">
        <v>85</v>
      </c>
      <c r="AW35" s="122">
        <v>412.41699999999997</v>
      </c>
      <c r="AX35" s="20">
        <v>65</v>
      </c>
      <c r="AY35" s="122">
        <v>454.06700000000001</v>
      </c>
    </row>
    <row r="36" spans="1:51" x14ac:dyDescent="0.25">
      <c r="A36" s="9" t="s">
        <v>24</v>
      </c>
      <c r="B36" s="134">
        <v>642</v>
      </c>
      <c r="C36" s="122">
        <v>482.9</v>
      </c>
      <c r="D36" s="134">
        <v>565</v>
      </c>
      <c r="E36" s="131">
        <v>381</v>
      </c>
      <c r="F36" s="134">
        <v>494</v>
      </c>
      <c r="G36" s="131">
        <v>395.3</v>
      </c>
      <c r="H36" s="134">
        <v>396</v>
      </c>
      <c r="I36" s="131">
        <v>396.3</v>
      </c>
      <c r="J36" s="134">
        <v>413</v>
      </c>
      <c r="K36" s="131">
        <v>412.9</v>
      </c>
      <c r="L36" s="134">
        <v>362</v>
      </c>
      <c r="M36" s="131">
        <v>414</v>
      </c>
      <c r="N36" s="134">
        <v>323</v>
      </c>
      <c r="O36" s="131">
        <v>363</v>
      </c>
      <c r="P36" s="134">
        <v>326</v>
      </c>
      <c r="Q36" s="131">
        <v>486.7</v>
      </c>
      <c r="R36" s="134">
        <v>248</v>
      </c>
      <c r="S36" s="131">
        <v>466.5</v>
      </c>
      <c r="T36" s="134">
        <v>199</v>
      </c>
      <c r="U36" s="131">
        <v>255.9</v>
      </c>
      <c r="V36" s="134">
        <v>190</v>
      </c>
      <c r="W36" s="131">
        <v>202.3</v>
      </c>
      <c r="X36" s="134">
        <v>130</v>
      </c>
      <c r="Y36" s="131">
        <v>242.1</v>
      </c>
      <c r="Z36" s="134">
        <v>104</v>
      </c>
      <c r="AA36" s="131">
        <v>277.10000000000002</v>
      </c>
      <c r="AB36" s="134">
        <v>112</v>
      </c>
      <c r="AC36" s="131">
        <v>385.5</v>
      </c>
      <c r="AD36" s="134">
        <v>92</v>
      </c>
      <c r="AE36" s="131">
        <v>233.7</v>
      </c>
      <c r="AF36" s="134">
        <v>84</v>
      </c>
      <c r="AG36" s="131">
        <v>204.6</v>
      </c>
      <c r="AH36" s="134">
        <v>74</v>
      </c>
      <c r="AI36" s="131">
        <v>218.1</v>
      </c>
      <c r="AJ36" s="134">
        <v>61</v>
      </c>
      <c r="AK36" s="131">
        <v>147</v>
      </c>
      <c r="AL36" s="117">
        <v>67</v>
      </c>
      <c r="AM36" s="122">
        <v>247.6</v>
      </c>
      <c r="AN36" s="117">
        <v>62</v>
      </c>
      <c r="AO36" s="122">
        <v>336.4</v>
      </c>
      <c r="AP36" s="117">
        <v>54</v>
      </c>
      <c r="AQ36" s="122">
        <v>281.7</v>
      </c>
      <c r="AR36" s="117">
        <v>52</v>
      </c>
      <c r="AS36" s="122">
        <v>270.68299999999999</v>
      </c>
      <c r="AT36" s="20">
        <v>54</v>
      </c>
      <c r="AU36" s="122">
        <v>317.935</v>
      </c>
      <c r="AV36" s="20">
        <v>55</v>
      </c>
      <c r="AW36" s="122">
        <v>363.63900000000001</v>
      </c>
      <c r="AX36" s="20">
        <v>83</v>
      </c>
      <c r="AY36" s="122">
        <v>349.97899999999998</v>
      </c>
    </row>
    <row r="37" spans="1:51" x14ac:dyDescent="0.25">
      <c r="A37" s="9" t="s">
        <v>25</v>
      </c>
      <c r="B37" s="134">
        <v>147</v>
      </c>
      <c r="C37" s="122">
        <v>308.3</v>
      </c>
      <c r="D37" s="134">
        <v>179</v>
      </c>
      <c r="E37" s="131">
        <v>312.39999999999998</v>
      </c>
      <c r="F37" s="134">
        <v>137</v>
      </c>
      <c r="G37" s="131">
        <v>278.10000000000002</v>
      </c>
      <c r="H37" s="134">
        <v>149</v>
      </c>
      <c r="I37" s="131">
        <v>278.60000000000002</v>
      </c>
      <c r="J37" s="134">
        <v>136</v>
      </c>
      <c r="K37" s="131">
        <v>364.2</v>
      </c>
      <c r="L37" s="134">
        <v>93</v>
      </c>
      <c r="M37" s="122">
        <v>303</v>
      </c>
      <c r="N37" s="134">
        <v>97</v>
      </c>
      <c r="O37" s="131">
        <v>267</v>
      </c>
      <c r="P37" s="134">
        <v>114</v>
      </c>
      <c r="Q37" s="131">
        <v>355.9</v>
      </c>
      <c r="R37" s="134">
        <v>160</v>
      </c>
      <c r="S37" s="131">
        <v>222.4</v>
      </c>
      <c r="T37" s="134">
        <v>63</v>
      </c>
      <c r="U37" s="131">
        <v>105.6</v>
      </c>
      <c r="V37" s="134">
        <v>44</v>
      </c>
      <c r="W37" s="131">
        <v>116.1</v>
      </c>
      <c r="X37" s="134">
        <v>56</v>
      </c>
      <c r="Y37" s="131">
        <v>195.7</v>
      </c>
      <c r="Z37" s="134">
        <v>41</v>
      </c>
      <c r="AA37" s="131">
        <v>241.4</v>
      </c>
      <c r="AB37" s="134">
        <v>33</v>
      </c>
      <c r="AC37" s="131">
        <v>126.2</v>
      </c>
      <c r="AD37" s="134">
        <v>33</v>
      </c>
      <c r="AE37" s="131">
        <v>373.6</v>
      </c>
      <c r="AF37" s="134">
        <v>75</v>
      </c>
      <c r="AG37" s="131">
        <v>356.3</v>
      </c>
      <c r="AH37" s="134">
        <v>73</v>
      </c>
      <c r="AI37" s="131">
        <v>521.6</v>
      </c>
      <c r="AJ37" s="134">
        <v>55</v>
      </c>
      <c r="AK37" s="131">
        <v>453.2</v>
      </c>
      <c r="AL37" s="117">
        <v>91</v>
      </c>
      <c r="AM37" s="122">
        <v>724.8</v>
      </c>
      <c r="AN37" s="117">
        <v>68</v>
      </c>
      <c r="AO37" s="122">
        <v>430.1</v>
      </c>
      <c r="AP37" s="117">
        <v>80</v>
      </c>
      <c r="AQ37" s="122">
        <v>481.9</v>
      </c>
      <c r="AR37" s="117">
        <v>132</v>
      </c>
      <c r="AS37" s="122">
        <v>897.58100000000002</v>
      </c>
      <c r="AT37" s="20">
        <v>111</v>
      </c>
      <c r="AU37" s="122">
        <v>678.29300000000001</v>
      </c>
      <c r="AV37" s="20">
        <v>122</v>
      </c>
      <c r="AW37" s="122">
        <v>813.15300000000002</v>
      </c>
      <c r="AX37" s="20">
        <v>191</v>
      </c>
      <c r="AY37" s="122">
        <v>1063.627</v>
      </c>
    </row>
    <row r="38" spans="1:51" x14ac:dyDescent="0.25">
      <c r="A38" s="9" t="s">
        <v>26</v>
      </c>
      <c r="B38" s="134">
        <v>226</v>
      </c>
      <c r="C38" s="122">
        <v>463.8</v>
      </c>
      <c r="D38" s="134">
        <v>220</v>
      </c>
      <c r="E38" s="131">
        <v>366.3</v>
      </c>
      <c r="F38" s="134">
        <v>143</v>
      </c>
      <c r="G38" s="131">
        <v>310.8</v>
      </c>
      <c r="H38" s="134">
        <v>72</v>
      </c>
      <c r="I38" s="131">
        <v>239.6</v>
      </c>
      <c r="J38" s="134">
        <v>70</v>
      </c>
      <c r="K38" s="131">
        <v>225.5</v>
      </c>
      <c r="L38" s="134">
        <v>65</v>
      </c>
      <c r="M38" s="131">
        <v>239</v>
      </c>
      <c r="N38" s="134">
        <v>35</v>
      </c>
      <c r="O38" s="131">
        <v>98</v>
      </c>
      <c r="P38" s="134">
        <v>41</v>
      </c>
      <c r="Q38" s="131">
        <v>136.4</v>
      </c>
      <c r="R38" s="134">
        <v>37</v>
      </c>
      <c r="S38" s="131">
        <v>101.7</v>
      </c>
      <c r="T38" s="134">
        <v>49</v>
      </c>
      <c r="U38" s="131">
        <v>126.2</v>
      </c>
      <c r="V38" s="134">
        <v>30</v>
      </c>
      <c r="W38" s="131">
        <v>125</v>
      </c>
      <c r="X38" s="134">
        <v>23</v>
      </c>
      <c r="Y38" s="131">
        <v>113.6</v>
      </c>
      <c r="Z38" s="134">
        <v>24</v>
      </c>
      <c r="AA38" s="131">
        <v>118.4</v>
      </c>
      <c r="AB38" s="134">
        <v>17</v>
      </c>
      <c r="AC38" s="131">
        <v>40.299999999999997</v>
      </c>
      <c r="AD38" s="134">
        <v>13</v>
      </c>
      <c r="AE38" s="131">
        <v>47.6</v>
      </c>
      <c r="AF38" s="134">
        <v>29</v>
      </c>
      <c r="AG38" s="131">
        <v>335</v>
      </c>
      <c r="AH38" s="134">
        <v>16</v>
      </c>
      <c r="AI38" s="131">
        <v>242.6</v>
      </c>
      <c r="AJ38" s="134">
        <v>33</v>
      </c>
      <c r="AK38" s="131">
        <v>43.6</v>
      </c>
      <c r="AL38" s="117">
        <v>153</v>
      </c>
      <c r="AM38" s="122">
        <v>1108.0999999999999</v>
      </c>
      <c r="AN38" s="117">
        <v>137</v>
      </c>
      <c r="AO38" s="122">
        <v>233.4</v>
      </c>
      <c r="AP38" s="117">
        <v>148</v>
      </c>
      <c r="AQ38" s="122">
        <v>1342.2</v>
      </c>
      <c r="AR38" s="117">
        <v>6</v>
      </c>
      <c r="AS38" s="122">
        <v>57.234000000000002</v>
      </c>
      <c r="AT38" s="20">
        <v>167</v>
      </c>
      <c r="AU38" s="122">
        <v>1411.231</v>
      </c>
      <c r="AV38" s="20">
        <v>140</v>
      </c>
      <c r="AW38" s="122">
        <v>1479.2239999999999</v>
      </c>
      <c r="AX38" s="20">
        <v>139</v>
      </c>
      <c r="AY38" s="122">
        <v>1843.1690000000001</v>
      </c>
    </row>
    <row r="39" spans="1:51" x14ac:dyDescent="0.25">
      <c r="A39" s="9" t="s">
        <v>27</v>
      </c>
      <c r="B39" s="134">
        <v>95</v>
      </c>
      <c r="C39" s="122">
        <v>264.39999999999998</v>
      </c>
      <c r="D39" s="134">
        <v>89</v>
      </c>
      <c r="E39" s="131">
        <v>240.1</v>
      </c>
      <c r="F39" s="134">
        <v>90</v>
      </c>
      <c r="G39" s="131">
        <v>246.4</v>
      </c>
      <c r="H39" s="134">
        <v>76</v>
      </c>
      <c r="I39" s="131">
        <v>199.7</v>
      </c>
      <c r="J39" s="134">
        <v>68</v>
      </c>
      <c r="K39" s="131">
        <v>189.4</v>
      </c>
      <c r="L39" s="134">
        <v>62</v>
      </c>
      <c r="M39" s="131">
        <v>180</v>
      </c>
      <c r="N39" s="134">
        <v>62</v>
      </c>
      <c r="O39" s="131">
        <v>183</v>
      </c>
      <c r="P39" s="134">
        <v>52</v>
      </c>
      <c r="Q39" s="131">
        <v>142.30000000000001</v>
      </c>
      <c r="R39" s="134">
        <v>62</v>
      </c>
      <c r="S39" s="131">
        <v>128.9</v>
      </c>
      <c r="T39" s="134">
        <v>41</v>
      </c>
      <c r="U39" s="131">
        <v>112.1</v>
      </c>
      <c r="V39" s="134">
        <v>37</v>
      </c>
      <c r="W39" s="131">
        <v>96</v>
      </c>
      <c r="X39" s="134">
        <v>30</v>
      </c>
      <c r="Y39" s="131">
        <v>79.7</v>
      </c>
      <c r="Z39" s="134">
        <v>28</v>
      </c>
      <c r="AA39" s="131">
        <v>65.900000000000006</v>
      </c>
      <c r="AB39" s="134">
        <v>34</v>
      </c>
      <c r="AC39" s="131">
        <v>68.599999999999994</v>
      </c>
      <c r="AD39" s="134">
        <v>32</v>
      </c>
      <c r="AE39" s="131">
        <v>70</v>
      </c>
      <c r="AF39" s="134">
        <v>22</v>
      </c>
      <c r="AG39" s="131">
        <v>52.4</v>
      </c>
      <c r="AH39" s="134">
        <v>12</v>
      </c>
      <c r="AI39" s="131">
        <v>40.1</v>
      </c>
      <c r="AJ39" s="134">
        <v>15</v>
      </c>
      <c r="AK39" s="131">
        <v>32.200000000000003</v>
      </c>
      <c r="AL39" s="117">
        <v>9</v>
      </c>
      <c r="AM39" s="122">
        <v>33.4</v>
      </c>
      <c r="AN39" s="117">
        <v>23</v>
      </c>
      <c r="AO39" s="122">
        <v>45.7</v>
      </c>
      <c r="AP39" s="117">
        <v>50</v>
      </c>
      <c r="AQ39" s="122">
        <v>117.1</v>
      </c>
      <c r="AR39" s="117">
        <v>40</v>
      </c>
      <c r="AS39" s="122">
        <v>180.114</v>
      </c>
      <c r="AT39" s="20">
        <v>4</v>
      </c>
      <c r="AU39" s="122">
        <v>11.076000000000001</v>
      </c>
      <c r="AV39" s="20">
        <v>11</v>
      </c>
      <c r="AW39" s="122">
        <v>23.058</v>
      </c>
      <c r="AX39" s="20">
        <v>19</v>
      </c>
      <c r="AY39" s="122">
        <v>96.186999999999998</v>
      </c>
    </row>
    <row r="40" spans="1:51" x14ac:dyDescent="0.25">
      <c r="A40" s="9" t="s">
        <v>28</v>
      </c>
      <c r="B40" s="134">
        <v>120</v>
      </c>
      <c r="C40" s="122">
        <v>143.30000000000001</v>
      </c>
      <c r="D40" s="134">
        <v>109</v>
      </c>
      <c r="E40" s="131">
        <v>124</v>
      </c>
      <c r="F40" s="134">
        <v>95</v>
      </c>
      <c r="G40" s="131">
        <v>163.69999999999999</v>
      </c>
      <c r="H40" s="134">
        <v>70</v>
      </c>
      <c r="I40" s="131">
        <v>110.7</v>
      </c>
      <c r="J40" s="134">
        <v>55</v>
      </c>
      <c r="K40" s="131">
        <v>110.3</v>
      </c>
      <c r="L40" s="134">
        <v>72</v>
      </c>
      <c r="M40" s="131">
        <v>201</v>
      </c>
      <c r="N40" s="134">
        <v>54</v>
      </c>
      <c r="O40" s="131">
        <v>221</v>
      </c>
      <c r="P40" s="134">
        <v>83</v>
      </c>
      <c r="Q40" s="131">
        <v>301.7</v>
      </c>
      <c r="R40" s="134">
        <v>57</v>
      </c>
      <c r="S40" s="131">
        <v>202.7</v>
      </c>
      <c r="T40" s="134">
        <v>40</v>
      </c>
      <c r="U40" s="131">
        <v>141.5</v>
      </c>
      <c r="V40" s="134">
        <v>47</v>
      </c>
      <c r="W40" s="131">
        <v>265.39999999999998</v>
      </c>
      <c r="X40" s="134">
        <v>30</v>
      </c>
      <c r="Y40" s="131">
        <v>147.9</v>
      </c>
      <c r="Z40" s="134">
        <v>29</v>
      </c>
      <c r="AA40" s="131">
        <v>150</v>
      </c>
      <c r="AB40" s="134">
        <v>22</v>
      </c>
      <c r="AC40" s="131">
        <v>141.5</v>
      </c>
      <c r="AD40" s="134">
        <v>18</v>
      </c>
      <c r="AE40" s="131">
        <v>129.30000000000001</v>
      </c>
      <c r="AF40" s="134">
        <v>10</v>
      </c>
      <c r="AG40" s="131">
        <v>77.5</v>
      </c>
      <c r="AH40" s="134">
        <v>9</v>
      </c>
      <c r="AI40" s="131">
        <v>30.4</v>
      </c>
      <c r="AJ40" s="134">
        <v>6</v>
      </c>
      <c r="AK40" s="131">
        <v>19.600000000000001</v>
      </c>
      <c r="AL40" s="117">
        <v>17</v>
      </c>
      <c r="AM40" s="122">
        <v>139.69999999999999</v>
      </c>
      <c r="AN40" s="117">
        <v>11</v>
      </c>
      <c r="AO40" s="122">
        <v>90.9</v>
      </c>
      <c r="AP40" s="117">
        <v>10</v>
      </c>
      <c r="AQ40" s="122">
        <v>74.7</v>
      </c>
      <c r="AR40" s="117">
        <v>20</v>
      </c>
      <c r="AS40" s="122">
        <v>117.34399999999999</v>
      </c>
      <c r="AT40" s="20">
        <v>15</v>
      </c>
      <c r="AU40" s="122">
        <v>95.840999999999994</v>
      </c>
      <c r="AV40" s="20">
        <v>18</v>
      </c>
      <c r="AW40" s="122">
        <v>107.551</v>
      </c>
      <c r="AX40" s="20">
        <v>20</v>
      </c>
      <c r="AY40" s="122">
        <v>126.33499999999999</v>
      </c>
    </row>
    <row r="41" spans="1:51" x14ac:dyDescent="0.25">
      <c r="A41" s="9" t="s">
        <v>29</v>
      </c>
      <c r="B41" s="134">
        <v>280</v>
      </c>
      <c r="C41" s="122">
        <v>115.8</v>
      </c>
      <c r="D41" s="134">
        <v>235</v>
      </c>
      <c r="E41" s="131">
        <v>104.9</v>
      </c>
      <c r="F41" s="134">
        <v>242</v>
      </c>
      <c r="G41" s="131">
        <v>162.4</v>
      </c>
      <c r="H41" s="134">
        <v>193</v>
      </c>
      <c r="I41" s="131">
        <v>218.6</v>
      </c>
      <c r="J41" s="134">
        <v>198</v>
      </c>
      <c r="K41" s="131">
        <v>185.6</v>
      </c>
      <c r="L41" s="134">
        <v>150</v>
      </c>
      <c r="M41" s="131">
        <v>159</v>
      </c>
      <c r="N41" s="134">
        <v>138</v>
      </c>
      <c r="O41" s="131">
        <v>109</v>
      </c>
      <c r="P41" s="134">
        <v>158</v>
      </c>
      <c r="Q41" s="131">
        <v>233.7</v>
      </c>
      <c r="R41" s="134">
        <v>158</v>
      </c>
      <c r="S41" s="131">
        <v>232.7</v>
      </c>
      <c r="T41" s="134">
        <v>138</v>
      </c>
      <c r="U41" s="131">
        <v>201.9</v>
      </c>
      <c r="V41" s="134">
        <v>136</v>
      </c>
      <c r="W41" s="131">
        <v>189.8</v>
      </c>
      <c r="X41" s="134">
        <v>66</v>
      </c>
      <c r="Y41" s="131">
        <v>105.8</v>
      </c>
      <c r="Z41" s="134">
        <v>64</v>
      </c>
      <c r="AA41" s="131">
        <v>111.1</v>
      </c>
      <c r="AB41" s="134">
        <v>51</v>
      </c>
      <c r="AC41" s="131">
        <v>94.9</v>
      </c>
      <c r="AD41" s="134">
        <v>39</v>
      </c>
      <c r="AE41" s="131">
        <v>79</v>
      </c>
      <c r="AF41" s="134">
        <v>35</v>
      </c>
      <c r="AG41" s="131">
        <v>51.6</v>
      </c>
      <c r="AH41" s="134">
        <v>37</v>
      </c>
      <c r="AI41" s="131">
        <v>158.6</v>
      </c>
      <c r="AJ41" s="134">
        <v>30</v>
      </c>
      <c r="AK41" s="131">
        <v>119.7</v>
      </c>
      <c r="AL41" s="117">
        <v>37</v>
      </c>
      <c r="AM41" s="122">
        <v>178.5</v>
      </c>
      <c r="AN41" s="117">
        <v>30</v>
      </c>
      <c r="AO41" s="122">
        <v>129.9</v>
      </c>
      <c r="AP41" s="117">
        <v>37</v>
      </c>
      <c r="AQ41" s="122">
        <v>202.8</v>
      </c>
      <c r="AR41" s="117">
        <v>37</v>
      </c>
      <c r="AS41" s="122">
        <v>273.46199999999999</v>
      </c>
      <c r="AT41" s="20">
        <v>33</v>
      </c>
      <c r="AU41" s="122">
        <v>193.75700000000001</v>
      </c>
      <c r="AV41" s="20">
        <v>28</v>
      </c>
      <c r="AW41" s="122">
        <v>161.34399999999999</v>
      </c>
      <c r="AX41" s="20">
        <v>45</v>
      </c>
      <c r="AY41" s="122">
        <v>264.90100000000001</v>
      </c>
    </row>
    <row r="42" spans="1:51" x14ac:dyDescent="0.25">
      <c r="A42" s="9" t="s">
        <v>30</v>
      </c>
      <c r="B42" s="134">
        <v>158</v>
      </c>
      <c r="C42" s="122">
        <v>1143.3</v>
      </c>
      <c r="D42" s="134">
        <v>144</v>
      </c>
      <c r="E42" s="131">
        <v>1305.5</v>
      </c>
      <c r="F42" s="134">
        <v>103</v>
      </c>
      <c r="G42" s="131">
        <v>685.1</v>
      </c>
      <c r="H42" s="134">
        <v>110</v>
      </c>
      <c r="I42" s="131">
        <v>1085.9000000000001</v>
      </c>
      <c r="J42" s="134">
        <v>88</v>
      </c>
      <c r="K42" s="131">
        <v>1518.6</v>
      </c>
      <c r="L42" s="134">
        <v>67</v>
      </c>
      <c r="M42" s="131">
        <v>739</v>
      </c>
      <c r="N42" s="134">
        <v>59</v>
      </c>
      <c r="O42" s="131">
        <v>519</v>
      </c>
      <c r="P42" s="134">
        <v>106</v>
      </c>
      <c r="Q42" s="131">
        <v>2491.6999999999998</v>
      </c>
      <c r="R42" s="134">
        <v>131</v>
      </c>
      <c r="S42" s="131">
        <v>3129.5</v>
      </c>
      <c r="T42" s="134">
        <v>43</v>
      </c>
      <c r="U42" s="131">
        <v>774.2</v>
      </c>
      <c r="V42" s="134">
        <v>134</v>
      </c>
      <c r="W42" s="131">
        <v>1139.3</v>
      </c>
      <c r="X42" s="134">
        <v>42</v>
      </c>
      <c r="Y42" s="131">
        <v>1660.1</v>
      </c>
      <c r="Z42" s="134">
        <v>43</v>
      </c>
      <c r="AA42" s="131">
        <v>2714.2</v>
      </c>
      <c r="AB42" s="134">
        <v>52</v>
      </c>
      <c r="AC42" s="131">
        <v>2075</v>
      </c>
      <c r="AD42" s="134">
        <v>107</v>
      </c>
      <c r="AE42" s="131">
        <v>3039.1</v>
      </c>
      <c r="AF42" s="134">
        <v>68</v>
      </c>
      <c r="AG42" s="131">
        <v>1163.5999999999999</v>
      </c>
      <c r="AH42" s="134">
        <v>134</v>
      </c>
      <c r="AI42" s="131">
        <v>2381.3000000000002</v>
      </c>
      <c r="AJ42" s="134">
        <v>242</v>
      </c>
      <c r="AK42" s="131">
        <v>3287.6</v>
      </c>
      <c r="AL42" s="117">
        <v>408</v>
      </c>
      <c r="AM42" s="122">
        <v>8568.2999999999993</v>
      </c>
      <c r="AN42" s="117">
        <v>349</v>
      </c>
      <c r="AO42" s="122">
        <v>5152.1000000000004</v>
      </c>
      <c r="AP42" s="117">
        <v>312</v>
      </c>
      <c r="AQ42" s="122">
        <v>4860.7</v>
      </c>
      <c r="AR42" s="117">
        <v>318</v>
      </c>
      <c r="AS42" s="122">
        <v>3977.0889999999999</v>
      </c>
      <c r="AT42" s="20">
        <v>253</v>
      </c>
      <c r="AU42" s="122">
        <v>3065.8710000000001</v>
      </c>
      <c r="AV42" s="20">
        <v>257</v>
      </c>
      <c r="AW42" s="122">
        <v>3333.6329999999998</v>
      </c>
      <c r="AX42" s="20">
        <v>239</v>
      </c>
      <c r="AY42" s="122">
        <v>3332.402</v>
      </c>
    </row>
    <row r="43" spans="1:51" ht="23.25" customHeight="1" x14ac:dyDescent="0.25">
      <c r="A43" s="8" t="s">
        <v>250</v>
      </c>
      <c r="B43" s="133">
        <v>2885</v>
      </c>
      <c r="C43" s="130">
        <v>2898</v>
      </c>
      <c r="D43" s="133">
        <v>2590</v>
      </c>
      <c r="E43" s="130">
        <v>2556.9</v>
      </c>
      <c r="F43" s="133">
        <v>2218</v>
      </c>
      <c r="G43" s="130">
        <v>2178.1</v>
      </c>
      <c r="H43" s="133">
        <v>1989</v>
      </c>
      <c r="I43" s="130">
        <v>2399.6999999999998</v>
      </c>
      <c r="J43" s="133">
        <v>1701</v>
      </c>
      <c r="K43" s="130">
        <v>2160.1</v>
      </c>
      <c r="L43" s="133">
        <v>1499</v>
      </c>
      <c r="M43" s="130">
        <v>2306</v>
      </c>
      <c r="N43" s="133">
        <v>1136</v>
      </c>
      <c r="O43" s="130">
        <v>2470</v>
      </c>
      <c r="P43" s="133">
        <v>1138</v>
      </c>
      <c r="Q43" s="130">
        <v>2659</v>
      </c>
      <c r="R43" s="133">
        <v>1011</v>
      </c>
      <c r="S43" s="130">
        <v>3400.6</v>
      </c>
      <c r="T43" s="133">
        <v>1218</v>
      </c>
      <c r="U43" s="130">
        <v>3770.8</v>
      </c>
      <c r="V43" s="133">
        <v>1094</v>
      </c>
      <c r="W43" s="130">
        <v>3099.7</v>
      </c>
      <c r="X43" s="133">
        <v>1128</v>
      </c>
      <c r="Y43" s="130">
        <v>3224.7</v>
      </c>
      <c r="Z43" s="133">
        <v>1199</v>
      </c>
      <c r="AA43" s="130">
        <v>2701.5</v>
      </c>
      <c r="AB43" s="133">
        <v>885</v>
      </c>
      <c r="AC43" s="130">
        <v>2788.4</v>
      </c>
      <c r="AD43" s="133">
        <v>872</v>
      </c>
      <c r="AE43" s="130">
        <v>2273.6999999999998</v>
      </c>
      <c r="AF43" s="133">
        <v>637</v>
      </c>
      <c r="AG43" s="130">
        <v>2301.4</v>
      </c>
      <c r="AH43" s="133">
        <v>575</v>
      </c>
      <c r="AI43" s="130">
        <v>2613.3000000000002</v>
      </c>
      <c r="AJ43" s="133">
        <v>690</v>
      </c>
      <c r="AK43" s="130">
        <v>3774.2</v>
      </c>
      <c r="AL43" s="121">
        <v>821</v>
      </c>
      <c r="AM43" s="124">
        <v>3957.3</v>
      </c>
      <c r="AN43" s="121">
        <v>873</v>
      </c>
      <c r="AO43" s="124">
        <v>5936.3</v>
      </c>
      <c r="AP43" s="121">
        <v>727</v>
      </c>
      <c r="AQ43" s="124">
        <v>3590.9</v>
      </c>
      <c r="AR43" s="121">
        <v>583</v>
      </c>
      <c r="AS43" s="124">
        <v>3003.3739999999998</v>
      </c>
      <c r="AT43" s="26">
        <v>741</v>
      </c>
      <c r="AU43" s="124">
        <v>4107.6890000000003</v>
      </c>
      <c r="AV43" s="26">
        <v>621</v>
      </c>
      <c r="AW43" s="124">
        <v>4884.5630000000001</v>
      </c>
      <c r="AX43" s="26">
        <v>1223</v>
      </c>
      <c r="AY43" s="124">
        <v>5923.5860000000002</v>
      </c>
    </row>
    <row r="44" spans="1:51" x14ac:dyDescent="0.25">
      <c r="A44" s="9" t="s">
        <v>31</v>
      </c>
      <c r="B44" s="134">
        <v>29</v>
      </c>
      <c r="C44" s="122">
        <v>2.9</v>
      </c>
      <c r="D44" s="134">
        <v>28</v>
      </c>
      <c r="E44" s="131"/>
      <c r="F44" s="134">
        <v>15</v>
      </c>
      <c r="G44" s="131">
        <v>7</v>
      </c>
      <c r="H44" s="134">
        <v>13</v>
      </c>
      <c r="I44" s="131">
        <v>0.6</v>
      </c>
      <c r="J44" s="134">
        <v>8</v>
      </c>
      <c r="K44" s="131">
        <v>13.2</v>
      </c>
      <c r="L44" s="134">
        <v>15</v>
      </c>
      <c r="M44" s="131">
        <v>18</v>
      </c>
      <c r="N44" s="134">
        <v>2</v>
      </c>
      <c r="O44" s="131">
        <v>8</v>
      </c>
      <c r="P44" s="134">
        <v>8</v>
      </c>
      <c r="Q44" s="131">
        <v>1</v>
      </c>
      <c r="R44" s="134">
        <v>1</v>
      </c>
      <c r="S44" s="131">
        <v>0.6</v>
      </c>
      <c r="T44" s="134">
        <v>12</v>
      </c>
      <c r="U44" s="131">
        <v>39.9</v>
      </c>
      <c r="V44" s="134">
        <v>28</v>
      </c>
      <c r="W44" s="131">
        <v>69.3</v>
      </c>
      <c r="X44" s="134">
        <v>17</v>
      </c>
      <c r="Y44" s="131">
        <v>63.7</v>
      </c>
      <c r="Z44" s="134">
        <v>27</v>
      </c>
      <c r="AA44" s="131">
        <v>63</v>
      </c>
      <c r="AB44" s="134" t="s">
        <v>96</v>
      </c>
      <c r="AC44" s="125"/>
      <c r="AD44" s="134">
        <v>5</v>
      </c>
      <c r="AE44" s="131">
        <v>9</v>
      </c>
      <c r="AF44" s="134" t="s">
        <v>96</v>
      </c>
      <c r="AG44" s="125"/>
      <c r="AH44" s="134" t="s">
        <v>96</v>
      </c>
      <c r="AI44" s="131"/>
      <c r="AJ44" s="136"/>
      <c r="AK44" s="125"/>
      <c r="AL44" s="117" t="s">
        <v>96</v>
      </c>
      <c r="AM44" s="122" t="s">
        <v>96</v>
      </c>
      <c r="AN44" s="117" t="s">
        <v>96</v>
      </c>
      <c r="AO44" s="122" t="s">
        <v>96</v>
      </c>
      <c r="AP44" s="117">
        <v>19</v>
      </c>
      <c r="AQ44" s="122">
        <v>80</v>
      </c>
      <c r="AR44" s="117">
        <v>1</v>
      </c>
      <c r="AS44" s="122">
        <v>1.38</v>
      </c>
      <c r="AT44" s="20">
        <v>1</v>
      </c>
      <c r="AU44" s="122">
        <v>1.38</v>
      </c>
      <c r="AV44" s="20">
        <v>1</v>
      </c>
      <c r="AW44" s="122">
        <v>1.38</v>
      </c>
      <c r="AX44" s="20">
        <v>2</v>
      </c>
      <c r="AY44" s="122">
        <v>17.02</v>
      </c>
    </row>
    <row r="45" spans="1:51" x14ac:dyDescent="0.25">
      <c r="A45" s="9" t="s">
        <v>32</v>
      </c>
      <c r="B45" s="134">
        <v>173</v>
      </c>
      <c r="C45" s="122">
        <v>68.7</v>
      </c>
      <c r="D45" s="134">
        <v>163</v>
      </c>
      <c r="E45" s="131">
        <v>60</v>
      </c>
      <c r="F45" s="134">
        <v>126</v>
      </c>
      <c r="G45" s="131">
        <v>62.8</v>
      </c>
      <c r="H45" s="134">
        <v>114</v>
      </c>
      <c r="I45" s="131">
        <v>64.8</v>
      </c>
      <c r="J45" s="134">
        <v>74</v>
      </c>
      <c r="K45" s="131">
        <v>42.2</v>
      </c>
      <c r="L45" s="134">
        <v>76</v>
      </c>
      <c r="M45" s="131">
        <v>43</v>
      </c>
      <c r="N45" s="134">
        <v>78</v>
      </c>
      <c r="O45" s="131">
        <v>21</v>
      </c>
      <c r="P45" s="134">
        <v>91</v>
      </c>
      <c r="Q45" s="131">
        <v>42.9</v>
      </c>
      <c r="R45" s="134">
        <v>69</v>
      </c>
      <c r="S45" s="131">
        <v>47.3</v>
      </c>
      <c r="T45" s="134">
        <v>120</v>
      </c>
      <c r="U45" s="131">
        <v>61.6</v>
      </c>
      <c r="V45" s="134">
        <v>117</v>
      </c>
      <c r="W45" s="131">
        <v>44.2</v>
      </c>
      <c r="X45" s="134">
        <v>83</v>
      </c>
      <c r="Y45" s="131">
        <v>24</v>
      </c>
      <c r="Z45" s="134">
        <v>84</v>
      </c>
      <c r="AA45" s="131">
        <v>42.2</v>
      </c>
      <c r="AB45" s="134">
        <v>67</v>
      </c>
      <c r="AC45" s="131">
        <v>24.8</v>
      </c>
      <c r="AD45" s="134">
        <v>75</v>
      </c>
      <c r="AE45" s="131">
        <v>29.4</v>
      </c>
      <c r="AF45" s="134">
        <v>48</v>
      </c>
      <c r="AG45" s="131">
        <v>27.5</v>
      </c>
      <c r="AH45" s="134">
        <v>51</v>
      </c>
      <c r="AI45" s="131">
        <v>36.200000000000003</v>
      </c>
      <c r="AJ45" s="134">
        <v>36</v>
      </c>
      <c r="AK45" s="131">
        <v>22.3</v>
      </c>
      <c r="AL45" s="117">
        <v>38</v>
      </c>
      <c r="AM45" s="122">
        <v>24.4</v>
      </c>
      <c r="AN45" s="117">
        <v>34</v>
      </c>
      <c r="AO45" s="122">
        <v>15.2</v>
      </c>
      <c r="AP45" s="117">
        <v>32</v>
      </c>
      <c r="AQ45" s="122">
        <v>12.5</v>
      </c>
      <c r="AR45" s="117">
        <v>36</v>
      </c>
      <c r="AS45" s="122">
        <v>29.495999999999999</v>
      </c>
      <c r="AT45" s="20">
        <v>44</v>
      </c>
      <c r="AU45" s="122">
        <v>47.533999999999999</v>
      </c>
      <c r="AV45" s="20">
        <v>38</v>
      </c>
      <c r="AW45" s="122">
        <v>53.962000000000003</v>
      </c>
      <c r="AX45" s="20">
        <v>39</v>
      </c>
      <c r="AY45" s="122">
        <v>65.039000000000001</v>
      </c>
    </row>
    <row r="46" spans="1:51" x14ac:dyDescent="0.25">
      <c r="A46" s="9" t="s">
        <v>33</v>
      </c>
      <c r="B46" s="134"/>
      <c r="C46" s="131"/>
      <c r="D46" s="134"/>
      <c r="E46" s="131"/>
      <c r="F46" s="134"/>
      <c r="G46" s="131"/>
      <c r="H46" s="134"/>
      <c r="I46" s="131"/>
      <c r="J46" s="134"/>
      <c r="K46" s="131"/>
      <c r="L46" s="134"/>
      <c r="M46" s="131"/>
      <c r="N46" s="134"/>
      <c r="O46" s="131"/>
      <c r="P46" s="134"/>
      <c r="Q46" s="131"/>
      <c r="R46" s="134"/>
      <c r="S46" s="131"/>
      <c r="T46" s="134"/>
      <c r="U46" s="131"/>
      <c r="V46" s="134"/>
      <c r="W46" s="125"/>
      <c r="X46" s="134"/>
      <c r="Y46" s="125"/>
      <c r="Z46" s="134"/>
      <c r="AA46" s="125"/>
      <c r="AB46" s="134"/>
      <c r="AC46" s="125"/>
      <c r="AD46" s="134">
        <v>218</v>
      </c>
      <c r="AE46" s="122">
        <v>366.1</v>
      </c>
      <c r="AF46" s="134">
        <v>53</v>
      </c>
      <c r="AG46" s="122">
        <v>190.3</v>
      </c>
      <c r="AH46" s="134">
        <v>84</v>
      </c>
      <c r="AI46" s="131">
        <v>482</v>
      </c>
      <c r="AJ46" s="134">
        <v>41</v>
      </c>
      <c r="AK46" s="131">
        <v>197.8</v>
      </c>
      <c r="AL46" s="117">
        <v>124</v>
      </c>
      <c r="AM46" s="122">
        <v>446.5</v>
      </c>
      <c r="AN46" s="117">
        <v>113</v>
      </c>
      <c r="AO46" s="122">
        <v>342.7</v>
      </c>
      <c r="AP46" s="117">
        <v>104</v>
      </c>
      <c r="AQ46" s="122">
        <v>264.8</v>
      </c>
      <c r="AR46" s="117">
        <v>112</v>
      </c>
      <c r="AS46" s="122">
        <v>278.30700000000002</v>
      </c>
      <c r="AT46" s="20">
        <v>84</v>
      </c>
      <c r="AU46" s="122">
        <v>167.11099999999999</v>
      </c>
      <c r="AV46" s="20">
        <v>70</v>
      </c>
      <c r="AW46" s="122">
        <v>135.32</v>
      </c>
      <c r="AX46" s="20">
        <v>137</v>
      </c>
      <c r="AY46" s="122">
        <v>523.78599999999994</v>
      </c>
    </row>
    <row r="47" spans="1:51" x14ac:dyDescent="0.25">
      <c r="A47" s="9" t="s">
        <v>34</v>
      </c>
      <c r="B47" s="134">
        <v>1145</v>
      </c>
      <c r="C47" s="122">
        <v>1103</v>
      </c>
      <c r="D47" s="134">
        <v>1093</v>
      </c>
      <c r="E47" s="131">
        <v>1024.2</v>
      </c>
      <c r="F47" s="134">
        <v>1022</v>
      </c>
      <c r="G47" s="131">
        <v>914.7</v>
      </c>
      <c r="H47" s="134">
        <v>907</v>
      </c>
      <c r="I47" s="131">
        <v>750</v>
      </c>
      <c r="J47" s="134">
        <v>868</v>
      </c>
      <c r="K47" s="131">
        <v>815.1</v>
      </c>
      <c r="L47" s="134">
        <v>740</v>
      </c>
      <c r="M47" s="131">
        <v>746</v>
      </c>
      <c r="N47" s="134">
        <v>464</v>
      </c>
      <c r="O47" s="131">
        <v>1139</v>
      </c>
      <c r="P47" s="134">
        <v>466</v>
      </c>
      <c r="Q47" s="131">
        <v>1011.4</v>
      </c>
      <c r="R47" s="134">
        <v>383</v>
      </c>
      <c r="S47" s="131">
        <v>1500.6</v>
      </c>
      <c r="T47" s="134">
        <v>609</v>
      </c>
      <c r="U47" s="131">
        <v>1883.1</v>
      </c>
      <c r="V47" s="134">
        <v>398</v>
      </c>
      <c r="W47" s="131">
        <v>1412.3</v>
      </c>
      <c r="X47" s="134">
        <v>549</v>
      </c>
      <c r="Y47" s="131">
        <v>1677.4</v>
      </c>
      <c r="Z47" s="134">
        <v>575</v>
      </c>
      <c r="AA47" s="131">
        <v>1272.5999999999999</v>
      </c>
      <c r="AB47" s="134">
        <v>340</v>
      </c>
      <c r="AC47" s="131">
        <v>1447.3</v>
      </c>
      <c r="AD47" s="134">
        <v>75</v>
      </c>
      <c r="AE47" s="131">
        <v>472.5</v>
      </c>
      <c r="AF47" s="134">
        <v>80</v>
      </c>
      <c r="AG47" s="131">
        <v>503</v>
      </c>
      <c r="AH47" s="134">
        <v>101</v>
      </c>
      <c r="AI47" s="131">
        <v>666.8</v>
      </c>
      <c r="AJ47" s="134">
        <v>313</v>
      </c>
      <c r="AK47" s="131">
        <v>2188.8000000000002</v>
      </c>
      <c r="AL47" s="117">
        <v>375</v>
      </c>
      <c r="AM47" s="122">
        <v>1936.1</v>
      </c>
      <c r="AN47" s="117">
        <v>505</v>
      </c>
      <c r="AO47" s="122">
        <v>4279.3999999999996</v>
      </c>
      <c r="AP47" s="117">
        <v>361</v>
      </c>
      <c r="AQ47" s="122">
        <v>1655.6</v>
      </c>
      <c r="AR47" s="117">
        <v>127</v>
      </c>
      <c r="AS47" s="122">
        <v>1163.8</v>
      </c>
      <c r="AT47" s="20">
        <v>339</v>
      </c>
      <c r="AU47" s="122">
        <v>1854.6179999999999</v>
      </c>
      <c r="AV47" s="20">
        <v>189</v>
      </c>
      <c r="AW47" s="122">
        <v>2359.2170000000001</v>
      </c>
      <c r="AX47" s="20">
        <v>615</v>
      </c>
      <c r="AY47" s="122">
        <v>2914.0250000000001</v>
      </c>
    </row>
    <row r="48" spans="1:51" x14ac:dyDescent="0.25">
      <c r="A48" s="9" t="s">
        <v>35</v>
      </c>
      <c r="B48" s="134">
        <v>216</v>
      </c>
      <c r="C48" s="129">
        <v>314.3</v>
      </c>
      <c r="D48" s="134">
        <v>168</v>
      </c>
      <c r="E48" s="131">
        <v>323.89999999999998</v>
      </c>
      <c r="F48" s="134">
        <v>122</v>
      </c>
      <c r="G48" s="131">
        <v>270.10000000000002</v>
      </c>
      <c r="H48" s="134">
        <v>104</v>
      </c>
      <c r="I48" s="131">
        <v>235.3</v>
      </c>
      <c r="J48" s="134">
        <v>89</v>
      </c>
      <c r="K48" s="131">
        <v>217.3</v>
      </c>
      <c r="L48" s="134">
        <v>66</v>
      </c>
      <c r="M48" s="131">
        <v>145</v>
      </c>
      <c r="N48" s="134">
        <v>63</v>
      </c>
      <c r="O48" s="131">
        <v>178</v>
      </c>
      <c r="P48" s="134">
        <v>62</v>
      </c>
      <c r="Q48" s="131">
        <v>191.5</v>
      </c>
      <c r="R48" s="134">
        <v>67</v>
      </c>
      <c r="S48" s="131">
        <v>339.9</v>
      </c>
      <c r="T48" s="134">
        <v>64</v>
      </c>
      <c r="U48" s="131">
        <v>268.89999999999998</v>
      </c>
      <c r="V48" s="134">
        <v>52</v>
      </c>
      <c r="W48" s="131">
        <v>193.8</v>
      </c>
      <c r="X48" s="134">
        <v>33</v>
      </c>
      <c r="Y48" s="131">
        <v>92.1</v>
      </c>
      <c r="Z48" s="134">
        <v>26</v>
      </c>
      <c r="AA48" s="131">
        <v>94.8</v>
      </c>
      <c r="AB48" s="134">
        <v>22</v>
      </c>
      <c r="AC48" s="131">
        <v>111</v>
      </c>
      <c r="AD48" s="134">
        <v>28</v>
      </c>
      <c r="AE48" s="131">
        <v>64.2</v>
      </c>
      <c r="AF48" s="134">
        <v>37</v>
      </c>
      <c r="AG48" s="131">
        <v>136</v>
      </c>
      <c r="AH48" s="134">
        <v>31</v>
      </c>
      <c r="AI48" s="131">
        <v>184.9</v>
      </c>
      <c r="AJ48" s="134">
        <v>25</v>
      </c>
      <c r="AK48" s="131">
        <v>144</v>
      </c>
      <c r="AL48" s="117">
        <v>12</v>
      </c>
      <c r="AM48" s="122">
        <v>118.5</v>
      </c>
      <c r="AN48" s="117">
        <v>13</v>
      </c>
      <c r="AO48" s="122">
        <v>121.4</v>
      </c>
      <c r="AP48" s="117">
        <v>13</v>
      </c>
      <c r="AQ48" s="122">
        <v>174.4</v>
      </c>
      <c r="AR48" s="117">
        <v>22</v>
      </c>
      <c r="AS48" s="122">
        <v>138.71899999999999</v>
      </c>
      <c r="AT48" s="20">
        <v>31</v>
      </c>
      <c r="AU48" s="122">
        <v>264.19</v>
      </c>
      <c r="AV48" s="20">
        <v>39</v>
      </c>
      <c r="AW48" s="122">
        <v>367.46699999999998</v>
      </c>
      <c r="AX48" s="20">
        <v>69</v>
      </c>
      <c r="AY48" s="122">
        <v>579.59699999999998</v>
      </c>
    </row>
    <row r="49" spans="1:51" x14ac:dyDescent="0.25">
      <c r="A49" s="9" t="s">
        <v>36</v>
      </c>
      <c r="B49" s="134">
        <v>662</v>
      </c>
      <c r="C49" s="129">
        <v>622</v>
      </c>
      <c r="D49" s="134">
        <v>570</v>
      </c>
      <c r="E49" s="131">
        <v>540.4</v>
      </c>
      <c r="F49" s="134">
        <v>466</v>
      </c>
      <c r="G49" s="131">
        <v>504.4</v>
      </c>
      <c r="H49" s="134">
        <v>381</v>
      </c>
      <c r="I49" s="131">
        <v>533.1</v>
      </c>
      <c r="J49" s="134">
        <v>309</v>
      </c>
      <c r="K49" s="131">
        <v>437.6</v>
      </c>
      <c r="L49" s="134">
        <v>212</v>
      </c>
      <c r="M49" s="131">
        <v>402</v>
      </c>
      <c r="N49" s="134">
        <v>175</v>
      </c>
      <c r="O49" s="131">
        <v>315</v>
      </c>
      <c r="P49" s="134">
        <v>185</v>
      </c>
      <c r="Q49" s="131">
        <v>411.7</v>
      </c>
      <c r="R49" s="134">
        <v>174</v>
      </c>
      <c r="S49" s="131">
        <v>433.4</v>
      </c>
      <c r="T49" s="134">
        <v>125</v>
      </c>
      <c r="U49" s="131">
        <v>385.3</v>
      </c>
      <c r="V49" s="134">
        <v>99</v>
      </c>
      <c r="W49" s="131">
        <v>280.2</v>
      </c>
      <c r="X49" s="134">
        <v>96</v>
      </c>
      <c r="Y49" s="131">
        <v>290.3</v>
      </c>
      <c r="Z49" s="134">
        <v>89</v>
      </c>
      <c r="AA49" s="131">
        <v>228.9</v>
      </c>
      <c r="AB49" s="134">
        <v>94</v>
      </c>
      <c r="AC49" s="131">
        <v>213.4</v>
      </c>
      <c r="AD49" s="134">
        <v>103</v>
      </c>
      <c r="AE49" s="131">
        <v>210.1</v>
      </c>
      <c r="AF49" s="134">
        <v>89</v>
      </c>
      <c r="AG49" s="131">
        <v>270.7</v>
      </c>
      <c r="AH49" s="134">
        <v>82</v>
      </c>
      <c r="AI49" s="131">
        <v>345.3</v>
      </c>
      <c r="AJ49" s="134">
        <v>73</v>
      </c>
      <c r="AK49" s="131">
        <v>201.2</v>
      </c>
      <c r="AL49" s="117">
        <v>87</v>
      </c>
      <c r="AM49" s="122">
        <v>403</v>
      </c>
      <c r="AN49" s="117">
        <v>46</v>
      </c>
      <c r="AO49" s="122">
        <v>267.7</v>
      </c>
      <c r="AP49" s="117">
        <v>39</v>
      </c>
      <c r="AQ49" s="122">
        <v>166.2</v>
      </c>
      <c r="AR49" s="117">
        <v>126</v>
      </c>
      <c r="AS49" s="122">
        <v>571.25599999999997</v>
      </c>
      <c r="AT49" s="20">
        <v>71</v>
      </c>
      <c r="AU49" s="122">
        <v>357.13200000000001</v>
      </c>
      <c r="AV49" s="20">
        <v>146</v>
      </c>
      <c r="AW49" s="122">
        <v>728.07100000000003</v>
      </c>
      <c r="AX49" s="20">
        <v>150</v>
      </c>
      <c r="AY49" s="122">
        <v>774.08600000000001</v>
      </c>
    </row>
    <row r="50" spans="1:51" x14ac:dyDescent="0.25">
      <c r="A50" s="9" t="s">
        <v>37</v>
      </c>
      <c r="B50" s="134">
        <v>660</v>
      </c>
      <c r="C50" s="122">
        <v>787.5</v>
      </c>
      <c r="D50" s="134">
        <v>568</v>
      </c>
      <c r="E50" s="131">
        <v>608.4</v>
      </c>
      <c r="F50" s="134">
        <v>467</v>
      </c>
      <c r="G50" s="131">
        <v>419.1</v>
      </c>
      <c r="H50" s="134">
        <v>470</v>
      </c>
      <c r="I50" s="131">
        <v>815.9</v>
      </c>
      <c r="J50" s="134">
        <v>353</v>
      </c>
      <c r="K50" s="131">
        <v>634.70000000000005</v>
      </c>
      <c r="L50" s="134">
        <v>390</v>
      </c>
      <c r="M50" s="131">
        <v>952</v>
      </c>
      <c r="N50" s="134">
        <v>354</v>
      </c>
      <c r="O50" s="131">
        <v>809</v>
      </c>
      <c r="P50" s="134">
        <v>326</v>
      </c>
      <c r="Q50" s="131">
        <v>1000.6</v>
      </c>
      <c r="R50" s="134">
        <v>317</v>
      </c>
      <c r="S50" s="131">
        <v>1078.8</v>
      </c>
      <c r="T50" s="134">
        <v>288</v>
      </c>
      <c r="U50" s="131">
        <v>1132</v>
      </c>
      <c r="V50" s="134">
        <v>400</v>
      </c>
      <c r="W50" s="131">
        <v>1100</v>
      </c>
      <c r="X50" s="134">
        <v>350</v>
      </c>
      <c r="Y50" s="131">
        <v>1077.2</v>
      </c>
      <c r="Z50" s="134">
        <v>398</v>
      </c>
      <c r="AA50" s="131">
        <v>1000.1</v>
      </c>
      <c r="AB50" s="134">
        <v>362</v>
      </c>
      <c r="AC50" s="131">
        <v>991.9</v>
      </c>
      <c r="AD50" s="134">
        <v>351</v>
      </c>
      <c r="AE50" s="131">
        <v>1055.5999999999999</v>
      </c>
      <c r="AF50" s="134">
        <v>323</v>
      </c>
      <c r="AG50" s="131">
        <v>1132.4000000000001</v>
      </c>
      <c r="AH50" s="134">
        <v>226</v>
      </c>
      <c r="AI50" s="131">
        <v>898.1</v>
      </c>
      <c r="AJ50" s="134">
        <v>193</v>
      </c>
      <c r="AK50" s="131">
        <v>1004.6</v>
      </c>
      <c r="AL50" s="117">
        <v>185</v>
      </c>
      <c r="AM50" s="122">
        <v>1028.8</v>
      </c>
      <c r="AN50" s="117">
        <v>160</v>
      </c>
      <c r="AO50" s="122">
        <v>906.5</v>
      </c>
      <c r="AP50" s="117">
        <v>155</v>
      </c>
      <c r="AQ50" s="122">
        <v>1203.7</v>
      </c>
      <c r="AR50" s="117">
        <v>159</v>
      </c>
      <c r="AS50" s="122">
        <v>820.41600000000005</v>
      </c>
      <c r="AT50" s="20">
        <v>171</v>
      </c>
      <c r="AU50" s="122">
        <v>1415.7239999999999</v>
      </c>
      <c r="AV50" s="20">
        <v>136</v>
      </c>
      <c r="AW50" s="122">
        <v>1233.1469999999999</v>
      </c>
      <c r="AX50" s="20">
        <v>199</v>
      </c>
      <c r="AY50" s="122">
        <v>992.81100000000004</v>
      </c>
    </row>
    <row r="51" spans="1:51" x14ac:dyDescent="0.25">
      <c r="A51" s="9" t="s">
        <v>38</v>
      </c>
      <c r="B51" s="134"/>
      <c r="C51" s="131"/>
      <c r="D51" s="134"/>
      <c r="E51" s="131"/>
      <c r="F51" s="134"/>
      <c r="G51" s="131"/>
      <c r="H51" s="134"/>
      <c r="I51" s="131"/>
      <c r="J51" s="134"/>
      <c r="K51" s="125"/>
      <c r="L51" s="134"/>
      <c r="M51" s="131"/>
      <c r="N51" s="134"/>
      <c r="O51" s="125"/>
      <c r="P51" s="134"/>
      <c r="Q51" s="131"/>
      <c r="R51" s="134"/>
      <c r="S51" s="131"/>
      <c r="T51" s="134"/>
      <c r="U51" s="131"/>
      <c r="V51" s="134"/>
      <c r="W51" s="131"/>
      <c r="X51" s="134"/>
      <c r="Y51" s="131"/>
      <c r="Z51" s="134"/>
      <c r="AA51" s="131"/>
      <c r="AB51" s="134"/>
      <c r="AC51" s="131"/>
      <c r="AD51" s="134">
        <v>17</v>
      </c>
      <c r="AE51" s="131">
        <v>66.8</v>
      </c>
      <c r="AF51" s="134">
        <v>7</v>
      </c>
      <c r="AG51" s="122">
        <v>41.5</v>
      </c>
      <c r="AH51" s="134" t="s">
        <v>96</v>
      </c>
      <c r="AI51" s="131"/>
      <c r="AJ51" s="134">
        <v>9</v>
      </c>
      <c r="AK51" s="131">
        <v>15.6</v>
      </c>
      <c r="AL51" s="117" t="s">
        <v>96</v>
      </c>
      <c r="AM51" s="122" t="s">
        <v>96</v>
      </c>
      <c r="AN51" s="117">
        <v>2</v>
      </c>
      <c r="AO51" s="122">
        <v>3.4</v>
      </c>
      <c r="AP51" s="117">
        <v>4</v>
      </c>
      <c r="AQ51" s="122">
        <v>33.700000000000003</v>
      </c>
      <c r="AR51" s="117" t="s">
        <v>96</v>
      </c>
      <c r="AS51" s="122" t="s">
        <v>96</v>
      </c>
      <c r="AT51" s="20" t="s">
        <v>96</v>
      </c>
      <c r="AU51" s="122" t="s">
        <v>96</v>
      </c>
      <c r="AV51" s="20">
        <v>2</v>
      </c>
      <c r="AW51" s="122">
        <v>5.9989999999999997</v>
      </c>
      <c r="AX51" s="20">
        <v>12</v>
      </c>
      <c r="AY51" s="122">
        <v>57.222000000000001</v>
      </c>
    </row>
    <row r="52" spans="1:51" ht="21.75" customHeight="1" x14ac:dyDescent="0.25">
      <c r="A52" s="8" t="s">
        <v>254</v>
      </c>
      <c r="B52" s="133">
        <v>1586</v>
      </c>
      <c r="C52" s="130">
        <v>1412</v>
      </c>
      <c r="D52" s="133">
        <v>1056</v>
      </c>
      <c r="E52" s="130">
        <v>1313.1</v>
      </c>
      <c r="F52" s="133">
        <v>1638</v>
      </c>
      <c r="G52" s="130">
        <v>1235.8</v>
      </c>
      <c r="H52" s="133">
        <v>1528</v>
      </c>
      <c r="I52" s="130">
        <v>1043.7</v>
      </c>
      <c r="J52" s="133">
        <v>1011</v>
      </c>
      <c r="K52" s="130">
        <v>1116.0999999999999</v>
      </c>
      <c r="L52" s="133">
        <v>877</v>
      </c>
      <c r="M52" s="130">
        <v>1097</v>
      </c>
      <c r="N52" s="133">
        <v>815</v>
      </c>
      <c r="O52" s="130">
        <v>1153</v>
      </c>
      <c r="P52" s="133">
        <v>470</v>
      </c>
      <c r="Q52" s="130">
        <v>1095</v>
      </c>
      <c r="R52" s="133">
        <v>256</v>
      </c>
      <c r="S52" s="130">
        <v>962</v>
      </c>
      <c r="T52" s="133">
        <v>367</v>
      </c>
      <c r="U52" s="130">
        <v>958.4</v>
      </c>
      <c r="V52" s="133">
        <v>280</v>
      </c>
      <c r="W52" s="130">
        <v>933</v>
      </c>
      <c r="X52" s="133">
        <v>976</v>
      </c>
      <c r="Y52" s="130">
        <v>935.6</v>
      </c>
      <c r="Z52" s="133">
        <v>505</v>
      </c>
      <c r="AA52" s="130">
        <v>920.8</v>
      </c>
      <c r="AB52" s="133">
        <v>142</v>
      </c>
      <c r="AC52" s="130">
        <v>574.70000000000005</v>
      </c>
      <c r="AD52" s="133">
        <v>266</v>
      </c>
      <c r="AE52" s="130">
        <v>794.6</v>
      </c>
      <c r="AF52" s="133">
        <v>114</v>
      </c>
      <c r="AG52" s="130">
        <v>760.2</v>
      </c>
      <c r="AH52" s="133">
        <v>72</v>
      </c>
      <c r="AI52" s="130">
        <v>649.79999999999995</v>
      </c>
      <c r="AJ52" s="133">
        <v>70</v>
      </c>
      <c r="AK52" s="130">
        <v>549.29999999999995</v>
      </c>
      <c r="AL52" s="121">
        <v>122</v>
      </c>
      <c r="AM52" s="124">
        <v>1028.2</v>
      </c>
      <c r="AN52" s="121">
        <v>32</v>
      </c>
      <c r="AO52" s="124">
        <v>250.9</v>
      </c>
      <c r="AP52" s="121">
        <v>27</v>
      </c>
      <c r="AQ52" s="124">
        <v>313</v>
      </c>
      <c r="AR52" s="121">
        <v>34</v>
      </c>
      <c r="AS52" s="124">
        <v>310.68900000000002</v>
      </c>
      <c r="AT52" s="26">
        <v>29</v>
      </c>
      <c r="AU52" s="124">
        <v>370.072</v>
      </c>
      <c r="AV52" s="26">
        <v>81</v>
      </c>
      <c r="AW52" s="124">
        <v>543.90099999999995</v>
      </c>
      <c r="AX52" s="26">
        <v>47</v>
      </c>
      <c r="AY52" s="124">
        <v>499.3</v>
      </c>
    </row>
    <row r="53" spans="1:51" x14ac:dyDescent="0.25">
      <c r="A53" s="9" t="s">
        <v>39</v>
      </c>
      <c r="B53" s="134">
        <v>996</v>
      </c>
      <c r="C53" s="122">
        <v>310.89999999999998</v>
      </c>
      <c r="D53" s="134">
        <v>493</v>
      </c>
      <c r="E53" s="131">
        <v>258.60000000000002</v>
      </c>
      <c r="F53" s="134">
        <v>1212</v>
      </c>
      <c r="G53" s="131">
        <v>244.9</v>
      </c>
      <c r="H53" s="134">
        <v>1202</v>
      </c>
      <c r="I53" s="122">
        <v>309.60000000000002</v>
      </c>
      <c r="J53" s="134">
        <v>637</v>
      </c>
      <c r="K53" s="131">
        <v>285.3</v>
      </c>
      <c r="L53" s="134">
        <v>572</v>
      </c>
      <c r="M53" s="131">
        <v>177</v>
      </c>
      <c r="N53" s="134">
        <v>282</v>
      </c>
      <c r="O53" s="131">
        <v>99</v>
      </c>
      <c r="P53" s="134">
        <v>220</v>
      </c>
      <c r="Q53" s="131">
        <v>278</v>
      </c>
      <c r="R53" s="134">
        <v>76</v>
      </c>
      <c r="S53" s="131">
        <v>406.2</v>
      </c>
      <c r="T53" s="134">
        <v>219</v>
      </c>
      <c r="U53" s="131">
        <v>420.7</v>
      </c>
      <c r="V53" s="134">
        <v>100</v>
      </c>
      <c r="W53" s="131">
        <v>417.1</v>
      </c>
      <c r="X53" s="134">
        <v>783</v>
      </c>
      <c r="Y53" s="131">
        <v>452.7</v>
      </c>
      <c r="Z53" s="134">
        <v>369</v>
      </c>
      <c r="AA53" s="131">
        <v>383.1</v>
      </c>
      <c r="AB53" s="134">
        <v>41</v>
      </c>
      <c r="AC53" s="131">
        <v>283.5</v>
      </c>
      <c r="AD53" s="134">
        <v>208</v>
      </c>
      <c r="AE53" s="131">
        <v>488</v>
      </c>
      <c r="AF53" s="134">
        <v>53</v>
      </c>
      <c r="AG53" s="131">
        <v>474.8</v>
      </c>
      <c r="AH53" s="134">
        <v>44</v>
      </c>
      <c r="AI53" s="131">
        <v>493.1</v>
      </c>
      <c r="AJ53" s="134">
        <v>49</v>
      </c>
      <c r="AK53" s="131">
        <v>483</v>
      </c>
      <c r="AL53" s="117">
        <v>49</v>
      </c>
      <c r="AM53" s="122">
        <v>377.8</v>
      </c>
      <c r="AN53" s="117">
        <v>10</v>
      </c>
      <c r="AO53" s="122">
        <v>114.8</v>
      </c>
      <c r="AP53" s="117">
        <v>7</v>
      </c>
      <c r="AQ53" s="122">
        <v>53.4</v>
      </c>
      <c r="AR53" s="117">
        <v>9</v>
      </c>
      <c r="AS53" s="122">
        <v>55.591999999999999</v>
      </c>
      <c r="AT53" s="20">
        <v>2</v>
      </c>
      <c r="AU53" s="122">
        <v>31.239000000000001</v>
      </c>
      <c r="AV53" s="20">
        <v>5</v>
      </c>
      <c r="AW53" s="122">
        <v>51.999000000000002</v>
      </c>
      <c r="AX53" s="122" t="s">
        <v>96</v>
      </c>
      <c r="AY53" s="122" t="s">
        <v>96</v>
      </c>
    </row>
    <row r="54" spans="1:51" ht="17.25" customHeight="1" x14ac:dyDescent="0.25">
      <c r="A54" s="9" t="s">
        <v>99</v>
      </c>
      <c r="B54" s="134">
        <v>80</v>
      </c>
      <c r="C54" s="131" t="s">
        <v>96</v>
      </c>
      <c r="D54" s="134">
        <v>75</v>
      </c>
      <c r="E54" s="131">
        <v>46.7</v>
      </c>
      <c r="F54" s="134">
        <v>27</v>
      </c>
      <c r="G54" s="131" t="s">
        <v>96</v>
      </c>
      <c r="H54" s="134">
        <v>24</v>
      </c>
      <c r="I54" s="131" t="s">
        <v>96</v>
      </c>
      <c r="J54" s="134">
        <v>12</v>
      </c>
      <c r="K54" s="131">
        <v>17.3</v>
      </c>
      <c r="L54" s="134">
        <v>4</v>
      </c>
      <c r="M54" s="131" t="s">
        <v>96</v>
      </c>
      <c r="N54" s="134">
        <v>241</v>
      </c>
      <c r="O54" s="131">
        <v>49</v>
      </c>
      <c r="P54" s="134">
        <v>7</v>
      </c>
      <c r="Q54" s="131">
        <v>33</v>
      </c>
      <c r="R54" s="134">
        <v>10</v>
      </c>
      <c r="S54" s="131">
        <v>18.7</v>
      </c>
      <c r="T54" s="134">
        <v>1</v>
      </c>
      <c r="U54" s="131">
        <v>11.4</v>
      </c>
      <c r="V54" s="134">
        <v>62</v>
      </c>
      <c r="W54" s="131">
        <v>29.6</v>
      </c>
      <c r="X54" s="134">
        <v>65</v>
      </c>
      <c r="Y54" s="131">
        <v>31.9</v>
      </c>
      <c r="Z54" s="134">
        <v>35</v>
      </c>
      <c r="AA54" s="131">
        <v>216.8</v>
      </c>
      <c r="AB54" s="134">
        <v>11</v>
      </c>
      <c r="AC54" s="131">
        <v>47.9</v>
      </c>
      <c r="AD54" s="134">
        <v>9</v>
      </c>
      <c r="AE54" s="131">
        <v>66.3</v>
      </c>
      <c r="AF54" s="134">
        <v>7</v>
      </c>
      <c r="AG54" s="131">
        <v>78.7</v>
      </c>
      <c r="AH54" s="134" t="s">
        <v>96</v>
      </c>
      <c r="AI54" s="125" t="s">
        <v>96</v>
      </c>
      <c r="AJ54" s="136" t="s">
        <v>96</v>
      </c>
      <c r="AK54" s="125" t="s">
        <v>96</v>
      </c>
      <c r="AL54" s="117" t="s">
        <v>96</v>
      </c>
      <c r="AM54" s="122" t="s">
        <v>96</v>
      </c>
      <c r="AN54" s="117" t="s">
        <v>96</v>
      </c>
      <c r="AO54" s="122" t="s">
        <v>96</v>
      </c>
      <c r="AP54" s="117" t="s">
        <v>96</v>
      </c>
      <c r="AQ54" s="122" t="s">
        <v>96</v>
      </c>
      <c r="AR54" s="117" t="s">
        <v>96</v>
      </c>
      <c r="AS54" s="122" t="s">
        <v>96</v>
      </c>
      <c r="AT54" s="20" t="s">
        <v>96</v>
      </c>
      <c r="AU54" s="122" t="s">
        <v>96</v>
      </c>
      <c r="AV54" s="20" t="s">
        <v>96</v>
      </c>
      <c r="AW54" s="122" t="s">
        <v>96</v>
      </c>
      <c r="AX54" s="122" t="s">
        <v>96</v>
      </c>
      <c r="AY54" s="122" t="s">
        <v>96</v>
      </c>
    </row>
    <row r="55" spans="1:51" ht="18.75" customHeight="1" x14ac:dyDescent="0.25">
      <c r="A55" s="9" t="s">
        <v>41</v>
      </c>
      <c r="B55" s="134">
        <v>57</v>
      </c>
      <c r="C55" s="122">
        <v>244.3</v>
      </c>
      <c r="D55" s="134">
        <v>49</v>
      </c>
      <c r="E55" s="131">
        <v>222.4</v>
      </c>
      <c r="F55" s="134">
        <v>46</v>
      </c>
      <c r="G55" s="131">
        <v>217.4</v>
      </c>
      <c r="H55" s="134">
        <v>34</v>
      </c>
      <c r="I55" s="131">
        <v>142.69999999999999</v>
      </c>
      <c r="J55" s="134">
        <v>39</v>
      </c>
      <c r="K55" s="131">
        <v>129.69999999999999</v>
      </c>
      <c r="L55" s="134">
        <v>31</v>
      </c>
      <c r="M55" s="131">
        <v>106</v>
      </c>
      <c r="N55" s="134">
        <v>24</v>
      </c>
      <c r="O55" s="131">
        <v>56</v>
      </c>
      <c r="P55" s="134">
        <v>9</v>
      </c>
      <c r="Q55" s="131">
        <v>44.4</v>
      </c>
      <c r="R55" s="134">
        <v>9</v>
      </c>
      <c r="S55" s="131">
        <v>40.9</v>
      </c>
      <c r="T55" s="134">
        <v>7</v>
      </c>
      <c r="U55" s="131">
        <v>58.2</v>
      </c>
      <c r="V55" s="134">
        <v>5</v>
      </c>
      <c r="W55" s="131">
        <v>24.9</v>
      </c>
      <c r="X55" s="134">
        <v>10</v>
      </c>
      <c r="Y55" s="131">
        <v>58.9</v>
      </c>
      <c r="Z55" s="134">
        <v>3</v>
      </c>
      <c r="AA55" s="131">
        <v>23.5</v>
      </c>
      <c r="AB55" s="134">
        <v>4</v>
      </c>
      <c r="AC55" s="131">
        <v>32.700000000000003</v>
      </c>
      <c r="AD55" s="134">
        <v>2</v>
      </c>
      <c r="AE55" s="131">
        <v>21.7</v>
      </c>
      <c r="AF55" s="134">
        <v>6</v>
      </c>
      <c r="AG55" s="131">
        <v>44.4</v>
      </c>
      <c r="AH55" s="134" t="s">
        <v>96</v>
      </c>
      <c r="AI55" s="125" t="s">
        <v>96</v>
      </c>
      <c r="AJ55" s="136" t="s">
        <v>96</v>
      </c>
      <c r="AK55" s="125" t="s">
        <v>96</v>
      </c>
      <c r="AL55" s="117" t="s">
        <v>96</v>
      </c>
      <c r="AM55" s="122" t="s">
        <v>96</v>
      </c>
      <c r="AN55" s="117">
        <v>3</v>
      </c>
      <c r="AO55" s="122">
        <v>14.1</v>
      </c>
      <c r="AP55" s="117">
        <v>1</v>
      </c>
      <c r="AQ55" s="122">
        <v>9</v>
      </c>
      <c r="AR55" s="117">
        <v>3</v>
      </c>
      <c r="AS55" s="122">
        <v>22.782</v>
      </c>
      <c r="AT55" s="20" t="s">
        <v>96</v>
      </c>
      <c r="AU55" s="122" t="s">
        <v>96</v>
      </c>
      <c r="AV55" s="20">
        <v>41</v>
      </c>
      <c r="AW55" s="122">
        <v>90.596999999999994</v>
      </c>
      <c r="AX55" s="20">
        <v>19</v>
      </c>
      <c r="AY55" s="122">
        <v>84.695999999999998</v>
      </c>
    </row>
    <row r="56" spans="1:51" ht="19.5" customHeight="1" x14ac:dyDescent="0.25">
      <c r="A56" s="9" t="s">
        <v>42</v>
      </c>
      <c r="B56" s="134">
        <v>32</v>
      </c>
      <c r="C56" s="122">
        <v>52.8</v>
      </c>
      <c r="D56" s="134">
        <v>29</v>
      </c>
      <c r="E56" s="131">
        <v>57.3</v>
      </c>
      <c r="F56" s="134">
        <v>24</v>
      </c>
      <c r="G56" s="131">
        <v>52.6</v>
      </c>
      <c r="H56" s="134">
        <v>23</v>
      </c>
      <c r="I56" s="131">
        <v>49.9</v>
      </c>
      <c r="J56" s="134">
        <v>39</v>
      </c>
      <c r="K56" s="131">
        <v>116.5</v>
      </c>
      <c r="L56" s="134">
        <v>39</v>
      </c>
      <c r="M56" s="131">
        <v>109</v>
      </c>
      <c r="N56" s="134">
        <v>42</v>
      </c>
      <c r="O56" s="131">
        <v>113</v>
      </c>
      <c r="P56" s="134">
        <v>27</v>
      </c>
      <c r="Q56" s="131">
        <v>68.7</v>
      </c>
      <c r="R56" s="134">
        <v>11</v>
      </c>
      <c r="S56" s="131">
        <v>18.3</v>
      </c>
      <c r="T56" s="134">
        <v>8</v>
      </c>
      <c r="U56" s="131">
        <v>15.9</v>
      </c>
      <c r="V56" s="134">
        <v>7</v>
      </c>
      <c r="W56" s="131">
        <v>13.4</v>
      </c>
      <c r="X56" s="134">
        <v>10</v>
      </c>
      <c r="Y56" s="131">
        <v>36.799999999999997</v>
      </c>
      <c r="Z56" s="134">
        <v>1</v>
      </c>
      <c r="AA56" s="131">
        <v>1.3</v>
      </c>
      <c r="AB56" s="134">
        <v>3</v>
      </c>
      <c r="AC56" s="131">
        <v>8.4</v>
      </c>
      <c r="AD56" s="134">
        <v>4</v>
      </c>
      <c r="AE56" s="131">
        <v>16.3</v>
      </c>
      <c r="AF56" s="134">
        <v>9</v>
      </c>
      <c r="AG56" s="131">
        <v>56.8</v>
      </c>
      <c r="AH56" s="134">
        <v>6</v>
      </c>
      <c r="AI56" s="131">
        <v>69.2</v>
      </c>
      <c r="AJ56" s="134">
        <v>1</v>
      </c>
      <c r="AK56" s="131">
        <v>1.3</v>
      </c>
      <c r="AL56" s="117">
        <v>1</v>
      </c>
      <c r="AM56" s="122">
        <v>5.9</v>
      </c>
      <c r="AN56" s="117">
        <v>9</v>
      </c>
      <c r="AO56" s="122">
        <v>74.599999999999994</v>
      </c>
      <c r="AP56" s="117">
        <v>10</v>
      </c>
      <c r="AQ56" s="122">
        <v>166.9</v>
      </c>
      <c r="AR56" s="117">
        <v>19</v>
      </c>
      <c r="AS56" s="122">
        <v>225.02</v>
      </c>
      <c r="AT56" s="20">
        <v>20</v>
      </c>
      <c r="AU56" s="122">
        <v>254.25800000000001</v>
      </c>
      <c r="AV56" s="20">
        <v>19</v>
      </c>
      <c r="AW56" s="122">
        <v>271.04000000000002</v>
      </c>
      <c r="AX56" s="20">
        <v>21</v>
      </c>
      <c r="AY56" s="122">
        <v>313.95800000000003</v>
      </c>
    </row>
    <row r="57" spans="1:51" ht="21" customHeight="1" x14ac:dyDescent="0.25">
      <c r="A57" s="9" t="s">
        <v>43</v>
      </c>
      <c r="B57" s="134">
        <v>102</v>
      </c>
      <c r="C57" s="122">
        <v>242.7</v>
      </c>
      <c r="D57" s="134">
        <v>129</v>
      </c>
      <c r="E57" s="131">
        <v>198.7</v>
      </c>
      <c r="F57" s="134">
        <v>74</v>
      </c>
      <c r="G57" s="131">
        <v>224.9</v>
      </c>
      <c r="H57" s="134">
        <v>46</v>
      </c>
      <c r="I57" s="131">
        <v>169.9</v>
      </c>
      <c r="J57" s="134">
        <v>70</v>
      </c>
      <c r="K57" s="131">
        <v>133.4</v>
      </c>
      <c r="L57" s="134">
        <v>40</v>
      </c>
      <c r="M57" s="131">
        <v>157</v>
      </c>
      <c r="N57" s="134">
        <v>40</v>
      </c>
      <c r="O57" s="131">
        <v>253</v>
      </c>
      <c r="P57" s="134">
        <v>36</v>
      </c>
      <c r="Q57" s="131">
        <v>232.5</v>
      </c>
      <c r="R57" s="134">
        <v>23</v>
      </c>
      <c r="S57" s="131">
        <v>175.9</v>
      </c>
      <c r="T57" s="134">
        <v>23</v>
      </c>
      <c r="U57" s="131">
        <v>130.9</v>
      </c>
      <c r="V57" s="134">
        <v>19</v>
      </c>
      <c r="W57" s="131">
        <v>135.80000000000001</v>
      </c>
      <c r="X57" s="134">
        <v>12</v>
      </c>
      <c r="Y57" s="131">
        <v>51.6</v>
      </c>
      <c r="Z57" s="134">
        <v>14</v>
      </c>
      <c r="AA57" s="131">
        <v>63.8</v>
      </c>
      <c r="AB57" s="134">
        <v>6</v>
      </c>
      <c r="AC57" s="131">
        <v>47.6</v>
      </c>
      <c r="AD57" s="134">
        <v>5</v>
      </c>
      <c r="AE57" s="131">
        <v>32.5</v>
      </c>
      <c r="AF57" s="134">
        <v>14</v>
      </c>
      <c r="AG57" s="131">
        <v>57.7</v>
      </c>
      <c r="AH57" s="134">
        <v>11</v>
      </c>
      <c r="AI57" s="131">
        <v>53.7</v>
      </c>
      <c r="AJ57" s="134">
        <v>3</v>
      </c>
      <c r="AK57" s="131">
        <v>24.7</v>
      </c>
      <c r="AL57" s="117">
        <v>1</v>
      </c>
      <c r="AM57" s="122">
        <v>3.2</v>
      </c>
      <c r="AN57" s="117">
        <v>1</v>
      </c>
      <c r="AO57" s="122">
        <v>3.2</v>
      </c>
      <c r="AP57" s="117">
        <v>1</v>
      </c>
      <c r="AQ57" s="122">
        <v>3.2</v>
      </c>
      <c r="AR57" s="117">
        <v>1</v>
      </c>
      <c r="AS57" s="122">
        <v>3.1850000000000001</v>
      </c>
      <c r="AT57" s="20">
        <v>1</v>
      </c>
      <c r="AU57" s="122">
        <v>3.1850000000000001</v>
      </c>
      <c r="AV57" s="20">
        <v>4</v>
      </c>
      <c r="AW57" s="122">
        <v>21.067</v>
      </c>
      <c r="AX57" s="136" t="s">
        <v>96</v>
      </c>
      <c r="AY57" s="136" t="s">
        <v>96</v>
      </c>
    </row>
    <row r="58" spans="1:51" ht="15.75" customHeight="1" x14ac:dyDescent="0.25">
      <c r="A58" s="9" t="s">
        <v>97</v>
      </c>
      <c r="B58" s="134" t="s">
        <v>96</v>
      </c>
      <c r="C58" s="131" t="s">
        <v>96</v>
      </c>
      <c r="D58" s="134" t="s">
        <v>96</v>
      </c>
      <c r="E58" s="131" t="s">
        <v>96</v>
      </c>
      <c r="F58" s="134" t="s">
        <v>96</v>
      </c>
      <c r="G58" s="131" t="s">
        <v>96</v>
      </c>
      <c r="H58" s="134" t="s">
        <v>96</v>
      </c>
      <c r="I58" s="131" t="s">
        <v>96</v>
      </c>
      <c r="J58" s="134" t="s">
        <v>96</v>
      </c>
      <c r="K58" s="131" t="s">
        <v>96</v>
      </c>
      <c r="L58" s="134" t="s">
        <v>96</v>
      </c>
      <c r="M58" s="131" t="s">
        <v>96</v>
      </c>
      <c r="N58" s="134" t="s">
        <v>96</v>
      </c>
      <c r="O58" s="131" t="s">
        <v>96</v>
      </c>
      <c r="P58" s="134">
        <v>1</v>
      </c>
      <c r="Q58" s="122">
        <v>23.5</v>
      </c>
      <c r="R58" s="134" t="s">
        <v>96</v>
      </c>
      <c r="S58" s="122">
        <v>26.4</v>
      </c>
      <c r="T58" s="134" t="s">
        <v>96</v>
      </c>
      <c r="U58" s="125"/>
      <c r="V58" s="134">
        <v>17</v>
      </c>
      <c r="W58" s="131">
        <v>44.2</v>
      </c>
      <c r="X58" s="134">
        <v>7</v>
      </c>
      <c r="Y58" s="131">
        <v>21.7</v>
      </c>
      <c r="Z58" s="134">
        <v>10</v>
      </c>
      <c r="AA58" s="131">
        <v>27.4</v>
      </c>
      <c r="AB58" s="134">
        <v>11</v>
      </c>
      <c r="AC58" s="131">
        <v>69.599999999999994</v>
      </c>
      <c r="AD58" s="134" t="s">
        <v>96</v>
      </c>
      <c r="AE58" s="125"/>
      <c r="AF58" s="134" t="s">
        <v>96</v>
      </c>
      <c r="AG58" s="125"/>
      <c r="AH58" s="134">
        <v>2</v>
      </c>
      <c r="AI58" s="131">
        <v>13.5</v>
      </c>
      <c r="AJ58" s="134">
        <v>3</v>
      </c>
      <c r="AK58" s="131">
        <v>11.1</v>
      </c>
      <c r="AL58" s="117">
        <v>52</v>
      </c>
      <c r="AM58" s="122">
        <v>595.79999999999995</v>
      </c>
      <c r="AN58" s="117" t="s">
        <v>96</v>
      </c>
      <c r="AO58" s="122" t="s">
        <v>96</v>
      </c>
      <c r="AP58" s="117" t="s">
        <v>96</v>
      </c>
      <c r="AQ58" s="122" t="s">
        <v>96</v>
      </c>
      <c r="AR58" s="117">
        <v>1</v>
      </c>
      <c r="AS58" s="122">
        <v>0.65200000000000002</v>
      </c>
      <c r="AT58" s="20">
        <v>4</v>
      </c>
      <c r="AU58" s="122">
        <v>68.731999999999999</v>
      </c>
      <c r="AV58" s="20" t="s">
        <v>96</v>
      </c>
      <c r="AW58" s="122" t="s">
        <v>96</v>
      </c>
      <c r="AX58" s="136" t="s">
        <v>96</v>
      </c>
      <c r="AY58" s="136" t="s">
        <v>96</v>
      </c>
    </row>
    <row r="59" spans="1:51" x14ac:dyDescent="0.25">
      <c r="A59" s="9" t="s">
        <v>45</v>
      </c>
      <c r="B59" s="134">
        <v>319</v>
      </c>
      <c r="C59" s="122">
        <v>561</v>
      </c>
      <c r="D59" s="134">
        <v>281</v>
      </c>
      <c r="E59" s="131">
        <v>529.4</v>
      </c>
      <c r="F59" s="134">
        <v>255</v>
      </c>
      <c r="G59" s="131">
        <v>496</v>
      </c>
      <c r="H59" s="134">
        <v>199</v>
      </c>
      <c r="I59" s="131">
        <v>371.6</v>
      </c>
      <c r="J59" s="134">
        <v>214</v>
      </c>
      <c r="K59" s="131">
        <v>433.9</v>
      </c>
      <c r="L59" s="134">
        <v>191</v>
      </c>
      <c r="M59" s="131">
        <v>548</v>
      </c>
      <c r="N59" s="134">
        <v>186</v>
      </c>
      <c r="O59" s="131">
        <v>583</v>
      </c>
      <c r="P59" s="134">
        <v>170</v>
      </c>
      <c r="Q59" s="131">
        <v>415</v>
      </c>
      <c r="R59" s="134">
        <v>127</v>
      </c>
      <c r="S59" s="131">
        <v>275.60000000000002</v>
      </c>
      <c r="T59" s="134">
        <v>109</v>
      </c>
      <c r="U59" s="131">
        <v>321.3</v>
      </c>
      <c r="V59" s="134">
        <v>70</v>
      </c>
      <c r="W59" s="131">
        <v>268.10000000000002</v>
      </c>
      <c r="X59" s="134">
        <v>89</v>
      </c>
      <c r="Y59" s="131">
        <v>281.89999999999998</v>
      </c>
      <c r="Z59" s="134">
        <v>73</v>
      </c>
      <c r="AA59" s="131">
        <v>205</v>
      </c>
      <c r="AB59" s="134">
        <v>66</v>
      </c>
      <c r="AC59" s="131">
        <v>85</v>
      </c>
      <c r="AD59" s="134">
        <v>38</v>
      </c>
      <c r="AE59" s="131">
        <v>169.8</v>
      </c>
      <c r="AF59" s="134">
        <v>25</v>
      </c>
      <c r="AG59" s="131">
        <v>47.8</v>
      </c>
      <c r="AH59" s="134">
        <v>9</v>
      </c>
      <c r="AI59" s="131">
        <v>20.3</v>
      </c>
      <c r="AJ59" s="134">
        <v>14</v>
      </c>
      <c r="AK59" s="131">
        <v>29.3</v>
      </c>
      <c r="AL59" s="118">
        <v>19</v>
      </c>
      <c r="AM59" s="129">
        <v>45.5</v>
      </c>
      <c r="AN59" s="118">
        <v>9</v>
      </c>
      <c r="AO59" s="129">
        <v>44.3</v>
      </c>
      <c r="AP59" s="118">
        <v>8</v>
      </c>
      <c r="AQ59" s="129">
        <v>80.5</v>
      </c>
      <c r="AR59" s="118">
        <v>1</v>
      </c>
      <c r="AS59" s="129">
        <v>3.4580000000000002</v>
      </c>
      <c r="AT59" s="21">
        <v>2</v>
      </c>
      <c r="AU59" s="129">
        <v>12.657999999999999</v>
      </c>
      <c r="AV59" s="21">
        <v>12</v>
      </c>
      <c r="AW59" s="129">
        <v>109.19799999999999</v>
      </c>
      <c r="AX59" s="20">
        <v>7</v>
      </c>
      <c r="AY59" s="122">
        <v>100.646</v>
      </c>
    </row>
    <row r="60" spans="1:51" ht="18" x14ac:dyDescent="0.25">
      <c r="A60" s="7" t="s">
        <v>251</v>
      </c>
      <c r="B60" s="133">
        <v>9478</v>
      </c>
      <c r="C60" s="124">
        <v>9127.4</v>
      </c>
      <c r="D60" s="133">
        <v>9332</v>
      </c>
      <c r="E60" s="130">
        <v>9094.4</v>
      </c>
      <c r="F60" s="133">
        <v>8090</v>
      </c>
      <c r="G60" s="130">
        <v>8811.2000000000007</v>
      </c>
      <c r="H60" s="133">
        <v>7002</v>
      </c>
      <c r="I60" s="130">
        <v>8381.1</v>
      </c>
      <c r="J60" s="133">
        <v>5540</v>
      </c>
      <c r="K60" s="130">
        <v>8380.9</v>
      </c>
      <c r="L60" s="133">
        <v>4606</v>
      </c>
      <c r="M60" s="130">
        <v>8361</v>
      </c>
      <c r="N60" s="133">
        <v>4225</v>
      </c>
      <c r="O60" s="130">
        <v>9133</v>
      </c>
      <c r="P60" s="133">
        <v>4763</v>
      </c>
      <c r="Q60" s="130">
        <v>9683.2999999999993</v>
      </c>
      <c r="R60" s="133">
        <v>4274</v>
      </c>
      <c r="S60" s="130">
        <v>9403.7999999999993</v>
      </c>
      <c r="T60" s="133">
        <v>3752</v>
      </c>
      <c r="U60" s="130">
        <v>8537.5</v>
      </c>
      <c r="V60" s="133">
        <v>3568</v>
      </c>
      <c r="W60" s="130">
        <v>7513.1</v>
      </c>
      <c r="X60" s="133">
        <v>3255</v>
      </c>
      <c r="Y60" s="130">
        <v>7161.7</v>
      </c>
      <c r="Z60" s="133">
        <v>2747</v>
      </c>
      <c r="AA60" s="130">
        <v>7294.6</v>
      </c>
      <c r="AB60" s="133">
        <v>2557</v>
      </c>
      <c r="AC60" s="130">
        <v>8112.4</v>
      </c>
      <c r="AD60" s="133">
        <v>2360</v>
      </c>
      <c r="AE60" s="130">
        <v>8356.2000000000007</v>
      </c>
      <c r="AF60" s="133">
        <v>2273</v>
      </c>
      <c r="AG60" s="130">
        <v>9162.5</v>
      </c>
      <c r="AH60" s="133">
        <v>2411</v>
      </c>
      <c r="AI60" s="130">
        <v>10323.299999999999</v>
      </c>
      <c r="AJ60" s="133">
        <v>1990</v>
      </c>
      <c r="AK60" s="130">
        <v>9029.5</v>
      </c>
      <c r="AL60" s="120">
        <v>2020</v>
      </c>
      <c r="AM60" s="123">
        <v>10356.200000000001</v>
      </c>
      <c r="AN60" s="120">
        <v>1811</v>
      </c>
      <c r="AO60" s="123">
        <v>9408.4</v>
      </c>
      <c r="AP60" s="120">
        <v>1886</v>
      </c>
      <c r="AQ60" s="123">
        <v>8667.6</v>
      </c>
      <c r="AR60" s="120">
        <v>1588</v>
      </c>
      <c r="AS60" s="123">
        <v>9596.4789999999994</v>
      </c>
      <c r="AT60" s="22">
        <v>1609</v>
      </c>
      <c r="AU60" s="123">
        <v>8928.3060000000005</v>
      </c>
      <c r="AV60" s="22">
        <v>1728</v>
      </c>
      <c r="AW60" s="123">
        <v>10917.112999999999</v>
      </c>
      <c r="AX60" s="26">
        <v>2319</v>
      </c>
      <c r="AY60" s="124">
        <v>11889.472</v>
      </c>
    </row>
    <row r="61" spans="1:51" x14ac:dyDescent="0.25">
      <c r="A61" s="72" t="s">
        <v>46</v>
      </c>
      <c r="B61" s="134">
        <v>1073</v>
      </c>
      <c r="C61" s="122">
        <v>1078.2</v>
      </c>
      <c r="D61" s="133">
        <v>1042</v>
      </c>
      <c r="E61" s="131">
        <v>1026.9000000000001</v>
      </c>
      <c r="F61" s="134">
        <v>913</v>
      </c>
      <c r="G61" s="131">
        <v>897.2</v>
      </c>
      <c r="H61" s="134">
        <v>822</v>
      </c>
      <c r="I61" s="131">
        <v>961.4</v>
      </c>
      <c r="J61" s="134">
        <v>727</v>
      </c>
      <c r="K61" s="131">
        <v>1264.3</v>
      </c>
      <c r="L61" s="134">
        <v>532</v>
      </c>
      <c r="M61" s="131">
        <v>1277</v>
      </c>
      <c r="N61" s="134">
        <v>615</v>
      </c>
      <c r="O61" s="131">
        <v>1159</v>
      </c>
      <c r="P61" s="134">
        <v>656</v>
      </c>
      <c r="Q61" s="131">
        <v>1251.4000000000001</v>
      </c>
      <c r="R61" s="134">
        <v>777</v>
      </c>
      <c r="S61" s="131">
        <v>1570.6</v>
      </c>
      <c r="T61" s="134">
        <v>571</v>
      </c>
      <c r="U61" s="131">
        <v>935.3</v>
      </c>
      <c r="V61" s="134">
        <v>511</v>
      </c>
      <c r="W61" s="131">
        <v>929.7</v>
      </c>
      <c r="X61" s="134">
        <v>572</v>
      </c>
      <c r="Y61" s="131">
        <v>726.1</v>
      </c>
      <c r="Z61" s="134">
        <v>542</v>
      </c>
      <c r="AA61" s="131">
        <v>1037.4000000000001</v>
      </c>
      <c r="AB61" s="134">
        <v>517</v>
      </c>
      <c r="AC61" s="131">
        <v>883.2</v>
      </c>
      <c r="AD61" s="134">
        <v>341</v>
      </c>
      <c r="AE61" s="131">
        <v>840.2</v>
      </c>
      <c r="AF61" s="134">
        <v>347</v>
      </c>
      <c r="AG61" s="131">
        <v>742.5</v>
      </c>
      <c r="AH61" s="134">
        <v>369</v>
      </c>
      <c r="AI61" s="131">
        <v>759.5</v>
      </c>
      <c r="AJ61" s="134">
        <v>327</v>
      </c>
      <c r="AK61" s="131">
        <v>848.8</v>
      </c>
      <c r="AL61" s="118">
        <v>267</v>
      </c>
      <c r="AM61" s="129">
        <v>869.6</v>
      </c>
      <c r="AN61" s="118">
        <v>202</v>
      </c>
      <c r="AO61" s="129">
        <v>934.6</v>
      </c>
      <c r="AP61" s="118">
        <v>179</v>
      </c>
      <c r="AQ61" s="129">
        <v>816.1</v>
      </c>
      <c r="AR61" s="118">
        <v>170</v>
      </c>
      <c r="AS61" s="129">
        <v>827.42499999999995</v>
      </c>
      <c r="AT61" s="21">
        <v>135</v>
      </c>
      <c r="AU61" s="129">
        <v>530.74099999999999</v>
      </c>
      <c r="AV61" s="21">
        <v>108</v>
      </c>
      <c r="AW61" s="129">
        <v>643.33799999999997</v>
      </c>
      <c r="AX61" s="20">
        <v>102</v>
      </c>
      <c r="AY61" s="122">
        <v>566.65</v>
      </c>
    </row>
    <row r="62" spans="1:51" x14ac:dyDescent="0.25">
      <c r="A62" s="72" t="s">
        <v>47</v>
      </c>
      <c r="B62" s="134">
        <v>176</v>
      </c>
      <c r="C62" s="122">
        <v>308.60000000000002</v>
      </c>
      <c r="D62" s="134">
        <v>164</v>
      </c>
      <c r="E62" s="131">
        <v>308.60000000000002</v>
      </c>
      <c r="F62" s="134">
        <v>146</v>
      </c>
      <c r="G62" s="131">
        <v>263.5</v>
      </c>
      <c r="H62" s="134">
        <v>138</v>
      </c>
      <c r="I62" s="131">
        <v>258.7</v>
      </c>
      <c r="J62" s="134">
        <v>124</v>
      </c>
      <c r="K62" s="131">
        <v>247.6</v>
      </c>
      <c r="L62" s="134">
        <v>130</v>
      </c>
      <c r="M62" s="131">
        <v>315</v>
      </c>
      <c r="N62" s="134">
        <v>126</v>
      </c>
      <c r="O62" s="131">
        <v>276</v>
      </c>
      <c r="P62" s="134">
        <v>109</v>
      </c>
      <c r="Q62" s="131">
        <v>285.89999999999998</v>
      </c>
      <c r="R62" s="134">
        <v>93</v>
      </c>
      <c r="S62" s="131">
        <v>157.19999999999999</v>
      </c>
      <c r="T62" s="134">
        <v>112</v>
      </c>
      <c r="U62" s="131">
        <v>122.8</v>
      </c>
      <c r="V62" s="134">
        <v>59</v>
      </c>
      <c r="W62" s="131">
        <v>118.8</v>
      </c>
      <c r="X62" s="134">
        <v>55</v>
      </c>
      <c r="Y62" s="131">
        <v>158</v>
      </c>
      <c r="Z62" s="134">
        <v>48</v>
      </c>
      <c r="AA62" s="131">
        <v>133.19999999999999</v>
      </c>
      <c r="AB62" s="134">
        <v>43</v>
      </c>
      <c r="AC62" s="131">
        <v>184.6</v>
      </c>
      <c r="AD62" s="134">
        <v>53</v>
      </c>
      <c r="AE62" s="131">
        <v>208.9</v>
      </c>
      <c r="AF62" s="134">
        <v>75</v>
      </c>
      <c r="AG62" s="131">
        <v>325.2</v>
      </c>
      <c r="AH62" s="134">
        <v>46</v>
      </c>
      <c r="AI62" s="131">
        <v>181.6</v>
      </c>
      <c r="AJ62" s="134">
        <v>26</v>
      </c>
      <c r="AK62" s="131">
        <v>158.69999999999999</v>
      </c>
      <c r="AL62" s="118">
        <v>16</v>
      </c>
      <c r="AM62" s="129">
        <v>68</v>
      </c>
      <c r="AN62" s="118">
        <v>30</v>
      </c>
      <c r="AO62" s="129">
        <v>146.9</v>
      </c>
      <c r="AP62" s="118">
        <v>18</v>
      </c>
      <c r="AQ62" s="129">
        <v>71.5</v>
      </c>
      <c r="AR62" s="118">
        <v>32</v>
      </c>
      <c r="AS62" s="129">
        <v>154.68799999999999</v>
      </c>
      <c r="AT62" s="21">
        <v>26</v>
      </c>
      <c r="AU62" s="129">
        <v>147.28</v>
      </c>
      <c r="AV62" s="21">
        <v>10</v>
      </c>
      <c r="AW62" s="129">
        <v>60.258000000000003</v>
      </c>
      <c r="AX62" s="20">
        <v>29</v>
      </c>
      <c r="AY62" s="122">
        <v>72.313000000000002</v>
      </c>
    </row>
    <row r="63" spans="1:51" x14ac:dyDescent="0.25">
      <c r="A63" s="72" t="s">
        <v>48</v>
      </c>
      <c r="B63" s="134">
        <v>225</v>
      </c>
      <c r="C63" s="122">
        <v>191.2</v>
      </c>
      <c r="D63" s="134">
        <v>191</v>
      </c>
      <c r="E63" s="131">
        <v>202.1</v>
      </c>
      <c r="F63" s="134">
        <v>190</v>
      </c>
      <c r="G63" s="131">
        <v>200.4</v>
      </c>
      <c r="H63" s="134">
        <v>174</v>
      </c>
      <c r="I63" s="131">
        <v>178</v>
      </c>
      <c r="J63" s="134">
        <v>135</v>
      </c>
      <c r="K63" s="131">
        <v>137.19999999999999</v>
      </c>
      <c r="L63" s="134">
        <v>125</v>
      </c>
      <c r="M63" s="131">
        <v>146</v>
      </c>
      <c r="N63" s="134">
        <v>136</v>
      </c>
      <c r="O63" s="131">
        <v>273</v>
      </c>
      <c r="P63" s="134">
        <v>119</v>
      </c>
      <c r="Q63" s="131">
        <v>315.60000000000002</v>
      </c>
      <c r="R63" s="134">
        <v>112</v>
      </c>
      <c r="S63" s="131">
        <v>334.8</v>
      </c>
      <c r="T63" s="134">
        <v>129</v>
      </c>
      <c r="U63" s="131">
        <v>285.39999999999998</v>
      </c>
      <c r="V63" s="134">
        <v>125</v>
      </c>
      <c r="W63" s="131">
        <v>249.8</v>
      </c>
      <c r="X63" s="134">
        <v>118</v>
      </c>
      <c r="Y63" s="131">
        <v>235.8</v>
      </c>
      <c r="Z63" s="134">
        <v>81</v>
      </c>
      <c r="AA63" s="131">
        <v>175.9</v>
      </c>
      <c r="AB63" s="134">
        <v>70</v>
      </c>
      <c r="AC63" s="131">
        <v>155.5</v>
      </c>
      <c r="AD63" s="134">
        <v>66</v>
      </c>
      <c r="AE63" s="131">
        <v>155.5</v>
      </c>
      <c r="AF63" s="134">
        <v>68</v>
      </c>
      <c r="AG63" s="131">
        <v>214.8</v>
      </c>
      <c r="AH63" s="134">
        <v>67</v>
      </c>
      <c r="AI63" s="131">
        <v>236.6</v>
      </c>
      <c r="AJ63" s="134">
        <v>56</v>
      </c>
      <c r="AK63" s="131">
        <v>255.1</v>
      </c>
      <c r="AL63" s="118">
        <v>40</v>
      </c>
      <c r="AM63" s="129">
        <v>123.3</v>
      </c>
      <c r="AN63" s="118">
        <v>45</v>
      </c>
      <c r="AO63" s="129">
        <v>182.5</v>
      </c>
      <c r="AP63" s="118">
        <v>30</v>
      </c>
      <c r="AQ63" s="129">
        <v>133.19999999999999</v>
      </c>
      <c r="AR63" s="118">
        <v>47</v>
      </c>
      <c r="AS63" s="129">
        <v>578.76599999999996</v>
      </c>
      <c r="AT63" s="21">
        <v>37</v>
      </c>
      <c r="AU63" s="129">
        <v>192.06700000000001</v>
      </c>
      <c r="AV63" s="21">
        <v>39</v>
      </c>
      <c r="AW63" s="129">
        <v>224.114</v>
      </c>
      <c r="AX63" s="20">
        <v>40</v>
      </c>
      <c r="AY63" s="122">
        <v>164.24</v>
      </c>
    </row>
    <row r="64" spans="1:51" x14ac:dyDescent="0.25">
      <c r="A64" s="72" t="s">
        <v>49</v>
      </c>
      <c r="B64" s="134">
        <v>712</v>
      </c>
      <c r="C64" s="122">
        <v>816.1</v>
      </c>
      <c r="D64" s="134">
        <v>933</v>
      </c>
      <c r="E64" s="131">
        <v>1390.7</v>
      </c>
      <c r="F64" s="134">
        <v>978</v>
      </c>
      <c r="G64" s="131">
        <v>1401.7</v>
      </c>
      <c r="H64" s="134">
        <v>916</v>
      </c>
      <c r="I64" s="131">
        <v>1257.8</v>
      </c>
      <c r="J64" s="134">
        <v>553</v>
      </c>
      <c r="K64" s="131">
        <v>1140.4000000000001</v>
      </c>
      <c r="L64" s="134">
        <v>481</v>
      </c>
      <c r="M64" s="131">
        <v>1266</v>
      </c>
      <c r="N64" s="134">
        <v>408</v>
      </c>
      <c r="O64" s="131">
        <v>1522</v>
      </c>
      <c r="P64" s="134">
        <v>667</v>
      </c>
      <c r="Q64" s="131">
        <v>1723</v>
      </c>
      <c r="R64" s="134">
        <v>482</v>
      </c>
      <c r="S64" s="131">
        <v>1783.8</v>
      </c>
      <c r="T64" s="134">
        <v>400</v>
      </c>
      <c r="U64" s="131">
        <v>2097.8000000000002</v>
      </c>
      <c r="V64" s="134">
        <v>613</v>
      </c>
      <c r="W64" s="131">
        <v>1725.4</v>
      </c>
      <c r="X64" s="134">
        <v>585</v>
      </c>
      <c r="Y64" s="131">
        <v>1937.5</v>
      </c>
      <c r="Z64" s="134">
        <v>374</v>
      </c>
      <c r="AA64" s="131">
        <v>1853.5</v>
      </c>
      <c r="AB64" s="134">
        <v>387</v>
      </c>
      <c r="AC64" s="131">
        <v>1722.9</v>
      </c>
      <c r="AD64" s="134">
        <v>295</v>
      </c>
      <c r="AE64" s="131">
        <v>1536.4</v>
      </c>
      <c r="AF64" s="134">
        <v>368</v>
      </c>
      <c r="AG64" s="131">
        <v>1999.9</v>
      </c>
      <c r="AH64" s="134">
        <v>275</v>
      </c>
      <c r="AI64" s="131">
        <v>1542.8</v>
      </c>
      <c r="AJ64" s="134">
        <v>331</v>
      </c>
      <c r="AK64" s="131">
        <v>1510.3</v>
      </c>
      <c r="AL64" s="118">
        <v>341</v>
      </c>
      <c r="AM64" s="129">
        <v>1666</v>
      </c>
      <c r="AN64" s="118">
        <v>311</v>
      </c>
      <c r="AO64" s="129">
        <v>1470.6</v>
      </c>
      <c r="AP64" s="118">
        <v>363</v>
      </c>
      <c r="AQ64" s="129">
        <v>1344.6</v>
      </c>
      <c r="AR64" s="118">
        <v>164</v>
      </c>
      <c r="AS64" s="129">
        <v>758.27499999999998</v>
      </c>
      <c r="AT64" s="21">
        <v>294</v>
      </c>
      <c r="AU64" s="129">
        <v>1505.8910000000001</v>
      </c>
      <c r="AV64" s="21">
        <v>332</v>
      </c>
      <c r="AW64" s="129">
        <v>2035.7249999999999</v>
      </c>
      <c r="AX64" s="21">
        <v>388</v>
      </c>
      <c r="AY64" s="129">
        <v>2563.768</v>
      </c>
    </row>
    <row r="65" spans="1:51" x14ac:dyDescent="0.25">
      <c r="A65" s="72" t="s">
        <v>50</v>
      </c>
      <c r="B65" s="134">
        <v>447</v>
      </c>
      <c r="C65" s="122">
        <v>415.8</v>
      </c>
      <c r="D65" s="134">
        <v>392</v>
      </c>
      <c r="E65" s="131">
        <v>340.7</v>
      </c>
      <c r="F65" s="134">
        <v>311</v>
      </c>
      <c r="G65" s="131">
        <v>269.60000000000002</v>
      </c>
      <c r="H65" s="134">
        <v>442</v>
      </c>
      <c r="I65" s="131">
        <v>251.4</v>
      </c>
      <c r="J65" s="134">
        <v>262</v>
      </c>
      <c r="K65" s="131">
        <v>301</v>
      </c>
      <c r="L65" s="134">
        <v>230</v>
      </c>
      <c r="M65" s="131">
        <v>163</v>
      </c>
      <c r="N65" s="134">
        <v>148</v>
      </c>
      <c r="O65" s="131">
        <v>660</v>
      </c>
      <c r="P65" s="134">
        <v>160</v>
      </c>
      <c r="Q65" s="122">
        <v>518</v>
      </c>
      <c r="R65" s="134">
        <v>111</v>
      </c>
      <c r="S65" s="122">
        <v>366.1</v>
      </c>
      <c r="T65" s="134">
        <v>88</v>
      </c>
      <c r="U65" s="131">
        <v>237.1</v>
      </c>
      <c r="V65" s="134">
        <v>55</v>
      </c>
      <c r="W65" s="131">
        <v>232.7</v>
      </c>
      <c r="X65" s="134">
        <v>56</v>
      </c>
      <c r="Y65" s="131">
        <v>283.39999999999998</v>
      </c>
      <c r="Z65" s="134">
        <v>71</v>
      </c>
      <c r="AA65" s="131">
        <v>419.1</v>
      </c>
      <c r="AB65" s="134">
        <v>65</v>
      </c>
      <c r="AC65" s="131">
        <v>364</v>
      </c>
      <c r="AD65" s="134">
        <v>71</v>
      </c>
      <c r="AE65" s="131">
        <v>378.4</v>
      </c>
      <c r="AF65" s="134">
        <v>39</v>
      </c>
      <c r="AG65" s="131">
        <v>48.7</v>
      </c>
      <c r="AH65" s="134">
        <v>53</v>
      </c>
      <c r="AI65" s="131">
        <v>217.5</v>
      </c>
      <c r="AJ65" s="134">
        <v>51</v>
      </c>
      <c r="AK65" s="131">
        <v>188.2</v>
      </c>
      <c r="AL65" s="118">
        <v>42</v>
      </c>
      <c r="AM65" s="129">
        <v>166.2</v>
      </c>
      <c r="AN65" s="118">
        <v>30</v>
      </c>
      <c r="AO65" s="129">
        <v>271.5</v>
      </c>
      <c r="AP65" s="118">
        <v>15</v>
      </c>
      <c r="AQ65" s="129">
        <v>47.1</v>
      </c>
      <c r="AR65" s="118">
        <v>32</v>
      </c>
      <c r="AS65" s="129">
        <v>289.16699999999997</v>
      </c>
      <c r="AT65" s="21">
        <v>28</v>
      </c>
      <c r="AU65" s="129">
        <v>270.98599999999999</v>
      </c>
      <c r="AV65" s="21">
        <v>28</v>
      </c>
      <c r="AW65" s="129">
        <v>294.28800000000001</v>
      </c>
      <c r="AX65" s="21">
        <v>29</v>
      </c>
      <c r="AY65" s="129">
        <v>317.517</v>
      </c>
    </row>
    <row r="66" spans="1:51" x14ac:dyDescent="0.25">
      <c r="A66" s="72" t="s">
        <v>51</v>
      </c>
      <c r="B66" s="134">
        <v>90</v>
      </c>
      <c r="C66" s="122">
        <v>378.7</v>
      </c>
      <c r="D66" s="134">
        <v>82</v>
      </c>
      <c r="E66" s="131">
        <v>414.5</v>
      </c>
      <c r="F66" s="134">
        <v>55</v>
      </c>
      <c r="G66" s="131">
        <v>328.9</v>
      </c>
      <c r="H66" s="134">
        <v>39</v>
      </c>
      <c r="I66" s="131">
        <v>286.89999999999998</v>
      </c>
      <c r="J66" s="134">
        <v>24</v>
      </c>
      <c r="K66" s="131">
        <v>423.1</v>
      </c>
      <c r="L66" s="134">
        <v>37</v>
      </c>
      <c r="M66" s="131">
        <v>358</v>
      </c>
      <c r="N66" s="134">
        <v>29</v>
      </c>
      <c r="O66" s="131">
        <v>105</v>
      </c>
      <c r="P66" s="134">
        <v>28</v>
      </c>
      <c r="Q66" s="131">
        <v>106.3</v>
      </c>
      <c r="R66" s="134">
        <v>25</v>
      </c>
      <c r="S66" s="131">
        <v>143.9</v>
      </c>
      <c r="T66" s="134">
        <v>56</v>
      </c>
      <c r="U66" s="131">
        <v>232.2</v>
      </c>
      <c r="V66" s="134">
        <v>41</v>
      </c>
      <c r="W66" s="131">
        <v>135.5</v>
      </c>
      <c r="X66" s="134">
        <v>49</v>
      </c>
      <c r="Y66" s="131">
        <v>188.8</v>
      </c>
      <c r="Z66" s="134">
        <v>60</v>
      </c>
      <c r="AA66" s="131">
        <v>220</v>
      </c>
      <c r="AB66" s="134">
        <v>77</v>
      </c>
      <c r="AC66" s="131">
        <v>296.2</v>
      </c>
      <c r="AD66" s="134">
        <v>95</v>
      </c>
      <c r="AE66" s="131">
        <v>505.3</v>
      </c>
      <c r="AF66" s="134">
        <v>90</v>
      </c>
      <c r="AG66" s="131">
        <v>558.9</v>
      </c>
      <c r="AH66" s="134">
        <v>76</v>
      </c>
      <c r="AI66" s="131">
        <v>587.79999999999995</v>
      </c>
      <c r="AJ66" s="134">
        <v>75</v>
      </c>
      <c r="AK66" s="131">
        <v>643.5</v>
      </c>
      <c r="AL66" s="118">
        <v>64</v>
      </c>
      <c r="AM66" s="129">
        <v>695.9</v>
      </c>
      <c r="AN66" s="118">
        <v>54</v>
      </c>
      <c r="AO66" s="129">
        <v>531.9</v>
      </c>
      <c r="AP66" s="118">
        <v>63</v>
      </c>
      <c r="AQ66" s="129">
        <v>679</v>
      </c>
      <c r="AR66" s="118">
        <v>66</v>
      </c>
      <c r="AS66" s="129">
        <v>611.26900000000001</v>
      </c>
      <c r="AT66" s="21">
        <v>46</v>
      </c>
      <c r="AU66" s="129">
        <v>353.738</v>
      </c>
      <c r="AV66" s="21">
        <v>89</v>
      </c>
      <c r="AW66" s="129">
        <v>667.20699999999999</v>
      </c>
      <c r="AX66" s="21">
        <v>106</v>
      </c>
      <c r="AY66" s="129">
        <v>750.89599999999996</v>
      </c>
    </row>
    <row r="67" spans="1:51" x14ac:dyDescent="0.25">
      <c r="A67" s="72" t="s">
        <v>52</v>
      </c>
      <c r="B67" s="134">
        <v>896</v>
      </c>
      <c r="C67" s="122">
        <v>891.3</v>
      </c>
      <c r="D67" s="134">
        <v>614</v>
      </c>
      <c r="E67" s="122">
        <v>801.5</v>
      </c>
      <c r="F67" s="134">
        <v>595</v>
      </c>
      <c r="G67" s="131">
        <v>803.2</v>
      </c>
      <c r="H67" s="134">
        <v>500</v>
      </c>
      <c r="I67" s="131">
        <v>671.7</v>
      </c>
      <c r="J67" s="134">
        <v>419</v>
      </c>
      <c r="K67" s="131">
        <v>628.29999999999995</v>
      </c>
      <c r="L67" s="134">
        <v>366</v>
      </c>
      <c r="M67" s="131">
        <v>594</v>
      </c>
      <c r="N67" s="134">
        <v>324</v>
      </c>
      <c r="O67" s="131">
        <v>625</v>
      </c>
      <c r="P67" s="134">
        <v>329</v>
      </c>
      <c r="Q67" s="131">
        <v>654.4</v>
      </c>
      <c r="R67" s="134">
        <v>276</v>
      </c>
      <c r="S67" s="131">
        <v>659</v>
      </c>
      <c r="T67" s="134">
        <v>321</v>
      </c>
      <c r="U67" s="131">
        <v>618.29999999999995</v>
      </c>
      <c r="V67" s="134">
        <v>254</v>
      </c>
      <c r="W67" s="131">
        <v>595.70000000000005</v>
      </c>
      <c r="X67" s="134">
        <v>216</v>
      </c>
      <c r="Y67" s="131">
        <v>549.70000000000005</v>
      </c>
      <c r="Z67" s="134">
        <v>222</v>
      </c>
      <c r="AA67" s="131">
        <v>492.8</v>
      </c>
      <c r="AB67" s="134">
        <v>197</v>
      </c>
      <c r="AC67" s="131">
        <v>735.6</v>
      </c>
      <c r="AD67" s="134">
        <v>150</v>
      </c>
      <c r="AE67" s="131">
        <v>710.1</v>
      </c>
      <c r="AF67" s="134">
        <v>152</v>
      </c>
      <c r="AG67" s="131">
        <v>636.6</v>
      </c>
      <c r="AH67" s="134">
        <v>201</v>
      </c>
      <c r="AI67" s="131">
        <v>976.6</v>
      </c>
      <c r="AJ67" s="134">
        <v>142</v>
      </c>
      <c r="AK67" s="131">
        <v>856.1</v>
      </c>
      <c r="AL67" s="118">
        <v>145</v>
      </c>
      <c r="AM67" s="129">
        <v>1030</v>
      </c>
      <c r="AN67" s="118">
        <v>130</v>
      </c>
      <c r="AO67" s="129">
        <v>1061.7</v>
      </c>
      <c r="AP67" s="118">
        <v>184</v>
      </c>
      <c r="AQ67" s="129">
        <v>1373.4</v>
      </c>
      <c r="AR67" s="118">
        <v>211</v>
      </c>
      <c r="AS67" s="129">
        <v>1732.1379999999999</v>
      </c>
      <c r="AT67" s="21">
        <v>136</v>
      </c>
      <c r="AU67" s="129">
        <v>1254.74</v>
      </c>
      <c r="AV67" s="21">
        <v>135</v>
      </c>
      <c r="AW67" s="129">
        <v>1534.825</v>
      </c>
      <c r="AX67" s="21">
        <v>68</v>
      </c>
      <c r="AY67" s="129">
        <v>991.67200000000003</v>
      </c>
    </row>
    <row r="68" spans="1:51" x14ac:dyDescent="0.25">
      <c r="A68" s="72" t="s">
        <v>53</v>
      </c>
      <c r="B68" s="134">
        <v>1199</v>
      </c>
      <c r="C68" s="122">
        <v>553.29999999999995</v>
      </c>
      <c r="D68" s="134">
        <v>1092</v>
      </c>
      <c r="E68" s="131">
        <v>492.7</v>
      </c>
      <c r="F68" s="134">
        <v>960</v>
      </c>
      <c r="G68" s="131">
        <v>436</v>
      </c>
      <c r="H68" s="134">
        <v>845</v>
      </c>
      <c r="I68" s="122">
        <v>386</v>
      </c>
      <c r="J68" s="134">
        <v>691</v>
      </c>
      <c r="K68" s="131">
        <v>308.39999999999998</v>
      </c>
      <c r="L68" s="134">
        <v>616</v>
      </c>
      <c r="M68" s="131">
        <v>308</v>
      </c>
      <c r="N68" s="134">
        <v>610</v>
      </c>
      <c r="O68" s="131">
        <v>364</v>
      </c>
      <c r="P68" s="134">
        <v>452</v>
      </c>
      <c r="Q68" s="131">
        <v>282</v>
      </c>
      <c r="R68" s="134">
        <v>297</v>
      </c>
      <c r="S68" s="131">
        <v>269.7</v>
      </c>
      <c r="T68" s="134">
        <v>284</v>
      </c>
      <c r="U68" s="131">
        <v>189.1</v>
      </c>
      <c r="V68" s="134">
        <v>227</v>
      </c>
      <c r="W68" s="131">
        <v>162.5</v>
      </c>
      <c r="X68" s="134">
        <v>157</v>
      </c>
      <c r="Y68" s="131">
        <v>154.69999999999999</v>
      </c>
      <c r="Z68" s="134">
        <v>146</v>
      </c>
      <c r="AA68" s="131">
        <v>193.9</v>
      </c>
      <c r="AB68" s="134">
        <v>159</v>
      </c>
      <c r="AC68" s="131">
        <v>180.5</v>
      </c>
      <c r="AD68" s="134">
        <v>130</v>
      </c>
      <c r="AE68" s="131">
        <v>191.2</v>
      </c>
      <c r="AF68" s="134">
        <v>146</v>
      </c>
      <c r="AG68" s="131">
        <v>399</v>
      </c>
      <c r="AH68" s="134">
        <v>127</v>
      </c>
      <c r="AI68" s="131">
        <v>509.8</v>
      </c>
      <c r="AJ68" s="134">
        <v>95</v>
      </c>
      <c r="AK68" s="131">
        <v>525.4</v>
      </c>
      <c r="AL68" s="118">
        <v>152</v>
      </c>
      <c r="AM68" s="129">
        <v>663.9</v>
      </c>
      <c r="AN68" s="118">
        <v>119</v>
      </c>
      <c r="AO68" s="129">
        <v>528.70000000000005</v>
      </c>
      <c r="AP68" s="118">
        <v>118</v>
      </c>
      <c r="AQ68" s="129">
        <v>433.7</v>
      </c>
      <c r="AR68" s="118">
        <v>104</v>
      </c>
      <c r="AS68" s="129">
        <v>373.23099999999999</v>
      </c>
      <c r="AT68" s="21">
        <v>109</v>
      </c>
      <c r="AU68" s="129">
        <v>475.66300000000001</v>
      </c>
      <c r="AV68" s="21">
        <v>117</v>
      </c>
      <c r="AW68" s="129">
        <v>596.73800000000006</v>
      </c>
      <c r="AX68" s="21">
        <v>117</v>
      </c>
      <c r="AY68" s="129">
        <v>592.60699999999997</v>
      </c>
    </row>
    <row r="69" spans="1:51" x14ac:dyDescent="0.25">
      <c r="A69" s="72" t="s">
        <v>54</v>
      </c>
      <c r="B69" s="134">
        <v>899</v>
      </c>
      <c r="C69" s="122">
        <v>1201.4000000000001</v>
      </c>
      <c r="D69" s="134">
        <v>795</v>
      </c>
      <c r="E69" s="131">
        <v>1211.9000000000001</v>
      </c>
      <c r="F69" s="134">
        <v>718</v>
      </c>
      <c r="G69" s="131">
        <v>1190.0999999999999</v>
      </c>
      <c r="H69" s="134">
        <v>754</v>
      </c>
      <c r="I69" s="131">
        <v>1340.8</v>
      </c>
      <c r="J69" s="134">
        <v>648</v>
      </c>
      <c r="K69" s="131">
        <v>1516.6</v>
      </c>
      <c r="L69" s="134">
        <v>558</v>
      </c>
      <c r="M69" s="131">
        <v>1686</v>
      </c>
      <c r="N69" s="134">
        <v>488</v>
      </c>
      <c r="O69" s="131">
        <v>1998</v>
      </c>
      <c r="P69" s="134">
        <v>580</v>
      </c>
      <c r="Q69" s="131">
        <v>1866.7</v>
      </c>
      <c r="R69" s="134">
        <v>490</v>
      </c>
      <c r="S69" s="131">
        <v>1848.9</v>
      </c>
      <c r="T69" s="134">
        <v>516</v>
      </c>
      <c r="U69" s="131">
        <v>1627.2</v>
      </c>
      <c r="V69" s="134">
        <v>422</v>
      </c>
      <c r="W69" s="131">
        <v>1412.5</v>
      </c>
      <c r="X69" s="134">
        <v>643</v>
      </c>
      <c r="Y69" s="131">
        <v>1247.3</v>
      </c>
      <c r="Z69" s="134">
        <v>365</v>
      </c>
      <c r="AA69" s="131">
        <v>1208.7</v>
      </c>
      <c r="AB69" s="134">
        <v>444</v>
      </c>
      <c r="AC69" s="131">
        <v>1898.7</v>
      </c>
      <c r="AD69" s="134">
        <v>622</v>
      </c>
      <c r="AE69" s="131">
        <v>1690.4</v>
      </c>
      <c r="AF69" s="134">
        <v>584</v>
      </c>
      <c r="AG69" s="131">
        <v>1995.4</v>
      </c>
      <c r="AH69" s="134">
        <v>815</v>
      </c>
      <c r="AI69" s="131">
        <v>3073.2</v>
      </c>
      <c r="AJ69" s="134">
        <v>614</v>
      </c>
      <c r="AK69" s="131">
        <v>2405.9</v>
      </c>
      <c r="AL69" s="118">
        <v>565</v>
      </c>
      <c r="AM69" s="129">
        <v>2401.8000000000002</v>
      </c>
      <c r="AN69" s="118">
        <v>513</v>
      </c>
      <c r="AO69" s="129">
        <v>2098.9</v>
      </c>
      <c r="AP69" s="118">
        <v>697</v>
      </c>
      <c r="AQ69" s="129">
        <v>1857</v>
      </c>
      <c r="AR69" s="118">
        <v>443</v>
      </c>
      <c r="AS69" s="129">
        <v>1745.922</v>
      </c>
      <c r="AT69" s="21">
        <v>451</v>
      </c>
      <c r="AU69" s="129">
        <v>1812.79</v>
      </c>
      <c r="AV69" s="21">
        <v>402</v>
      </c>
      <c r="AW69" s="129">
        <v>1804.2429999999999</v>
      </c>
      <c r="AX69" s="21">
        <v>519</v>
      </c>
      <c r="AY69" s="129">
        <v>1960.721</v>
      </c>
    </row>
    <row r="70" spans="1:51" x14ac:dyDescent="0.25">
      <c r="A70" s="72" t="s">
        <v>55</v>
      </c>
      <c r="B70" s="134">
        <v>1051</v>
      </c>
      <c r="C70" s="122">
        <v>771.9</v>
      </c>
      <c r="D70" s="134">
        <v>1255</v>
      </c>
      <c r="E70" s="131">
        <v>744.9</v>
      </c>
      <c r="F70" s="134">
        <v>804</v>
      </c>
      <c r="G70" s="131">
        <v>638.79999999999995</v>
      </c>
      <c r="H70" s="134">
        <v>546</v>
      </c>
      <c r="I70" s="131">
        <v>422.5</v>
      </c>
      <c r="J70" s="134">
        <v>386</v>
      </c>
      <c r="K70" s="131">
        <v>275.10000000000002</v>
      </c>
      <c r="L70" s="134">
        <v>357</v>
      </c>
      <c r="M70" s="131">
        <v>278</v>
      </c>
      <c r="N70" s="134">
        <v>328</v>
      </c>
      <c r="O70" s="131">
        <v>371</v>
      </c>
      <c r="P70" s="134">
        <v>675</v>
      </c>
      <c r="Q70" s="131">
        <v>505.7</v>
      </c>
      <c r="R70" s="134">
        <v>585</v>
      </c>
      <c r="S70" s="131">
        <v>294.7</v>
      </c>
      <c r="T70" s="134">
        <v>508</v>
      </c>
      <c r="U70" s="131">
        <v>222.8</v>
      </c>
      <c r="V70" s="134">
        <v>563</v>
      </c>
      <c r="W70" s="131">
        <v>187.1</v>
      </c>
      <c r="X70" s="134">
        <v>147</v>
      </c>
      <c r="Y70" s="131">
        <v>87.3</v>
      </c>
      <c r="Z70" s="134">
        <v>306</v>
      </c>
      <c r="AA70" s="131">
        <v>210</v>
      </c>
      <c r="AB70" s="134">
        <v>98</v>
      </c>
      <c r="AC70" s="131">
        <v>330</v>
      </c>
      <c r="AD70" s="134">
        <v>92</v>
      </c>
      <c r="AE70" s="131">
        <v>243</v>
      </c>
      <c r="AF70" s="134">
        <v>51</v>
      </c>
      <c r="AG70" s="131">
        <v>231.3</v>
      </c>
      <c r="AH70" s="134">
        <v>37</v>
      </c>
      <c r="AI70" s="131">
        <v>208.4</v>
      </c>
      <c r="AJ70" s="134">
        <v>33</v>
      </c>
      <c r="AK70" s="131">
        <v>205.6</v>
      </c>
      <c r="AL70" s="118">
        <v>38</v>
      </c>
      <c r="AM70" s="129">
        <v>317.2</v>
      </c>
      <c r="AN70" s="118">
        <v>35</v>
      </c>
      <c r="AO70" s="129">
        <v>131.5</v>
      </c>
      <c r="AP70" s="118">
        <v>21</v>
      </c>
      <c r="AQ70" s="129">
        <v>170.7</v>
      </c>
      <c r="AR70" s="118">
        <v>69</v>
      </c>
      <c r="AS70" s="129">
        <v>336.32600000000002</v>
      </c>
      <c r="AT70" s="21">
        <v>84</v>
      </c>
      <c r="AU70" s="129">
        <v>366.57</v>
      </c>
      <c r="AV70" s="21">
        <v>138</v>
      </c>
      <c r="AW70" s="129">
        <v>434.13099999999997</v>
      </c>
      <c r="AX70" s="21">
        <v>382</v>
      </c>
      <c r="AY70" s="129">
        <v>736.18499999999995</v>
      </c>
    </row>
    <row r="71" spans="1:51" x14ac:dyDescent="0.25">
      <c r="A71" s="72" t="s">
        <v>56</v>
      </c>
      <c r="B71" s="134">
        <v>671</v>
      </c>
      <c r="C71" s="122">
        <v>432.6</v>
      </c>
      <c r="D71" s="134">
        <v>620</v>
      </c>
      <c r="E71" s="131">
        <v>384.1</v>
      </c>
      <c r="F71" s="134">
        <v>528</v>
      </c>
      <c r="G71" s="131">
        <v>341.1</v>
      </c>
      <c r="H71" s="134">
        <v>334</v>
      </c>
      <c r="I71" s="131">
        <v>296.3</v>
      </c>
      <c r="J71" s="134">
        <v>288</v>
      </c>
      <c r="K71" s="131">
        <v>305.10000000000002</v>
      </c>
      <c r="L71" s="134">
        <v>178</v>
      </c>
      <c r="M71" s="131">
        <v>309</v>
      </c>
      <c r="N71" s="134">
        <v>131</v>
      </c>
      <c r="O71" s="131">
        <v>316</v>
      </c>
      <c r="P71" s="134">
        <v>97</v>
      </c>
      <c r="Q71" s="131">
        <v>345.8</v>
      </c>
      <c r="R71" s="134">
        <v>77</v>
      </c>
      <c r="S71" s="131">
        <v>259.89999999999998</v>
      </c>
      <c r="T71" s="134">
        <v>58</v>
      </c>
      <c r="U71" s="131">
        <v>189.9</v>
      </c>
      <c r="V71" s="134">
        <v>66</v>
      </c>
      <c r="W71" s="131">
        <v>278.60000000000002</v>
      </c>
      <c r="X71" s="134">
        <v>69</v>
      </c>
      <c r="Y71" s="131">
        <v>276.60000000000002</v>
      </c>
      <c r="Z71" s="134">
        <v>64</v>
      </c>
      <c r="AA71" s="131">
        <v>346.9</v>
      </c>
      <c r="AB71" s="134">
        <v>54</v>
      </c>
      <c r="AC71" s="131">
        <v>270.10000000000002</v>
      </c>
      <c r="AD71" s="134">
        <v>57</v>
      </c>
      <c r="AE71" s="131">
        <v>619.20000000000005</v>
      </c>
      <c r="AF71" s="134">
        <v>48</v>
      </c>
      <c r="AG71" s="131">
        <v>493</v>
      </c>
      <c r="AH71" s="134">
        <v>44</v>
      </c>
      <c r="AI71" s="131">
        <v>407.8</v>
      </c>
      <c r="AJ71" s="134">
        <v>23</v>
      </c>
      <c r="AK71" s="131">
        <v>278.2</v>
      </c>
      <c r="AL71" s="118">
        <v>16</v>
      </c>
      <c r="AM71" s="129">
        <v>140.1</v>
      </c>
      <c r="AN71" s="118">
        <v>19</v>
      </c>
      <c r="AO71" s="129">
        <v>174.7</v>
      </c>
      <c r="AP71" s="118">
        <v>14</v>
      </c>
      <c r="AQ71" s="129">
        <v>121.2</v>
      </c>
      <c r="AR71" s="118">
        <v>36</v>
      </c>
      <c r="AS71" s="129">
        <v>217.84399999999999</v>
      </c>
      <c r="AT71" s="21">
        <v>34</v>
      </c>
      <c r="AU71" s="129">
        <v>406.63200000000001</v>
      </c>
      <c r="AV71" s="21">
        <v>48</v>
      </c>
      <c r="AW71" s="129">
        <v>599.36599999999999</v>
      </c>
      <c r="AX71" s="21">
        <v>81</v>
      </c>
      <c r="AY71" s="129">
        <v>848.28700000000003</v>
      </c>
    </row>
    <row r="72" spans="1:51" x14ac:dyDescent="0.25">
      <c r="A72" s="72" t="s">
        <v>57</v>
      </c>
      <c r="B72" s="134">
        <v>482</v>
      </c>
      <c r="C72" s="122">
        <v>809.7</v>
      </c>
      <c r="D72" s="134">
        <v>411</v>
      </c>
      <c r="E72" s="122">
        <v>686.1</v>
      </c>
      <c r="F72" s="134">
        <v>435</v>
      </c>
      <c r="G72" s="122">
        <v>889.5</v>
      </c>
      <c r="H72" s="134">
        <v>345</v>
      </c>
      <c r="I72" s="122">
        <v>1025.3</v>
      </c>
      <c r="J72" s="134">
        <v>307</v>
      </c>
      <c r="K72" s="131">
        <v>868</v>
      </c>
      <c r="L72" s="134">
        <v>269</v>
      </c>
      <c r="M72" s="131">
        <v>846</v>
      </c>
      <c r="N72" s="134">
        <v>243</v>
      </c>
      <c r="O72" s="131">
        <v>654</v>
      </c>
      <c r="P72" s="134">
        <v>410</v>
      </c>
      <c r="Q72" s="131">
        <v>952.4</v>
      </c>
      <c r="R72" s="134">
        <v>590</v>
      </c>
      <c r="S72" s="131">
        <v>911.3</v>
      </c>
      <c r="T72" s="134">
        <v>325</v>
      </c>
      <c r="U72" s="131">
        <v>865.2</v>
      </c>
      <c r="V72" s="134">
        <v>311</v>
      </c>
      <c r="W72" s="131">
        <v>813.7</v>
      </c>
      <c r="X72" s="134">
        <v>322</v>
      </c>
      <c r="Y72" s="131">
        <v>653.4</v>
      </c>
      <c r="Z72" s="134">
        <v>220</v>
      </c>
      <c r="AA72" s="131">
        <v>503.3</v>
      </c>
      <c r="AB72" s="134">
        <v>162</v>
      </c>
      <c r="AC72" s="131">
        <v>463.6</v>
      </c>
      <c r="AD72" s="134">
        <v>90</v>
      </c>
      <c r="AE72" s="131">
        <v>375</v>
      </c>
      <c r="AF72" s="134">
        <v>62</v>
      </c>
      <c r="AG72" s="131">
        <v>257</v>
      </c>
      <c r="AH72" s="134">
        <v>118</v>
      </c>
      <c r="AI72" s="131">
        <v>485.8</v>
      </c>
      <c r="AJ72" s="134">
        <v>54</v>
      </c>
      <c r="AK72" s="131">
        <v>148.4</v>
      </c>
      <c r="AL72" s="118">
        <v>153</v>
      </c>
      <c r="AM72" s="129">
        <v>953.4</v>
      </c>
      <c r="AN72" s="118">
        <v>106</v>
      </c>
      <c r="AO72" s="129">
        <v>680.6</v>
      </c>
      <c r="AP72" s="118">
        <v>55</v>
      </c>
      <c r="AQ72" s="129">
        <v>676.6</v>
      </c>
      <c r="AR72" s="118">
        <v>84</v>
      </c>
      <c r="AS72" s="129">
        <v>953.29200000000003</v>
      </c>
      <c r="AT72" s="21">
        <v>121</v>
      </c>
      <c r="AU72" s="129">
        <v>819.096</v>
      </c>
      <c r="AV72" s="21">
        <v>183</v>
      </c>
      <c r="AW72" s="129">
        <v>1309.567</v>
      </c>
      <c r="AX72" s="21">
        <v>343</v>
      </c>
      <c r="AY72" s="129">
        <v>1694.096</v>
      </c>
    </row>
    <row r="73" spans="1:51" x14ac:dyDescent="0.25">
      <c r="A73" s="72" t="s">
        <v>58</v>
      </c>
      <c r="B73" s="134">
        <v>849</v>
      </c>
      <c r="C73" s="122">
        <v>820.2</v>
      </c>
      <c r="D73" s="134">
        <v>1042</v>
      </c>
      <c r="E73" s="131">
        <v>682.6</v>
      </c>
      <c r="F73" s="134">
        <v>894</v>
      </c>
      <c r="G73" s="122">
        <v>770</v>
      </c>
      <c r="H73" s="134">
        <v>661</v>
      </c>
      <c r="I73" s="122">
        <v>702.6</v>
      </c>
      <c r="J73" s="134">
        <v>596</v>
      </c>
      <c r="K73" s="131">
        <v>636.29999999999995</v>
      </c>
      <c r="L73" s="134">
        <v>477</v>
      </c>
      <c r="M73" s="131">
        <v>591</v>
      </c>
      <c r="N73" s="134">
        <v>430</v>
      </c>
      <c r="O73" s="131">
        <v>683</v>
      </c>
      <c r="P73" s="134">
        <v>300</v>
      </c>
      <c r="Q73" s="131">
        <v>596.4</v>
      </c>
      <c r="R73" s="134">
        <v>221</v>
      </c>
      <c r="S73" s="131">
        <v>597.79999999999995</v>
      </c>
      <c r="T73" s="134">
        <v>212</v>
      </c>
      <c r="U73" s="131">
        <v>749.6</v>
      </c>
      <c r="V73" s="134">
        <v>210</v>
      </c>
      <c r="W73" s="131">
        <v>547</v>
      </c>
      <c r="X73" s="134">
        <v>154</v>
      </c>
      <c r="Y73" s="131">
        <v>508.5</v>
      </c>
      <c r="Z73" s="134">
        <v>143</v>
      </c>
      <c r="AA73" s="131">
        <v>407.8</v>
      </c>
      <c r="AB73" s="134">
        <v>189</v>
      </c>
      <c r="AC73" s="131">
        <v>478.1</v>
      </c>
      <c r="AD73" s="134">
        <v>188</v>
      </c>
      <c r="AE73" s="131">
        <v>731.6</v>
      </c>
      <c r="AF73" s="134">
        <v>149</v>
      </c>
      <c r="AG73" s="131">
        <v>1093.0999999999999</v>
      </c>
      <c r="AH73" s="134">
        <v>135</v>
      </c>
      <c r="AI73" s="131">
        <v>1075.0999999999999</v>
      </c>
      <c r="AJ73" s="134">
        <v>106</v>
      </c>
      <c r="AK73" s="131">
        <v>844.6</v>
      </c>
      <c r="AL73" s="118">
        <v>135</v>
      </c>
      <c r="AM73" s="129">
        <v>1129.0999999999999</v>
      </c>
      <c r="AN73" s="118">
        <v>164</v>
      </c>
      <c r="AO73" s="129">
        <v>1094.5</v>
      </c>
      <c r="AP73" s="118">
        <v>97</v>
      </c>
      <c r="AQ73" s="129">
        <v>879.6</v>
      </c>
      <c r="AR73" s="118">
        <v>87</v>
      </c>
      <c r="AS73" s="129">
        <v>780.76199999999994</v>
      </c>
      <c r="AT73" s="21">
        <v>84</v>
      </c>
      <c r="AU73" s="129">
        <v>649.01599999999996</v>
      </c>
      <c r="AV73" s="21">
        <v>78</v>
      </c>
      <c r="AW73" s="129">
        <v>582.18700000000001</v>
      </c>
      <c r="AX73" s="21">
        <v>97</v>
      </c>
      <c r="AY73" s="129">
        <v>454.56700000000001</v>
      </c>
    </row>
    <row r="74" spans="1:51" x14ac:dyDescent="0.25">
      <c r="A74" s="72" t="s">
        <v>59</v>
      </c>
      <c r="B74" s="134">
        <v>708</v>
      </c>
      <c r="C74" s="122">
        <v>458.3</v>
      </c>
      <c r="D74" s="134">
        <v>699</v>
      </c>
      <c r="E74" s="131">
        <v>407.1</v>
      </c>
      <c r="F74" s="134">
        <v>563</v>
      </c>
      <c r="G74" s="131">
        <v>381.1</v>
      </c>
      <c r="H74" s="134">
        <v>486</v>
      </c>
      <c r="I74" s="131">
        <v>341.7</v>
      </c>
      <c r="J74" s="134">
        <v>380</v>
      </c>
      <c r="K74" s="131">
        <v>329.3</v>
      </c>
      <c r="L74" s="134">
        <v>250</v>
      </c>
      <c r="M74" s="131">
        <v>224</v>
      </c>
      <c r="N74" s="134">
        <v>209</v>
      </c>
      <c r="O74" s="131">
        <v>127</v>
      </c>
      <c r="P74" s="134">
        <v>181</v>
      </c>
      <c r="Q74" s="131">
        <v>279.7</v>
      </c>
      <c r="R74" s="134">
        <v>138</v>
      </c>
      <c r="S74" s="131">
        <v>206</v>
      </c>
      <c r="T74" s="134">
        <v>172</v>
      </c>
      <c r="U74" s="131">
        <v>164.9</v>
      </c>
      <c r="V74" s="134">
        <v>111</v>
      </c>
      <c r="W74" s="131">
        <v>124</v>
      </c>
      <c r="X74" s="134">
        <v>112</v>
      </c>
      <c r="Y74" s="131">
        <v>154.5</v>
      </c>
      <c r="Z74" s="134">
        <v>105</v>
      </c>
      <c r="AA74" s="131">
        <v>92.2</v>
      </c>
      <c r="AB74" s="134">
        <v>95</v>
      </c>
      <c r="AC74" s="131">
        <v>149.4</v>
      </c>
      <c r="AD74" s="134">
        <v>110</v>
      </c>
      <c r="AE74" s="131">
        <v>170.9</v>
      </c>
      <c r="AF74" s="134">
        <v>94</v>
      </c>
      <c r="AG74" s="131">
        <v>167.1</v>
      </c>
      <c r="AH74" s="134">
        <v>48</v>
      </c>
      <c r="AI74" s="131">
        <v>60.8</v>
      </c>
      <c r="AJ74" s="134">
        <v>57</v>
      </c>
      <c r="AK74" s="131">
        <v>160.69999999999999</v>
      </c>
      <c r="AL74" s="118">
        <v>46</v>
      </c>
      <c r="AM74" s="129">
        <v>131.6</v>
      </c>
      <c r="AN74" s="118">
        <v>53</v>
      </c>
      <c r="AO74" s="129">
        <v>99.8</v>
      </c>
      <c r="AP74" s="118">
        <v>32</v>
      </c>
      <c r="AQ74" s="129">
        <v>63.8</v>
      </c>
      <c r="AR74" s="118">
        <v>43</v>
      </c>
      <c r="AS74" s="129">
        <v>237.374</v>
      </c>
      <c r="AT74" s="21">
        <v>24</v>
      </c>
      <c r="AU74" s="129">
        <v>143.096</v>
      </c>
      <c r="AV74" s="21">
        <v>21</v>
      </c>
      <c r="AW74" s="129">
        <v>131.126</v>
      </c>
      <c r="AX74" s="21">
        <v>18</v>
      </c>
      <c r="AY74" s="129">
        <v>175.953</v>
      </c>
    </row>
    <row r="75" spans="1:51" ht="24.75" customHeight="1" x14ac:dyDescent="0.25">
      <c r="A75" s="7" t="s">
        <v>252</v>
      </c>
      <c r="B75" s="133">
        <v>3944</v>
      </c>
      <c r="C75" s="124">
        <v>5197.8</v>
      </c>
      <c r="D75" s="133">
        <v>3689</v>
      </c>
      <c r="E75" s="130">
        <v>5395.8</v>
      </c>
      <c r="F75" s="133">
        <v>3125</v>
      </c>
      <c r="G75" s="130">
        <v>4614.2</v>
      </c>
      <c r="H75" s="133">
        <v>2433</v>
      </c>
      <c r="I75" s="130">
        <v>4472.1000000000004</v>
      </c>
      <c r="J75" s="133">
        <v>1987</v>
      </c>
      <c r="K75" s="130">
        <v>3427.9</v>
      </c>
      <c r="L75" s="133">
        <v>1709</v>
      </c>
      <c r="M75" s="130">
        <v>3477</v>
      </c>
      <c r="N75" s="133">
        <v>1513</v>
      </c>
      <c r="O75" s="124">
        <v>4014</v>
      </c>
      <c r="P75" s="133">
        <v>1522</v>
      </c>
      <c r="Q75" s="130">
        <v>4574.2</v>
      </c>
      <c r="R75" s="133">
        <v>1432</v>
      </c>
      <c r="S75" s="130">
        <v>4732.6000000000004</v>
      </c>
      <c r="T75" s="133">
        <v>1363</v>
      </c>
      <c r="U75" s="130">
        <v>4020.6</v>
      </c>
      <c r="V75" s="133">
        <v>1146</v>
      </c>
      <c r="W75" s="130">
        <v>3085.4</v>
      </c>
      <c r="X75" s="133">
        <v>965</v>
      </c>
      <c r="Y75" s="130">
        <v>3177.2</v>
      </c>
      <c r="Z75" s="133">
        <v>946</v>
      </c>
      <c r="AA75" s="130">
        <v>3500.3</v>
      </c>
      <c r="AB75" s="133">
        <v>864</v>
      </c>
      <c r="AC75" s="130">
        <v>4582.8</v>
      </c>
      <c r="AD75" s="133">
        <v>956</v>
      </c>
      <c r="AE75" s="130">
        <v>5033.5</v>
      </c>
      <c r="AF75" s="133">
        <v>752</v>
      </c>
      <c r="AG75" s="130">
        <v>4078.5</v>
      </c>
      <c r="AH75" s="133">
        <v>624</v>
      </c>
      <c r="AI75" s="130">
        <v>3815.1</v>
      </c>
      <c r="AJ75" s="133">
        <v>570</v>
      </c>
      <c r="AK75" s="130">
        <v>3400.1</v>
      </c>
      <c r="AL75" s="120">
        <v>492</v>
      </c>
      <c r="AM75" s="123">
        <v>3471.8</v>
      </c>
      <c r="AN75" s="120">
        <v>631</v>
      </c>
      <c r="AO75" s="123">
        <v>4110.1000000000004</v>
      </c>
      <c r="AP75" s="120">
        <v>751</v>
      </c>
      <c r="AQ75" s="123">
        <v>5684.9</v>
      </c>
      <c r="AR75" s="120">
        <v>962</v>
      </c>
      <c r="AS75" s="123">
        <v>8595.1350000000002</v>
      </c>
      <c r="AT75" s="22">
        <v>1041</v>
      </c>
      <c r="AU75" s="123">
        <v>6299.93</v>
      </c>
      <c r="AV75" s="22">
        <v>1362</v>
      </c>
      <c r="AW75" s="123">
        <v>9742.8860000000004</v>
      </c>
      <c r="AX75" s="22">
        <v>1626</v>
      </c>
      <c r="AY75" s="123">
        <v>11073.019</v>
      </c>
    </row>
    <row r="76" spans="1:51" x14ac:dyDescent="0.25">
      <c r="A76" s="72" t="s">
        <v>60</v>
      </c>
      <c r="B76" s="134">
        <v>605</v>
      </c>
      <c r="C76" s="122">
        <v>342.4</v>
      </c>
      <c r="D76" s="134">
        <v>527</v>
      </c>
      <c r="E76" s="122">
        <v>298.89999999999998</v>
      </c>
      <c r="F76" s="134">
        <v>410</v>
      </c>
      <c r="G76" s="131">
        <v>243</v>
      </c>
      <c r="H76" s="134">
        <v>272</v>
      </c>
      <c r="I76" s="131">
        <v>281.7</v>
      </c>
      <c r="J76" s="134">
        <v>171</v>
      </c>
      <c r="K76" s="131">
        <v>208.2</v>
      </c>
      <c r="L76" s="134">
        <v>129</v>
      </c>
      <c r="M76" s="131">
        <v>218</v>
      </c>
      <c r="N76" s="134">
        <v>103</v>
      </c>
      <c r="O76" s="122">
        <v>242</v>
      </c>
      <c r="P76" s="134">
        <v>85</v>
      </c>
      <c r="Q76" s="131">
        <v>263.7</v>
      </c>
      <c r="R76" s="134">
        <v>79</v>
      </c>
      <c r="S76" s="131">
        <v>331.6</v>
      </c>
      <c r="T76" s="134">
        <v>75</v>
      </c>
      <c r="U76" s="131">
        <v>270.10000000000002</v>
      </c>
      <c r="V76" s="134">
        <v>57</v>
      </c>
      <c r="W76" s="131">
        <v>209.1</v>
      </c>
      <c r="X76" s="134">
        <v>76</v>
      </c>
      <c r="Y76" s="131">
        <v>272.89999999999998</v>
      </c>
      <c r="Z76" s="134">
        <v>66</v>
      </c>
      <c r="AA76" s="131">
        <v>267.39999999999998</v>
      </c>
      <c r="AB76" s="134">
        <v>64</v>
      </c>
      <c r="AC76" s="131">
        <v>303.2</v>
      </c>
      <c r="AD76" s="134">
        <v>87</v>
      </c>
      <c r="AE76" s="131">
        <v>295.5</v>
      </c>
      <c r="AF76" s="134">
        <v>77</v>
      </c>
      <c r="AG76" s="131">
        <v>327.60000000000002</v>
      </c>
      <c r="AH76" s="134">
        <v>72</v>
      </c>
      <c r="AI76" s="131">
        <v>286.5</v>
      </c>
      <c r="AJ76" s="134">
        <v>54</v>
      </c>
      <c r="AK76" s="131">
        <v>248.8</v>
      </c>
      <c r="AL76" s="118">
        <v>40</v>
      </c>
      <c r="AM76" s="129">
        <v>153.69999999999999</v>
      </c>
      <c r="AN76" s="118">
        <v>41</v>
      </c>
      <c r="AO76" s="129">
        <v>151</v>
      </c>
      <c r="AP76" s="118">
        <v>40</v>
      </c>
      <c r="AQ76" s="129">
        <v>204.5</v>
      </c>
      <c r="AR76" s="118">
        <v>44</v>
      </c>
      <c r="AS76" s="129">
        <v>230.12899999999999</v>
      </c>
      <c r="AT76" s="21">
        <v>47</v>
      </c>
      <c r="AU76" s="129">
        <v>255.94499999999999</v>
      </c>
      <c r="AV76" s="21">
        <v>61</v>
      </c>
      <c r="AW76" s="129">
        <v>364.74700000000001</v>
      </c>
      <c r="AX76" s="21">
        <v>80</v>
      </c>
      <c r="AY76" s="129">
        <v>574.67899999999997</v>
      </c>
    </row>
    <row r="77" spans="1:51" x14ac:dyDescent="0.25">
      <c r="A77" s="72" t="s">
        <v>61</v>
      </c>
      <c r="B77" s="134">
        <v>870</v>
      </c>
      <c r="C77" s="122">
        <v>1265</v>
      </c>
      <c r="D77" s="134">
        <v>758</v>
      </c>
      <c r="E77" s="131">
        <v>1192.7</v>
      </c>
      <c r="F77" s="134">
        <v>697</v>
      </c>
      <c r="G77" s="131">
        <v>1155.2</v>
      </c>
      <c r="H77" s="134">
        <v>569</v>
      </c>
      <c r="I77" s="131">
        <v>1027.2</v>
      </c>
      <c r="J77" s="134">
        <v>508</v>
      </c>
      <c r="K77" s="131">
        <v>1166.0999999999999</v>
      </c>
      <c r="L77" s="134">
        <v>425</v>
      </c>
      <c r="M77" s="131">
        <v>1016</v>
      </c>
      <c r="N77" s="134">
        <v>401</v>
      </c>
      <c r="O77" s="122">
        <v>1245</v>
      </c>
      <c r="P77" s="134">
        <v>435</v>
      </c>
      <c r="Q77" s="131">
        <v>1691</v>
      </c>
      <c r="R77" s="134">
        <v>440</v>
      </c>
      <c r="S77" s="131">
        <v>1558.6</v>
      </c>
      <c r="T77" s="134">
        <v>374</v>
      </c>
      <c r="U77" s="131">
        <v>1450.5</v>
      </c>
      <c r="V77" s="134">
        <v>293</v>
      </c>
      <c r="W77" s="131">
        <v>808.4</v>
      </c>
      <c r="X77" s="134">
        <v>309</v>
      </c>
      <c r="Y77" s="131">
        <v>865</v>
      </c>
      <c r="Z77" s="134">
        <v>292</v>
      </c>
      <c r="AA77" s="131">
        <v>1102.5</v>
      </c>
      <c r="AB77" s="134">
        <v>232</v>
      </c>
      <c r="AC77" s="131">
        <v>971.7</v>
      </c>
      <c r="AD77" s="134">
        <v>319</v>
      </c>
      <c r="AE77" s="131">
        <v>1380.3</v>
      </c>
      <c r="AF77" s="134">
        <v>261</v>
      </c>
      <c r="AG77" s="131">
        <v>1206.2</v>
      </c>
      <c r="AH77" s="134">
        <v>145</v>
      </c>
      <c r="AI77" s="131">
        <v>1437.8</v>
      </c>
      <c r="AJ77" s="134">
        <v>122</v>
      </c>
      <c r="AK77" s="131">
        <v>868.4</v>
      </c>
      <c r="AL77" s="118">
        <v>158</v>
      </c>
      <c r="AM77" s="129">
        <v>1383</v>
      </c>
      <c r="AN77" s="118">
        <v>220</v>
      </c>
      <c r="AO77" s="129">
        <v>1363.9</v>
      </c>
      <c r="AP77" s="118">
        <v>222</v>
      </c>
      <c r="AQ77" s="129">
        <v>1224.4000000000001</v>
      </c>
      <c r="AR77" s="118">
        <v>352</v>
      </c>
      <c r="AS77" s="129">
        <v>2494.2869999999998</v>
      </c>
      <c r="AT77" s="21">
        <v>277</v>
      </c>
      <c r="AU77" s="129">
        <v>2352.7179999999998</v>
      </c>
      <c r="AV77" s="21">
        <v>320</v>
      </c>
      <c r="AW77" s="129">
        <v>3225.4929999999999</v>
      </c>
      <c r="AX77" s="21">
        <v>348</v>
      </c>
      <c r="AY77" s="129">
        <v>3744.6390000000001</v>
      </c>
    </row>
    <row r="78" spans="1:51" x14ac:dyDescent="0.25">
      <c r="A78" s="72" t="s">
        <v>62</v>
      </c>
      <c r="B78" s="134">
        <v>1171</v>
      </c>
      <c r="C78" s="122">
        <v>2116.5</v>
      </c>
      <c r="D78" s="134">
        <v>1363</v>
      </c>
      <c r="E78" s="131">
        <v>2601</v>
      </c>
      <c r="F78" s="134">
        <v>1215</v>
      </c>
      <c r="G78" s="131">
        <v>2099.8000000000002</v>
      </c>
      <c r="H78" s="134">
        <v>971</v>
      </c>
      <c r="I78" s="131">
        <v>2327.4</v>
      </c>
      <c r="J78" s="134">
        <v>857</v>
      </c>
      <c r="K78" s="131">
        <v>1513.3</v>
      </c>
      <c r="L78" s="134">
        <v>818</v>
      </c>
      <c r="M78" s="131">
        <v>1774</v>
      </c>
      <c r="N78" s="134">
        <v>749</v>
      </c>
      <c r="O78" s="131">
        <v>1860</v>
      </c>
      <c r="P78" s="134">
        <v>656</v>
      </c>
      <c r="Q78" s="131">
        <v>1820.7</v>
      </c>
      <c r="R78" s="134">
        <v>628</v>
      </c>
      <c r="S78" s="131">
        <v>2144.9</v>
      </c>
      <c r="T78" s="134">
        <v>694</v>
      </c>
      <c r="U78" s="131">
        <v>1756.5</v>
      </c>
      <c r="V78" s="134">
        <v>603</v>
      </c>
      <c r="W78" s="131">
        <v>1580.3</v>
      </c>
      <c r="X78" s="134">
        <v>391</v>
      </c>
      <c r="Y78" s="131">
        <v>1528.5</v>
      </c>
      <c r="Z78" s="134">
        <v>341</v>
      </c>
      <c r="AA78" s="131">
        <v>1650.5</v>
      </c>
      <c r="AB78" s="134">
        <v>370</v>
      </c>
      <c r="AC78" s="131">
        <v>2531.1</v>
      </c>
      <c r="AD78" s="134">
        <v>333</v>
      </c>
      <c r="AE78" s="131">
        <v>2106.5</v>
      </c>
      <c r="AF78" s="134">
        <v>253</v>
      </c>
      <c r="AG78" s="131">
        <v>1590</v>
      </c>
      <c r="AH78" s="134">
        <v>249</v>
      </c>
      <c r="AI78" s="131">
        <v>1587.5</v>
      </c>
      <c r="AJ78" s="134">
        <v>210</v>
      </c>
      <c r="AK78" s="131">
        <v>1687</v>
      </c>
      <c r="AL78" s="118">
        <v>215</v>
      </c>
      <c r="AM78" s="129">
        <v>1607.7</v>
      </c>
      <c r="AN78" s="118">
        <v>279</v>
      </c>
      <c r="AO78" s="129">
        <v>2455</v>
      </c>
      <c r="AP78" s="118">
        <v>277</v>
      </c>
      <c r="AQ78" s="129">
        <v>3973</v>
      </c>
      <c r="AR78" s="118">
        <v>308</v>
      </c>
      <c r="AS78" s="129">
        <v>4886.1589999999997</v>
      </c>
      <c r="AT78" s="21">
        <v>328</v>
      </c>
      <c r="AU78" s="129">
        <v>2691.5410000000002</v>
      </c>
      <c r="AV78" s="21">
        <v>564</v>
      </c>
      <c r="AW78" s="129">
        <v>5240.38</v>
      </c>
      <c r="AX78" s="21">
        <v>642</v>
      </c>
      <c r="AY78" s="129">
        <v>5799.8620000000001</v>
      </c>
    </row>
    <row r="79" spans="1:51" x14ac:dyDescent="0.25">
      <c r="A79" s="183" t="s">
        <v>63</v>
      </c>
      <c r="B79" s="134"/>
      <c r="C79" s="131"/>
      <c r="D79" s="136"/>
      <c r="E79" s="131"/>
      <c r="F79" s="136"/>
      <c r="G79" s="131"/>
      <c r="H79" s="136"/>
      <c r="I79" s="125"/>
      <c r="J79" s="136"/>
      <c r="K79" s="125"/>
      <c r="L79" s="136"/>
      <c r="M79" s="131"/>
      <c r="N79" s="136"/>
      <c r="O79" s="125"/>
      <c r="P79" s="136"/>
      <c r="Q79" s="131"/>
      <c r="R79" s="136"/>
      <c r="S79" s="131"/>
      <c r="T79" s="136"/>
      <c r="U79" s="125"/>
      <c r="V79" s="136"/>
      <c r="W79" s="125"/>
      <c r="X79" s="136"/>
      <c r="Y79" s="125"/>
      <c r="Z79" s="136"/>
      <c r="AA79" s="125"/>
      <c r="AB79" s="136"/>
      <c r="AC79" s="125"/>
      <c r="AD79" s="136"/>
      <c r="AE79" s="125"/>
      <c r="AF79" s="136"/>
      <c r="AG79" s="125"/>
      <c r="AH79" s="136"/>
      <c r="AI79" s="125"/>
      <c r="AJ79" s="136"/>
      <c r="AK79" s="125"/>
      <c r="AL79" s="118"/>
      <c r="AM79" s="129"/>
      <c r="AN79" s="118"/>
      <c r="AO79" s="129"/>
      <c r="AP79" s="118"/>
      <c r="AQ79" s="129"/>
      <c r="AR79" s="118"/>
      <c r="AS79" s="129"/>
      <c r="AT79" s="21"/>
      <c r="AU79" s="129"/>
      <c r="AV79" s="21"/>
      <c r="AW79" s="129"/>
      <c r="AX79" s="12"/>
      <c r="AY79" s="12"/>
    </row>
    <row r="80" spans="1:51" ht="19.5" x14ac:dyDescent="0.25">
      <c r="A80" s="172" t="s">
        <v>88</v>
      </c>
      <c r="B80" s="134">
        <v>453</v>
      </c>
      <c r="C80" s="122">
        <v>974.7</v>
      </c>
      <c r="D80" s="134">
        <v>716</v>
      </c>
      <c r="E80" s="131">
        <v>1505.1</v>
      </c>
      <c r="F80" s="134">
        <v>594</v>
      </c>
      <c r="G80" s="131">
        <v>1246.9000000000001</v>
      </c>
      <c r="H80" s="134">
        <v>432</v>
      </c>
      <c r="I80" s="131">
        <v>960.6</v>
      </c>
      <c r="J80" s="134">
        <v>355</v>
      </c>
      <c r="K80" s="131">
        <v>883.2</v>
      </c>
      <c r="L80" s="134">
        <v>434</v>
      </c>
      <c r="M80" s="131">
        <v>875</v>
      </c>
      <c r="N80" s="134">
        <v>409</v>
      </c>
      <c r="O80" s="131">
        <v>704</v>
      </c>
      <c r="P80" s="134">
        <v>333</v>
      </c>
      <c r="Q80" s="131">
        <v>816.4</v>
      </c>
      <c r="R80" s="134">
        <v>344</v>
      </c>
      <c r="S80" s="131">
        <v>1262</v>
      </c>
      <c r="T80" s="134">
        <v>403</v>
      </c>
      <c r="U80" s="131">
        <v>897</v>
      </c>
      <c r="V80" s="134">
        <v>375</v>
      </c>
      <c r="W80" s="131">
        <v>910.4</v>
      </c>
      <c r="X80" s="134">
        <v>169</v>
      </c>
      <c r="Y80" s="131">
        <v>790.4</v>
      </c>
      <c r="Z80" s="134">
        <v>108</v>
      </c>
      <c r="AA80" s="131">
        <v>588.4</v>
      </c>
      <c r="AB80" s="134">
        <v>160</v>
      </c>
      <c r="AC80" s="131">
        <v>1231.8</v>
      </c>
      <c r="AD80" s="134">
        <v>146</v>
      </c>
      <c r="AE80" s="131">
        <v>1008.5</v>
      </c>
      <c r="AF80" s="134">
        <v>97</v>
      </c>
      <c r="AG80" s="131">
        <v>580.29999999999995</v>
      </c>
      <c r="AH80" s="134">
        <v>89</v>
      </c>
      <c r="AI80" s="131">
        <v>529.4</v>
      </c>
      <c r="AJ80" s="134">
        <v>56</v>
      </c>
      <c r="AK80" s="131">
        <v>581.29999999999995</v>
      </c>
      <c r="AL80" s="118">
        <v>61</v>
      </c>
      <c r="AM80" s="129">
        <v>544.29999999999995</v>
      </c>
      <c r="AN80" s="118">
        <v>71</v>
      </c>
      <c r="AO80" s="129">
        <v>537.20000000000005</v>
      </c>
      <c r="AP80" s="118">
        <v>73</v>
      </c>
      <c r="AQ80" s="129">
        <v>1013.9</v>
      </c>
      <c r="AR80" s="118">
        <v>72</v>
      </c>
      <c r="AS80" s="129">
        <v>2911.201</v>
      </c>
      <c r="AT80" s="21">
        <v>51</v>
      </c>
      <c r="AU80" s="129">
        <v>485.82600000000002</v>
      </c>
      <c r="AV80" s="21">
        <v>57</v>
      </c>
      <c r="AW80" s="129">
        <v>562.26599999999996</v>
      </c>
      <c r="AX80" s="21">
        <v>139</v>
      </c>
      <c r="AY80" s="129">
        <v>718.63499999999999</v>
      </c>
    </row>
    <row r="81" spans="1:51" ht="19.5" x14ac:dyDescent="0.25">
      <c r="A81" s="172" t="s">
        <v>64</v>
      </c>
      <c r="B81" s="134">
        <v>368</v>
      </c>
      <c r="C81" s="122">
        <v>439.7</v>
      </c>
      <c r="D81" s="134">
        <v>351</v>
      </c>
      <c r="E81" s="131">
        <v>479.5</v>
      </c>
      <c r="F81" s="134">
        <v>365</v>
      </c>
      <c r="G81" s="131">
        <v>313.39999999999998</v>
      </c>
      <c r="H81" s="134">
        <v>298</v>
      </c>
      <c r="I81" s="131">
        <v>352.1</v>
      </c>
      <c r="J81" s="134">
        <v>305</v>
      </c>
      <c r="K81" s="131">
        <v>293</v>
      </c>
      <c r="L81" s="134">
        <v>214</v>
      </c>
      <c r="M81" s="131">
        <v>264</v>
      </c>
      <c r="N81" s="134">
        <v>172</v>
      </c>
      <c r="O81" s="131">
        <v>423</v>
      </c>
      <c r="P81" s="134">
        <v>140</v>
      </c>
      <c r="Q81" s="131">
        <v>343.9</v>
      </c>
      <c r="R81" s="134">
        <v>145</v>
      </c>
      <c r="S81" s="131">
        <v>218.6</v>
      </c>
      <c r="T81" s="134">
        <v>160</v>
      </c>
      <c r="U81" s="131">
        <v>191.9</v>
      </c>
      <c r="V81" s="134">
        <v>127</v>
      </c>
      <c r="W81" s="131">
        <v>167.6</v>
      </c>
      <c r="X81" s="134">
        <v>127</v>
      </c>
      <c r="Y81" s="131">
        <v>207.1</v>
      </c>
      <c r="Z81" s="134">
        <v>123</v>
      </c>
      <c r="AA81" s="131">
        <v>175.5</v>
      </c>
      <c r="AB81" s="134">
        <v>86</v>
      </c>
      <c r="AC81" s="131">
        <v>155.4</v>
      </c>
      <c r="AD81" s="134">
        <v>69</v>
      </c>
      <c r="AE81" s="131">
        <v>99.5</v>
      </c>
      <c r="AF81" s="134">
        <v>61</v>
      </c>
      <c r="AG81" s="131">
        <v>186.3</v>
      </c>
      <c r="AH81" s="134">
        <v>48</v>
      </c>
      <c r="AI81" s="131">
        <v>149.5</v>
      </c>
      <c r="AJ81" s="134">
        <v>31</v>
      </c>
      <c r="AK81" s="131">
        <v>62.9</v>
      </c>
      <c r="AL81" s="118">
        <v>42</v>
      </c>
      <c r="AM81" s="129">
        <v>105.1</v>
      </c>
      <c r="AN81" s="118">
        <v>68</v>
      </c>
      <c r="AO81" s="129">
        <v>191.1</v>
      </c>
      <c r="AP81" s="118">
        <v>44</v>
      </c>
      <c r="AQ81" s="129">
        <v>645.9</v>
      </c>
      <c r="AR81" s="118">
        <v>46</v>
      </c>
      <c r="AS81" s="129">
        <v>119.44</v>
      </c>
      <c r="AT81" s="21">
        <v>116</v>
      </c>
      <c r="AU81" s="129">
        <v>461.52199999999999</v>
      </c>
      <c r="AV81" s="21">
        <v>213</v>
      </c>
      <c r="AW81" s="129">
        <v>799.62800000000004</v>
      </c>
      <c r="AX81" s="21">
        <v>149</v>
      </c>
      <c r="AY81" s="129">
        <v>586.86099999999999</v>
      </c>
    </row>
    <row r="82" spans="1:51" ht="19.5" x14ac:dyDescent="0.25">
      <c r="A82" s="172" t="s">
        <v>87</v>
      </c>
      <c r="B82" s="134">
        <v>350</v>
      </c>
      <c r="C82" s="122">
        <v>702</v>
      </c>
      <c r="D82" s="134">
        <v>296</v>
      </c>
      <c r="E82" s="131">
        <v>616.40000000000009</v>
      </c>
      <c r="F82" s="134">
        <v>256</v>
      </c>
      <c r="G82" s="122">
        <v>539.5</v>
      </c>
      <c r="H82" s="134">
        <v>241</v>
      </c>
      <c r="I82" s="122">
        <v>1014.7000000000002</v>
      </c>
      <c r="J82" s="134">
        <v>197</v>
      </c>
      <c r="K82" s="122">
        <v>337.09999999999991</v>
      </c>
      <c r="L82" s="134">
        <v>170</v>
      </c>
      <c r="M82" s="131">
        <v>635</v>
      </c>
      <c r="N82" s="134">
        <v>168</v>
      </c>
      <c r="O82" s="122">
        <v>733</v>
      </c>
      <c r="P82" s="134">
        <v>183</v>
      </c>
      <c r="Q82" s="131">
        <v>660.4</v>
      </c>
      <c r="R82" s="134">
        <v>139</v>
      </c>
      <c r="S82" s="122">
        <v>664.3</v>
      </c>
      <c r="T82" s="134">
        <v>131</v>
      </c>
      <c r="U82" s="131">
        <v>667.6</v>
      </c>
      <c r="V82" s="134">
        <v>101</v>
      </c>
      <c r="W82" s="131">
        <v>502.3</v>
      </c>
      <c r="X82" s="134">
        <v>95</v>
      </c>
      <c r="Y82" s="131">
        <v>531.1</v>
      </c>
      <c r="Z82" s="134">
        <v>110</v>
      </c>
      <c r="AA82" s="131">
        <v>886.6</v>
      </c>
      <c r="AB82" s="134">
        <v>124</v>
      </c>
      <c r="AC82" s="131">
        <v>1143.9000000000001</v>
      </c>
      <c r="AD82" s="134">
        <v>118</v>
      </c>
      <c r="AE82" s="131">
        <v>998.4</v>
      </c>
      <c r="AF82" s="134">
        <v>95</v>
      </c>
      <c r="AG82" s="131">
        <v>823.5</v>
      </c>
      <c r="AH82" s="134">
        <v>112</v>
      </c>
      <c r="AI82" s="131">
        <v>908.7</v>
      </c>
      <c r="AJ82" s="134">
        <v>123</v>
      </c>
      <c r="AK82" s="131">
        <v>1042.8</v>
      </c>
      <c r="AL82" s="118">
        <v>112</v>
      </c>
      <c r="AM82" s="129">
        <v>958.4</v>
      </c>
      <c r="AN82" s="118">
        <v>140</v>
      </c>
      <c r="AO82" s="129">
        <v>1726.7</v>
      </c>
      <c r="AP82" s="118">
        <v>160</v>
      </c>
      <c r="AQ82" s="129">
        <v>2313.1999999999998</v>
      </c>
      <c r="AR82" s="118">
        <v>190</v>
      </c>
      <c r="AS82" s="129">
        <v>1855.518</v>
      </c>
      <c r="AT82" s="21">
        <v>161</v>
      </c>
      <c r="AU82" s="129">
        <v>1744.193</v>
      </c>
      <c r="AV82" s="21">
        <v>294</v>
      </c>
      <c r="AW82" s="129">
        <v>3878.4859999999999</v>
      </c>
      <c r="AX82" s="21">
        <v>354</v>
      </c>
      <c r="AY82" s="129">
        <v>4494.366</v>
      </c>
    </row>
    <row r="83" spans="1:51" x14ac:dyDescent="0.25">
      <c r="A83" s="72" t="s">
        <v>65</v>
      </c>
      <c r="B83" s="134">
        <v>1298</v>
      </c>
      <c r="C83" s="122">
        <v>1474</v>
      </c>
      <c r="D83" s="134">
        <v>1041</v>
      </c>
      <c r="E83" s="131">
        <v>1303.2</v>
      </c>
      <c r="F83" s="134">
        <v>803</v>
      </c>
      <c r="G83" s="131">
        <v>1116.2</v>
      </c>
      <c r="H83" s="134">
        <v>621</v>
      </c>
      <c r="I83" s="131">
        <v>835.8</v>
      </c>
      <c r="J83" s="134">
        <v>451</v>
      </c>
      <c r="K83" s="131">
        <v>540.4</v>
      </c>
      <c r="L83" s="134">
        <v>337</v>
      </c>
      <c r="M83" s="131">
        <v>469</v>
      </c>
      <c r="N83" s="134">
        <v>260</v>
      </c>
      <c r="O83" s="131">
        <v>667</v>
      </c>
      <c r="P83" s="134">
        <v>346</v>
      </c>
      <c r="Q83" s="131">
        <v>798.8</v>
      </c>
      <c r="R83" s="134">
        <v>285</v>
      </c>
      <c r="S83" s="131">
        <v>697.5</v>
      </c>
      <c r="T83" s="134">
        <v>220</v>
      </c>
      <c r="U83" s="131">
        <v>543.5</v>
      </c>
      <c r="V83" s="134">
        <v>193</v>
      </c>
      <c r="W83" s="131">
        <v>487.7</v>
      </c>
      <c r="X83" s="134">
        <v>189</v>
      </c>
      <c r="Y83" s="131">
        <v>510.8</v>
      </c>
      <c r="Z83" s="134">
        <v>247</v>
      </c>
      <c r="AA83" s="131">
        <v>479.9</v>
      </c>
      <c r="AB83" s="134">
        <v>198</v>
      </c>
      <c r="AC83" s="131">
        <v>776.7</v>
      </c>
      <c r="AD83" s="134">
        <v>217</v>
      </c>
      <c r="AE83" s="131">
        <v>1251.2</v>
      </c>
      <c r="AF83" s="134">
        <v>161</v>
      </c>
      <c r="AG83" s="131">
        <v>954.7</v>
      </c>
      <c r="AH83" s="134">
        <v>158</v>
      </c>
      <c r="AI83" s="131">
        <v>503.2</v>
      </c>
      <c r="AJ83" s="134">
        <v>184</v>
      </c>
      <c r="AK83" s="131">
        <v>595.9</v>
      </c>
      <c r="AL83" s="118">
        <v>79</v>
      </c>
      <c r="AM83" s="129">
        <v>327.39999999999998</v>
      </c>
      <c r="AN83" s="118">
        <v>91</v>
      </c>
      <c r="AO83" s="129">
        <v>140.30000000000001</v>
      </c>
      <c r="AP83" s="118">
        <v>212</v>
      </c>
      <c r="AQ83" s="129">
        <v>283</v>
      </c>
      <c r="AR83" s="118">
        <v>258</v>
      </c>
      <c r="AS83" s="129">
        <v>984.56</v>
      </c>
      <c r="AT83" s="21">
        <v>389</v>
      </c>
      <c r="AU83" s="129">
        <v>999.726</v>
      </c>
      <c r="AV83" s="21">
        <v>417</v>
      </c>
      <c r="AW83" s="129">
        <v>912.26599999999996</v>
      </c>
      <c r="AX83" s="21">
        <v>556</v>
      </c>
      <c r="AY83" s="129">
        <v>953.83900000000006</v>
      </c>
    </row>
    <row r="84" spans="1:51" ht="21" customHeight="1" x14ac:dyDescent="0.25">
      <c r="A84" s="7" t="s">
        <v>248</v>
      </c>
      <c r="B84" s="133">
        <v>6610</v>
      </c>
      <c r="C84" s="124">
        <v>6783</v>
      </c>
      <c r="D84" s="105">
        <v>6147</v>
      </c>
      <c r="E84" s="130">
        <v>6322.5</v>
      </c>
      <c r="F84" s="133">
        <v>5262</v>
      </c>
      <c r="G84" s="130">
        <v>5599.5</v>
      </c>
      <c r="H84" s="133">
        <v>4191</v>
      </c>
      <c r="I84" s="130">
        <v>4776</v>
      </c>
      <c r="J84" s="133">
        <v>3631</v>
      </c>
      <c r="K84" s="130">
        <v>5092.5</v>
      </c>
      <c r="L84" s="133">
        <v>3429</v>
      </c>
      <c r="M84" s="130">
        <v>5317</v>
      </c>
      <c r="N84" s="133">
        <v>2539</v>
      </c>
      <c r="O84" s="130">
        <v>4819</v>
      </c>
      <c r="P84" s="133">
        <v>2572</v>
      </c>
      <c r="Q84" s="130">
        <v>6746.9</v>
      </c>
      <c r="R84" s="133">
        <v>2115</v>
      </c>
      <c r="S84" s="130">
        <v>6246.4</v>
      </c>
      <c r="T84" s="133">
        <v>2010</v>
      </c>
      <c r="U84" s="130">
        <v>5631.2</v>
      </c>
      <c r="V84" s="133">
        <v>1735</v>
      </c>
      <c r="W84" s="130">
        <v>5010</v>
      </c>
      <c r="X84" s="133">
        <v>1598</v>
      </c>
      <c r="Y84" s="130">
        <v>4340</v>
      </c>
      <c r="Z84" s="133">
        <v>1731</v>
      </c>
      <c r="AA84" s="130">
        <v>4360.2</v>
      </c>
      <c r="AB84" s="133">
        <v>1764</v>
      </c>
      <c r="AC84" s="130">
        <v>4626.5</v>
      </c>
      <c r="AD84" s="133">
        <v>1864</v>
      </c>
      <c r="AE84" s="130">
        <v>5220.8999999999996</v>
      </c>
      <c r="AF84" s="133">
        <v>1515</v>
      </c>
      <c r="AG84" s="130">
        <v>4970.5</v>
      </c>
      <c r="AH84" s="133">
        <v>922</v>
      </c>
      <c r="AI84" s="130">
        <v>4697.1000000000004</v>
      </c>
      <c r="AJ84" s="133">
        <v>884</v>
      </c>
      <c r="AK84" s="130">
        <v>4608</v>
      </c>
      <c r="AL84" s="120">
        <v>1787</v>
      </c>
      <c r="AM84" s="123">
        <v>7990.8</v>
      </c>
      <c r="AN84" s="120">
        <v>1707</v>
      </c>
      <c r="AO84" s="123">
        <v>8273.2000000000007</v>
      </c>
      <c r="AP84" s="120">
        <v>1737</v>
      </c>
      <c r="AQ84" s="123">
        <v>7150.7</v>
      </c>
      <c r="AR84" s="120">
        <v>2012</v>
      </c>
      <c r="AS84" s="123">
        <v>7844.7330000000002</v>
      </c>
      <c r="AT84" s="22">
        <v>2490</v>
      </c>
      <c r="AU84" s="123">
        <v>9541.3289999999997</v>
      </c>
      <c r="AV84" s="22">
        <v>1698</v>
      </c>
      <c r="AW84" s="123">
        <v>8768.3510000000006</v>
      </c>
      <c r="AX84" s="22">
        <v>1465</v>
      </c>
      <c r="AY84" s="123">
        <v>8744.1749999999993</v>
      </c>
    </row>
    <row r="85" spans="1:51" x14ac:dyDescent="0.25">
      <c r="A85" s="72" t="s">
        <v>66</v>
      </c>
      <c r="B85" s="134">
        <v>50</v>
      </c>
      <c r="C85" s="122">
        <v>27.7</v>
      </c>
      <c r="D85" s="134">
        <v>55</v>
      </c>
      <c r="E85" s="131">
        <v>18.7</v>
      </c>
      <c r="F85" s="134">
        <v>50</v>
      </c>
      <c r="G85" s="131">
        <v>20.3</v>
      </c>
      <c r="H85" s="134">
        <v>27</v>
      </c>
      <c r="I85" s="131">
        <v>25.5</v>
      </c>
      <c r="J85" s="134">
        <v>303</v>
      </c>
      <c r="K85" s="131">
        <v>58.6</v>
      </c>
      <c r="L85" s="134">
        <v>348</v>
      </c>
      <c r="M85" s="131">
        <v>39</v>
      </c>
      <c r="N85" s="134">
        <v>144</v>
      </c>
      <c r="O85" s="131">
        <v>4</v>
      </c>
      <c r="P85" s="134">
        <v>38</v>
      </c>
      <c r="Q85" s="131">
        <v>25.2</v>
      </c>
      <c r="R85" s="134">
        <v>49</v>
      </c>
      <c r="S85" s="131">
        <v>16.7</v>
      </c>
      <c r="T85" s="134">
        <v>28</v>
      </c>
      <c r="U85" s="131">
        <v>3.2</v>
      </c>
      <c r="V85" s="134">
        <v>29</v>
      </c>
      <c r="W85" s="131">
        <v>15.3</v>
      </c>
      <c r="X85" s="134">
        <v>19</v>
      </c>
      <c r="Y85" s="131">
        <v>9.6999999999999993</v>
      </c>
      <c r="Z85" s="134">
        <v>20</v>
      </c>
      <c r="AA85" s="131">
        <v>8.3000000000000007</v>
      </c>
      <c r="AB85" s="134">
        <v>15</v>
      </c>
      <c r="AC85" s="131">
        <v>23</v>
      </c>
      <c r="AD85" s="134">
        <v>6</v>
      </c>
      <c r="AE85" s="131">
        <v>6.7</v>
      </c>
      <c r="AF85" s="134">
        <v>6</v>
      </c>
      <c r="AG85" s="131">
        <v>14.9</v>
      </c>
      <c r="AH85" s="134">
        <v>6</v>
      </c>
      <c r="AI85" s="131">
        <v>16.100000000000001</v>
      </c>
      <c r="AJ85" s="134">
        <v>5</v>
      </c>
      <c r="AK85" s="131">
        <v>13.6</v>
      </c>
      <c r="AL85" s="118">
        <v>10</v>
      </c>
      <c r="AM85" s="129">
        <v>26.7</v>
      </c>
      <c r="AN85" s="118">
        <v>9</v>
      </c>
      <c r="AO85" s="129">
        <v>9.4</v>
      </c>
      <c r="AP85" s="118">
        <v>7</v>
      </c>
      <c r="AQ85" s="129">
        <v>17</v>
      </c>
      <c r="AR85" s="118">
        <v>7</v>
      </c>
      <c r="AS85" s="129">
        <v>18.233000000000001</v>
      </c>
      <c r="AT85" s="21">
        <v>14</v>
      </c>
      <c r="AU85" s="129">
        <v>31</v>
      </c>
      <c r="AV85" s="21">
        <v>17</v>
      </c>
      <c r="AW85" s="129">
        <v>70.233999999999995</v>
      </c>
      <c r="AX85" s="21">
        <v>17</v>
      </c>
      <c r="AY85" s="129">
        <v>76.016000000000005</v>
      </c>
    </row>
    <row r="86" spans="1:51" x14ac:dyDescent="0.25">
      <c r="A86" s="72" t="s">
        <v>68</v>
      </c>
      <c r="B86" s="134">
        <v>153</v>
      </c>
      <c r="C86" s="122">
        <v>86</v>
      </c>
      <c r="D86" s="134">
        <v>118</v>
      </c>
      <c r="E86" s="131">
        <v>38.9</v>
      </c>
      <c r="F86" s="134">
        <v>73</v>
      </c>
      <c r="G86" s="131">
        <v>27.6</v>
      </c>
      <c r="H86" s="134">
        <v>66</v>
      </c>
      <c r="I86" s="131">
        <v>11.3</v>
      </c>
      <c r="J86" s="134">
        <v>26</v>
      </c>
      <c r="K86" s="131">
        <v>23.6</v>
      </c>
      <c r="L86" s="134">
        <v>21</v>
      </c>
      <c r="M86" s="131">
        <v>15</v>
      </c>
      <c r="N86" s="134">
        <v>22</v>
      </c>
      <c r="O86" s="131">
        <v>16</v>
      </c>
      <c r="P86" s="134">
        <v>21</v>
      </c>
      <c r="Q86" s="131">
        <v>13.3</v>
      </c>
      <c r="R86" s="134">
        <v>12</v>
      </c>
      <c r="S86" s="131">
        <v>15.7</v>
      </c>
      <c r="T86" s="134">
        <v>10</v>
      </c>
      <c r="U86" s="131">
        <v>17.2</v>
      </c>
      <c r="V86" s="134">
        <v>7</v>
      </c>
      <c r="W86" s="131">
        <v>6.9</v>
      </c>
      <c r="X86" s="134">
        <v>6</v>
      </c>
      <c r="Y86" s="131">
        <v>6.8</v>
      </c>
      <c r="Z86" s="133">
        <v>9</v>
      </c>
      <c r="AA86" s="131">
        <v>1.6</v>
      </c>
      <c r="AB86" s="134">
        <v>32</v>
      </c>
      <c r="AC86" s="131">
        <v>13.8</v>
      </c>
      <c r="AD86" s="134">
        <v>473</v>
      </c>
      <c r="AE86" s="131">
        <v>35.700000000000003</v>
      </c>
      <c r="AF86" s="134">
        <v>172</v>
      </c>
      <c r="AG86" s="131">
        <v>18.8</v>
      </c>
      <c r="AH86" s="134">
        <v>28</v>
      </c>
      <c r="AI86" s="131">
        <v>1.5</v>
      </c>
      <c r="AJ86" s="134">
        <v>30</v>
      </c>
      <c r="AK86" s="131">
        <v>7.5</v>
      </c>
      <c r="AL86" s="118">
        <v>10</v>
      </c>
      <c r="AM86" s="129">
        <v>8.6999999999999993</v>
      </c>
      <c r="AN86" s="118">
        <v>5</v>
      </c>
      <c r="AO86" s="129">
        <v>125</v>
      </c>
      <c r="AP86" s="118">
        <v>16</v>
      </c>
      <c r="AQ86" s="129">
        <v>11.1</v>
      </c>
      <c r="AR86" s="118">
        <v>15</v>
      </c>
      <c r="AS86" s="129">
        <v>28.306999999999999</v>
      </c>
      <c r="AT86" s="21">
        <v>23</v>
      </c>
      <c r="AU86" s="129">
        <v>47.537999999999997</v>
      </c>
      <c r="AV86" s="21">
        <v>35</v>
      </c>
      <c r="AW86" s="129">
        <v>126.238</v>
      </c>
      <c r="AX86" s="21">
        <v>60</v>
      </c>
      <c r="AY86" s="129">
        <v>207.44800000000001</v>
      </c>
    </row>
    <row r="87" spans="1:51" x14ac:dyDescent="0.25">
      <c r="A87" s="72" t="s">
        <v>69</v>
      </c>
      <c r="B87" s="134">
        <v>144</v>
      </c>
      <c r="C87" s="122">
        <v>142</v>
      </c>
      <c r="D87" s="134">
        <v>153</v>
      </c>
      <c r="E87" s="131">
        <v>130.30000000000001</v>
      </c>
      <c r="F87" s="134">
        <v>101</v>
      </c>
      <c r="G87" s="131">
        <v>130.9</v>
      </c>
      <c r="H87" s="134">
        <v>54</v>
      </c>
      <c r="I87" s="131">
        <v>135.30000000000001</v>
      </c>
      <c r="J87" s="134">
        <v>20</v>
      </c>
      <c r="K87" s="131">
        <v>113.8</v>
      </c>
      <c r="L87" s="134">
        <v>29</v>
      </c>
      <c r="M87" s="131">
        <v>118</v>
      </c>
      <c r="N87" s="134">
        <v>29</v>
      </c>
      <c r="O87" s="131">
        <v>152</v>
      </c>
      <c r="P87" s="134">
        <v>31</v>
      </c>
      <c r="Q87" s="137">
        <v>127.3</v>
      </c>
      <c r="R87" s="134">
        <v>20</v>
      </c>
      <c r="S87" s="131">
        <v>114.2</v>
      </c>
      <c r="T87" s="134">
        <v>21</v>
      </c>
      <c r="U87" s="131">
        <v>80.900000000000006</v>
      </c>
      <c r="V87" s="134">
        <v>42</v>
      </c>
      <c r="W87" s="131">
        <v>87.7</v>
      </c>
      <c r="X87" s="134">
        <v>16</v>
      </c>
      <c r="Y87" s="131">
        <v>88.7</v>
      </c>
      <c r="Z87" s="134">
        <v>36</v>
      </c>
      <c r="AA87" s="131">
        <v>93.6</v>
      </c>
      <c r="AB87" s="134">
        <v>18</v>
      </c>
      <c r="AC87" s="131">
        <v>81.7</v>
      </c>
      <c r="AD87" s="134">
        <v>25</v>
      </c>
      <c r="AE87" s="131">
        <v>109</v>
      </c>
      <c r="AF87" s="134">
        <v>146</v>
      </c>
      <c r="AG87" s="131">
        <v>91.8</v>
      </c>
      <c r="AH87" s="134">
        <v>30</v>
      </c>
      <c r="AI87" s="131">
        <v>62</v>
      </c>
      <c r="AJ87" s="134">
        <v>14</v>
      </c>
      <c r="AK87" s="131">
        <v>83.5</v>
      </c>
      <c r="AL87" s="118">
        <v>29</v>
      </c>
      <c r="AM87" s="129">
        <v>142.6</v>
      </c>
      <c r="AN87" s="118">
        <v>21</v>
      </c>
      <c r="AO87" s="129">
        <v>141.5</v>
      </c>
      <c r="AP87" s="118">
        <v>27</v>
      </c>
      <c r="AQ87" s="129">
        <v>143.80000000000001</v>
      </c>
      <c r="AR87" s="118">
        <v>38</v>
      </c>
      <c r="AS87" s="129">
        <v>211.09800000000001</v>
      </c>
      <c r="AT87" s="21">
        <v>50</v>
      </c>
      <c r="AU87" s="129">
        <v>349.988</v>
      </c>
      <c r="AV87" s="21">
        <v>62</v>
      </c>
      <c r="AW87" s="129">
        <v>332.09800000000001</v>
      </c>
      <c r="AX87" s="21">
        <v>61</v>
      </c>
      <c r="AY87" s="129">
        <v>377.89100000000002</v>
      </c>
    </row>
    <row r="88" spans="1:51" x14ac:dyDescent="0.25">
      <c r="A88" s="72" t="s">
        <v>70</v>
      </c>
      <c r="B88" s="134">
        <v>864</v>
      </c>
      <c r="C88" s="122">
        <v>576.20000000000005</v>
      </c>
      <c r="D88" s="134">
        <v>750</v>
      </c>
      <c r="E88" s="131">
        <v>558.4</v>
      </c>
      <c r="F88" s="134">
        <v>701</v>
      </c>
      <c r="G88" s="131">
        <v>471</v>
      </c>
      <c r="H88" s="134">
        <v>598</v>
      </c>
      <c r="I88" s="131">
        <v>528</v>
      </c>
      <c r="J88" s="134">
        <v>513</v>
      </c>
      <c r="K88" s="131">
        <v>666.3</v>
      </c>
      <c r="L88" s="134">
        <v>411</v>
      </c>
      <c r="M88" s="131">
        <v>653</v>
      </c>
      <c r="N88" s="134">
        <v>323</v>
      </c>
      <c r="O88" s="131">
        <v>586</v>
      </c>
      <c r="P88" s="134">
        <v>376</v>
      </c>
      <c r="Q88" s="137">
        <v>1120.5999999999999</v>
      </c>
      <c r="R88" s="134">
        <v>235</v>
      </c>
      <c r="S88" s="131">
        <v>1037.9000000000001</v>
      </c>
      <c r="T88" s="134">
        <v>289</v>
      </c>
      <c r="U88" s="131">
        <v>969.7</v>
      </c>
      <c r="V88" s="134">
        <v>188</v>
      </c>
      <c r="W88" s="131">
        <v>728.8</v>
      </c>
      <c r="X88" s="134">
        <v>160</v>
      </c>
      <c r="Y88" s="131">
        <v>728.9</v>
      </c>
      <c r="Z88" s="134">
        <v>138</v>
      </c>
      <c r="AA88" s="131">
        <v>730</v>
      </c>
      <c r="AB88" s="134">
        <v>109</v>
      </c>
      <c r="AC88" s="131">
        <v>508.2</v>
      </c>
      <c r="AD88" s="134">
        <v>91</v>
      </c>
      <c r="AE88" s="131">
        <v>299.60000000000002</v>
      </c>
      <c r="AF88" s="134">
        <v>58</v>
      </c>
      <c r="AG88" s="131">
        <v>256.10000000000002</v>
      </c>
      <c r="AH88" s="134">
        <v>109</v>
      </c>
      <c r="AI88" s="131">
        <v>244.4</v>
      </c>
      <c r="AJ88" s="134">
        <v>123</v>
      </c>
      <c r="AK88" s="131">
        <v>420.8</v>
      </c>
      <c r="AL88" s="118">
        <v>252</v>
      </c>
      <c r="AM88" s="129">
        <v>890</v>
      </c>
      <c r="AN88" s="118">
        <v>244</v>
      </c>
      <c r="AO88" s="129">
        <v>1024.0999999999999</v>
      </c>
      <c r="AP88" s="118">
        <v>178</v>
      </c>
      <c r="AQ88" s="129">
        <v>907.2</v>
      </c>
      <c r="AR88" s="118">
        <v>65</v>
      </c>
      <c r="AS88" s="129">
        <v>516.02700000000004</v>
      </c>
      <c r="AT88" s="21">
        <v>76</v>
      </c>
      <c r="AU88" s="129">
        <v>612.29899999999998</v>
      </c>
      <c r="AV88" s="21">
        <v>94</v>
      </c>
      <c r="AW88" s="129">
        <v>668.79899999999998</v>
      </c>
      <c r="AX88" s="21">
        <v>110</v>
      </c>
      <c r="AY88" s="129">
        <v>784.85199999999998</v>
      </c>
    </row>
    <row r="89" spans="1:51" x14ac:dyDescent="0.25">
      <c r="A89" s="72" t="s">
        <v>72</v>
      </c>
      <c r="B89" s="134">
        <v>1250</v>
      </c>
      <c r="C89" s="122">
        <v>1528</v>
      </c>
      <c r="D89" s="134">
        <v>1270</v>
      </c>
      <c r="E89" s="131">
        <v>1753.2</v>
      </c>
      <c r="F89" s="134">
        <v>1042</v>
      </c>
      <c r="G89" s="131">
        <v>1554.7</v>
      </c>
      <c r="H89" s="134">
        <v>934</v>
      </c>
      <c r="I89" s="131">
        <v>1420.1</v>
      </c>
      <c r="J89" s="134">
        <v>821</v>
      </c>
      <c r="K89" s="131">
        <v>1430.4</v>
      </c>
      <c r="L89" s="134">
        <v>682</v>
      </c>
      <c r="M89" s="131">
        <v>1434</v>
      </c>
      <c r="N89" s="134">
        <v>523</v>
      </c>
      <c r="O89" s="131">
        <v>1623</v>
      </c>
      <c r="P89" s="134">
        <v>599</v>
      </c>
      <c r="Q89" s="131">
        <v>2188.6</v>
      </c>
      <c r="R89" s="134">
        <v>477</v>
      </c>
      <c r="S89" s="131">
        <v>1914.3</v>
      </c>
      <c r="T89" s="134">
        <v>516</v>
      </c>
      <c r="U89" s="131">
        <v>1634.8</v>
      </c>
      <c r="V89" s="134">
        <v>448</v>
      </c>
      <c r="W89" s="131">
        <v>1503.2</v>
      </c>
      <c r="X89" s="134">
        <v>476</v>
      </c>
      <c r="Y89" s="131">
        <v>1408.7</v>
      </c>
      <c r="Z89" s="134">
        <v>524</v>
      </c>
      <c r="AA89" s="131">
        <v>1225.9000000000001</v>
      </c>
      <c r="AB89" s="134">
        <v>499</v>
      </c>
      <c r="AC89" s="131">
        <v>1129.7</v>
      </c>
      <c r="AD89" s="134">
        <v>411</v>
      </c>
      <c r="AE89" s="131">
        <v>1249</v>
      </c>
      <c r="AF89" s="134">
        <v>372</v>
      </c>
      <c r="AG89" s="131">
        <v>1441</v>
      </c>
      <c r="AH89" s="134">
        <v>223</v>
      </c>
      <c r="AI89" s="131">
        <v>1598.9</v>
      </c>
      <c r="AJ89" s="134">
        <v>182</v>
      </c>
      <c r="AK89" s="131">
        <v>1133.0999999999999</v>
      </c>
      <c r="AL89" s="118">
        <v>209</v>
      </c>
      <c r="AM89" s="129">
        <v>1223.8</v>
      </c>
      <c r="AN89" s="118">
        <v>224</v>
      </c>
      <c r="AO89" s="129">
        <v>1393.3</v>
      </c>
      <c r="AP89" s="118">
        <v>194</v>
      </c>
      <c r="AQ89" s="129">
        <v>1064.5</v>
      </c>
      <c r="AR89" s="118">
        <v>224</v>
      </c>
      <c r="AS89" s="129">
        <v>1587.172</v>
      </c>
      <c r="AT89" s="21">
        <v>316</v>
      </c>
      <c r="AU89" s="129">
        <v>1733.634</v>
      </c>
      <c r="AV89" s="21">
        <v>207</v>
      </c>
      <c r="AW89" s="129">
        <v>1790.5350000000001</v>
      </c>
      <c r="AX89" s="21">
        <v>199</v>
      </c>
      <c r="AY89" s="129">
        <v>1703.2719999999999</v>
      </c>
    </row>
    <row r="90" spans="1:51" x14ac:dyDescent="0.25">
      <c r="A90" s="72" t="s">
        <v>73</v>
      </c>
      <c r="B90" s="134">
        <v>958</v>
      </c>
      <c r="C90" s="122">
        <v>649.4</v>
      </c>
      <c r="D90" s="134">
        <v>849</v>
      </c>
      <c r="E90" s="131">
        <v>602.79999999999995</v>
      </c>
      <c r="F90" s="134">
        <v>654</v>
      </c>
      <c r="G90" s="131">
        <v>444.8</v>
      </c>
      <c r="H90" s="134">
        <v>394</v>
      </c>
      <c r="I90" s="122">
        <v>312.39999999999998</v>
      </c>
      <c r="J90" s="134">
        <v>297</v>
      </c>
      <c r="K90" s="131">
        <v>428.2</v>
      </c>
      <c r="L90" s="134">
        <v>350</v>
      </c>
      <c r="M90" s="131">
        <v>414</v>
      </c>
      <c r="N90" s="134">
        <v>315</v>
      </c>
      <c r="O90" s="131">
        <v>319</v>
      </c>
      <c r="P90" s="134">
        <v>278</v>
      </c>
      <c r="Q90" s="131">
        <v>625.4</v>
      </c>
      <c r="R90" s="134">
        <v>260</v>
      </c>
      <c r="S90" s="131">
        <v>443.7</v>
      </c>
      <c r="T90" s="134">
        <v>334</v>
      </c>
      <c r="U90" s="131">
        <v>653.9</v>
      </c>
      <c r="V90" s="134">
        <v>305</v>
      </c>
      <c r="W90" s="131">
        <v>552.1</v>
      </c>
      <c r="X90" s="134">
        <v>266</v>
      </c>
      <c r="Y90" s="131">
        <v>441.7</v>
      </c>
      <c r="Z90" s="134">
        <v>230</v>
      </c>
      <c r="AA90" s="131">
        <v>364.1</v>
      </c>
      <c r="AB90" s="134">
        <v>221</v>
      </c>
      <c r="AC90" s="131">
        <v>375.7</v>
      </c>
      <c r="AD90" s="134">
        <v>178</v>
      </c>
      <c r="AE90" s="131">
        <v>357.1</v>
      </c>
      <c r="AF90" s="134">
        <v>301</v>
      </c>
      <c r="AG90" s="131">
        <v>550.9</v>
      </c>
      <c r="AH90" s="134">
        <v>106</v>
      </c>
      <c r="AI90" s="131">
        <v>320.2</v>
      </c>
      <c r="AJ90" s="134">
        <v>81</v>
      </c>
      <c r="AK90" s="131">
        <v>251.3</v>
      </c>
      <c r="AL90" s="118">
        <v>97</v>
      </c>
      <c r="AM90" s="129">
        <v>421.2</v>
      </c>
      <c r="AN90" s="118">
        <v>124</v>
      </c>
      <c r="AO90" s="129">
        <v>680.6</v>
      </c>
      <c r="AP90" s="118">
        <v>109</v>
      </c>
      <c r="AQ90" s="129">
        <v>378.3</v>
      </c>
      <c r="AR90" s="118">
        <v>299</v>
      </c>
      <c r="AS90" s="129">
        <v>771.64499999999998</v>
      </c>
      <c r="AT90" s="21">
        <v>285</v>
      </c>
      <c r="AU90" s="129">
        <v>819.65700000000004</v>
      </c>
      <c r="AV90" s="21">
        <v>251</v>
      </c>
      <c r="AW90" s="129">
        <v>832.70100000000002</v>
      </c>
      <c r="AX90" s="21">
        <v>284</v>
      </c>
      <c r="AY90" s="129">
        <v>927.41</v>
      </c>
    </row>
    <row r="91" spans="1:51" x14ac:dyDescent="0.25">
      <c r="A91" s="72" t="s">
        <v>74</v>
      </c>
      <c r="B91" s="134">
        <v>1276</v>
      </c>
      <c r="C91" s="122">
        <v>1573.7</v>
      </c>
      <c r="D91" s="134">
        <v>1113</v>
      </c>
      <c r="E91" s="131">
        <v>1304.3</v>
      </c>
      <c r="F91" s="134">
        <v>931</v>
      </c>
      <c r="G91" s="131">
        <v>1195.5</v>
      </c>
      <c r="H91" s="134">
        <v>627</v>
      </c>
      <c r="I91" s="131">
        <v>683.3</v>
      </c>
      <c r="J91" s="134">
        <v>452</v>
      </c>
      <c r="K91" s="131">
        <v>568.5</v>
      </c>
      <c r="L91" s="134">
        <v>389</v>
      </c>
      <c r="M91" s="131">
        <v>507</v>
      </c>
      <c r="N91" s="134">
        <v>320</v>
      </c>
      <c r="O91" s="131">
        <v>652</v>
      </c>
      <c r="P91" s="134">
        <v>342</v>
      </c>
      <c r="Q91" s="131">
        <v>536.9</v>
      </c>
      <c r="R91" s="134">
        <v>338</v>
      </c>
      <c r="S91" s="131">
        <v>530.6</v>
      </c>
      <c r="T91" s="134">
        <v>226</v>
      </c>
      <c r="U91" s="131">
        <v>346</v>
      </c>
      <c r="V91" s="134">
        <v>179</v>
      </c>
      <c r="W91" s="131">
        <v>257.8</v>
      </c>
      <c r="X91" s="134">
        <v>88</v>
      </c>
      <c r="Y91" s="131">
        <v>250.6</v>
      </c>
      <c r="Z91" s="134">
        <v>126</v>
      </c>
      <c r="AA91" s="131">
        <v>431</v>
      </c>
      <c r="AB91" s="134">
        <v>167</v>
      </c>
      <c r="AC91" s="131">
        <v>618.5</v>
      </c>
      <c r="AD91" s="134">
        <v>156</v>
      </c>
      <c r="AE91" s="131">
        <v>612</v>
      </c>
      <c r="AF91" s="134">
        <v>126</v>
      </c>
      <c r="AG91" s="131">
        <v>492.1</v>
      </c>
      <c r="AH91" s="134">
        <v>98</v>
      </c>
      <c r="AI91" s="131">
        <v>451</v>
      </c>
      <c r="AJ91" s="134">
        <v>156</v>
      </c>
      <c r="AK91" s="131">
        <v>561.5</v>
      </c>
      <c r="AL91" s="118">
        <v>190</v>
      </c>
      <c r="AM91" s="129">
        <v>935.9</v>
      </c>
      <c r="AN91" s="118">
        <v>153</v>
      </c>
      <c r="AO91" s="129">
        <v>825.3</v>
      </c>
      <c r="AP91" s="118">
        <v>184</v>
      </c>
      <c r="AQ91" s="129">
        <v>795</v>
      </c>
      <c r="AR91" s="118">
        <v>170</v>
      </c>
      <c r="AS91" s="129">
        <v>799.75900000000001</v>
      </c>
      <c r="AT91" s="21">
        <v>178</v>
      </c>
      <c r="AU91" s="129">
        <v>787.81200000000001</v>
      </c>
      <c r="AV91" s="21">
        <v>202</v>
      </c>
      <c r="AW91" s="129">
        <v>841.09</v>
      </c>
      <c r="AX91" s="21">
        <v>149</v>
      </c>
      <c r="AY91" s="129">
        <v>869.83500000000004</v>
      </c>
    </row>
    <row r="92" spans="1:51" x14ac:dyDescent="0.25">
      <c r="A92" s="72" t="s">
        <v>75</v>
      </c>
      <c r="B92" s="134">
        <v>946</v>
      </c>
      <c r="C92" s="122">
        <v>1267.5999999999999</v>
      </c>
      <c r="D92" s="134">
        <v>951</v>
      </c>
      <c r="E92" s="131">
        <v>1169.5999999999999</v>
      </c>
      <c r="F92" s="134">
        <v>874</v>
      </c>
      <c r="G92" s="131">
        <v>900.7</v>
      </c>
      <c r="H92" s="134">
        <v>814</v>
      </c>
      <c r="I92" s="131">
        <v>802.7</v>
      </c>
      <c r="J92" s="134">
        <v>688</v>
      </c>
      <c r="K92" s="131">
        <v>627.70000000000005</v>
      </c>
      <c r="L92" s="134">
        <v>626</v>
      </c>
      <c r="M92" s="131">
        <v>820</v>
      </c>
      <c r="N92" s="134">
        <v>518</v>
      </c>
      <c r="O92" s="131">
        <v>816</v>
      </c>
      <c r="P92" s="134">
        <v>481</v>
      </c>
      <c r="Q92" s="131">
        <v>954</v>
      </c>
      <c r="R92" s="134">
        <v>436</v>
      </c>
      <c r="S92" s="131">
        <v>900.1</v>
      </c>
      <c r="T92" s="134">
        <v>344</v>
      </c>
      <c r="U92" s="131">
        <v>714.1</v>
      </c>
      <c r="V92" s="134">
        <v>339</v>
      </c>
      <c r="W92" s="131">
        <v>712.2</v>
      </c>
      <c r="X92" s="134">
        <v>282</v>
      </c>
      <c r="Y92" s="131">
        <v>573.79999999999995</v>
      </c>
      <c r="Z92" s="134">
        <v>168</v>
      </c>
      <c r="AA92" s="131">
        <v>171.4</v>
      </c>
      <c r="AB92" s="134">
        <v>377</v>
      </c>
      <c r="AC92" s="131">
        <v>962.4</v>
      </c>
      <c r="AD92" s="134">
        <v>261</v>
      </c>
      <c r="AE92" s="131">
        <v>1466</v>
      </c>
      <c r="AF92" s="134">
        <v>205</v>
      </c>
      <c r="AG92" s="131">
        <v>1225.0999999999999</v>
      </c>
      <c r="AH92" s="134">
        <v>233</v>
      </c>
      <c r="AI92" s="131">
        <v>1415.9</v>
      </c>
      <c r="AJ92" s="134">
        <v>227</v>
      </c>
      <c r="AK92" s="131">
        <v>1487.6</v>
      </c>
      <c r="AL92" s="118">
        <v>877</v>
      </c>
      <c r="AM92" s="129">
        <v>3303.9</v>
      </c>
      <c r="AN92" s="118">
        <v>826</v>
      </c>
      <c r="AO92" s="129">
        <v>3124.4</v>
      </c>
      <c r="AP92" s="118">
        <v>906</v>
      </c>
      <c r="AQ92" s="129">
        <v>2845</v>
      </c>
      <c r="AR92" s="118">
        <v>1121</v>
      </c>
      <c r="AS92" s="129">
        <v>3138.04</v>
      </c>
      <c r="AT92" s="21">
        <v>1436</v>
      </c>
      <c r="AU92" s="129">
        <v>3929.1959999999999</v>
      </c>
      <c r="AV92" s="21">
        <v>719</v>
      </c>
      <c r="AW92" s="129">
        <v>2993.4720000000002</v>
      </c>
      <c r="AX92" s="21">
        <v>468</v>
      </c>
      <c r="AY92" s="129">
        <v>2710.2730000000001</v>
      </c>
    </row>
    <row r="93" spans="1:51" x14ac:dyDescent="0.25">
      <c r="A93" s="72" t="s">
        <v>76</v>
      </c>
      <c r="B93" s="134">
        <v>674</v>
      </c>
      <c r="C93" s="122">
        <v>488</v>
      </c>
      <c r="D93" s="134">
        <v>638</v>
      </c>
      <c r="E93" s="131">
        <v>426</v>
      </c>
      <c r="F93" s="134">
        <v>630</v>
      </c>
      <c r="G93" s="131">
        <v>435.7</v>
      </c>
      <c r="H93" s="134">
        <v>505</v>
      </c>
      <c r="I93" s="131">
        <v>492.1</v>
      </c>
      <c r="J93" s="134">
        <v>404</v>
      </c>
      <c r="K93" s="131">
        <v>730.1</v>
      </c>
      <c r="L93" s="134">
        <v>481</v>
      </c>
      <c r="M93" s="131">
        <v>856</v>
      </c>
      <c r="N93" s="134">
        <v>264</v>
      </c>
      <c r="O93" s="131">
        <v>416</v>
      </c>
      <c r="P93" s="134">
        <v>305</v>
      </c>
      <c r="Q93" s="131">
        <v>720.3</v>
      </c>
      <c r="R93" s="134">
        <v>201</v>
      </c>
      <c r="S93" s="131">
        <v>863.8</v>
      </c>
      <c r="T93" s="134">
        <v>165</v>
      </c>
      <c r="U93" s="131">
        <v>826.8</v>
      </c>
      <c r="V93" s="134">
        <v>133</v>
      </c>
      <c r="W93" s="131">
        <v>756.4</v>
      </c>
      <c r="X93" s="134">
        <v>222</v>
      </c>
      <c r="Y93" s="131">
        <v>483.3</v>
      </c>
      <c r="Z93" s="134">
        <v>386</v>
      </c>
      <c r="AA93" s="131">
        <v>513.79999999999995</v>
      </c>
      <c r="AB93" s="134">
        <v>258</v>
      </c>
      <c r="AC93" s="131">
        <v>511.2</v>
      </c>
      <c r="AD93" s="134">
        <v>205</v>
      </c>
      <c r="AE93" s="131">
        <v>680.1</v>
      </c>
      <c r="AF93" s="134">
        <v>85</v>
      </c>
      <c r="AG93" s="131">
        <v>573.70000000000005</v>
      </c>
      <c r="AH93" s="134">
        <v>53</v>
      </c>
      <c r="AI93" s="131">
        <v>315.39999999999998</v>
      </c>
      <c r="AJ93" s="134">
        <v>44</v>
      </c>
      <c r="AK93" s="131">
        <v>312.89999999999998</v>
      </c>
      <c r="AL93" s="118">
        <v>48</v>
      </c>
      <c r="AM93" s="129">
        <v>385.5</v>
      </c>
      <c r="AN93" s="118">
        <v>48</v>
      </c>
      <c r="AO93" s="129">
        <v>369.1</v>
      </c>
      <c r="AP93" s="118">
        <v>50</v>
      </c>
      <c r="AQ93" s="129">
        <v>339</v>
      </c>
      <c r="AR93" s="118">
        <v>28</v>
      </c>
      <c r="AS93" s="129">
        <v>281.18400000000003</v>
      </c>
      <c r="AT93" s="21">
        <v>51</v>
      </c>
      <c r="AU93" s="129">
        <v>574.21199999999999</v>
      </c>
      <c r="AV93" s="21">
        <v>59</v>
      </c>
      <c r="AW93" s="129">
        <v>597.09299999999996</v>
      </c>
      <c r="AX93" s="21">
        <v>79</v>
      </c>
      <c r="AY93" s="129">
        <v>696.66700000000003</v>
      </c>
    </row>
    <row r="94" spans="1:51" x14ac:dyDescent="0.25">
      <c r="A94" s="72" t="s">
        <v>77</v>
      </c>
      <c r="B94" s="134">
        <v>295</v>
      </c>
      <c r="C94" s="122">
        <v>444.3</v>
      </c>
      <c r="D94" s="134">
        <v>250</v>
      </c>
      <c r="E94" s="131">
        <v>320.3</v>
      </c>
      <c r="F94" s="134">
        <v>206</v>
      </c>
      <c r="G94" s="131">
        <v>418.3</v>
      </c>
      <c r="H94" s="134">
        <v>172</v>
      </c>
      <c r="I94" s="131">
        <v>365.1</v>
      </c>
      <c r="J94" s="134">
        <v>107</v>
      </c>
      <c r="K94" s="131">
        <v>445.3</v>
      </c>
      <c r="L94" s="134">
        <v>92</v>
      </c>
      <c r="M94" s="131">
        <v>461</v>
      </c>
      <c r="N94" s="134">
        <v>81</v>
      </c>
      <c r="O94" s="131">
        <v>235</v>
      </c>
      <c r="P94" s="134">
        <v>101</v>
      </c>
      <c r="Q94" s="131">
        <v>435.3</v>
      </c>
      <c r="R94" s="134">
        <v>87</v>
      </c>
      <c r="S94" s="131">
        <v>409.4</v>
      </c>
      <c r="T94" s="134">
        <v>77</v>
      </c>
      <c r="U94" s="131">
        <v>384.6</v>
      </c>
      <c r="V94" s="134">
        <v>65</v>
      </c>
      <c r="W94" s="131">
        <v>389.6</v>
      </c>
      <c r="X94" s="134">
        <v>63</v>
      </c>
      <c r="Y94" s="131">
        <v>347.3</v>
      </c>
      <c r="Z94" s="134">
        <v>94</v>
      </c>
      <c r="AA94" s="131">
        <v>820.5</v>
      </c>
      <c r="AB94" s="134">
        <v>68</v>
      </c>
      <c r="AC94" s="131">
        <v>402.3</v>
      </c>
      <c r="AD94" s="134">
        <v>58</v>
      </c>
      <c r="AE94" s="131">
        <v>405.7</v>
      </c>
      <c r="AF94" s="134">
        <v>44</v>
      </c>
      <c r="AG94" s="131">
        <v>306.10000000000002</v>
      </c>
      <c r="AH94" s="134">
        <v>36</v>
      </c>
      <c r="AI94" s="131">
        <v>271.7</v>
      </c>
      <c r="AJ94" s="134">
        <v>22</v>
      </c>
      <c r="AK94" s="131">
        <v>336.2</v>
      </c>
      <c r="AL94" s="118">
        <v>65</v>
      </c>
      <c r="AM94" s="129">
        <v>652.4</v>
      </c>
      <c r="AN94" s="118">
        <v>53</v>
      </c>
      <c r="AO94" s="129">
        <v>580.5</v>
      </c>
      <c r="AP94" s="118">
        <v>66</v>
      </c>
      <c r="AQ94" s="129">
        <v>649.70000000000005</v>
      </c>
      <c r="AR94" s="118">
        <v>45</v>
      </c>
      <c r="AS94" s="129">
        <v>493.26799999999997</v>
      </c>
      <c r="AT94" s="21">
        <v>61</v>
      </c>
      <c r="AU94" s="129">
        <v>655.99300000000005</v>
      </c>
      <c r="AV94" s="21">
        <v>52</v>
      </c>
      <c r="AW94" s="129">
        <v>516.09100000000001</v>
      </c>
      <c r="AX94" s="21">
        <v>38</v>
      </c>
      <c r="AY94" s="129">
        <v>390.51100000000002</v>
      </c>
    </row>
    <row r="95" spans="1:51" ht="24" customHeight="1" x14ac:dyDescent="0.25">
      <c r="A95" s="7" t="s">
        <v>253</v>
      </c>
      <c r="B95" s="133">
        <v>2788</v>
      </c>
      <c r="C95" s="124">
        <v>3039</v>
      </c>
      <c r="D95" s="133">
        <v>2908</v>
      </c>
      <c r="E95" s="130">
        <v>2888.5</v>
      </c>
      <c r="F95" s="133">
        <v>2326</v>
      </c>
      <c r="G95" s="130">
        <v>2464.1</v>
      </c>
      <c r="H95" s="133">
        <v>1932</v>
      </c>
      <c r="I95" s="124">
        <v>2208.8000000000002</v>
      </c>
      <c r="J95" s="133">
        <v>1316</v>
      </c>
      <c r="K95" s="124">
        <v>2515.3000000000002</v>
      </c>
      <c r="L95" s="133">
        <v>1206</v>
      </c>
      <c r="M95" s="130">
        <v>2089</v>
      </c>
      <c r="N95" s="133">
        <v>1100</v>
      </c>
      <c r="O95" s="130">
        <v>1989</v>
      </c>
      <c r="P95" s="133">
        <v>1012</v>
      </c>
      <c r="Q95" s="130">
        <v>2093.9</v>
      </c>
      <c r="R95" s="133">
        <v>861</v>
      </c>
      <c r="S95" s="130">
        <v>1958.6</v>
      </c>
      <c r="T95" s="133">
        <v>675</v>
      </c>
      <c r="U95" s="130">
        <v>1679.7</v>
      </c>
      <c r="V95" s="133">
        <v>597</v>
      </c>
      <c r="W95" s="130">
        <v>1596</v>
      </c>
      <c r="X95" s="133">
        <v>642</v>
      </c>
      <c r="Y95" s="130">
        <v>1338</v>
      </c>
      <c r="Z95" s="133">
        <v>563</v>
      </c>
      <c r="AA95" s="130">
        <v>1555.8</v>
      </c>
      <c r="AB95" s="133">
        <v>529</v>
      </c>
      <c r="AC95" s="130">
        <v>1651.2</v>
      </c>
      <c r="AD95" s="133">
        <v>479</v>
      </c>
      <c r="AE95" s="130">
        <v>1538.6</v>
      </c>
      <c r="AF95" s="133">
        <v>411</v>
      </c>
      <c r="AG95" s="130">
        <v>1736.4</v>
      </c>
      <c r="AH95" s="133">
        <v>644</v>
      </c>
      <c r="AI95" s="130">
        <v>1869.2</v>
      </c>
      <c r="AJ95" s="133">
        <v>275</v>
      </c>
      <c r="AK95" s="130">
        <v>1296.5</v>
      </c>
      <c r="AL95" s="120">
        <v>277</v>
      </c>
      <c r="AM95" s="123">
        <v>1429.5</v>
      </c>
      <c r="AN95" s="120">
        <v>445</v>
      </c>
      <c r="AO95" s="123">
        <v>1911.2</v>
      </c>
      <c r="AP95" s="120">
        <v>425</v>
      </c>
      <c r="AQ95" s="123">
        <v>1919.5</v>
      </c>
      <c r="AR95" s="120">
        <v>456</v>
      </c>
      <c r="AS95" s="123">
        <v>2303.808</v>
      </c>
      <c r="AT95" s="22">
        <v>613</v>
      </c>
      <c r="AU95" s="123">
        <v>2743.1559999999999</v>
      </c>
      <c r="AV95" s="22">
        <v>592</v>
      </c>
      <c r="AW95" s="123">
        <v>3845.9549999999999</v>
      </c>
      <c r="AX95" s="22">
        <v>673</v>
      </c>
      <c r="AY95" s="123">
        <v>4656.2290000000003</v>
      </c>
    </row>
    <row r="96" spans="1:51" x14ac:dyDescent="0.25">
      <c r="A96" s="72" t="s">
        <v>67</v>
      </c>
      <c r="B96" s="134">
        <v>126</v>
      </c>
      <c r="C96" s="122">
        <v>108.6</v>
      </c>
      <c r="D96" s="117">
        <v>173</v>
      </c>
      <c r="E96" s="131">
        <v>125.4</v>
      </c>
      <c r="F96" s="134">
        <v>155</v>
      </c>
      <c r="G96" s="131">
        <v>127.7</v>
      </c>
      <c r="H96" s="134">
        <v>83</v>
      </c>
      <c r="I96" s="131">
        <v>128.30000000000001</v>
      </c>
      <c r="J96" s="134">
        <v>26</v>
      </c>
      <c r="K96" s="131">
        <v>119.2</v>
      </c>
      <c r="L96" s="134">
        <v>47</v>
      </c>
      <c r="M96" s="131">
        <v>72</v>
      </c>
      <c r="N96" s="134">
        <v>50</v>
      </c>
      <c r="O96" s="131">
        <v>51</v>
      </c>
      <c r="P96" s="134">
        <v>40</v>
      </c>
      <c r="Q96" s="131">
        <v>50.9</v>
      </c>
      <c r="R96" s="134">
        <v>65</v>
      </c>
      <c r="S96" s="131">
        <v>33</v>
      </c>
      <c r="T96" s="134">
        <v>13</v>
      </c>
      <c r="U96" s="131">
        <v>80.599999999999994</v>
      </c>
      <c r="V96" s="134">
        <v>26</v>
      </c>
      <c r="W96" s="131">
        <v>71.5</v>
      </c>
      <c r="X96" s="134">
        <v>37</v>
      </c>
      <c r="Y96" s="131">
        <v>95.3</v>
      </c>
      <c r="Z96" s="134">
        <v>28</v>
      </c>
      <c r="AA96" s="131">
        <v>99.7</v>
      </c>
      <c r="AB96" s="134">
        <v>43</v>
      </c>
      <c r="AC96" s="131">
        <v>112.4</v>
      </c>
      <c r="AD96" s="134">
        <v>29</v>
      </c>
      <c r="AE96" s="131">
        <v>72.3</v>
      </c>
      <c r="AF96" s="134">
        <v>39</v>
      </c>
      <c r="AG96" s="131">
        <v>156.5</v>
      </c>
      <c r="AH96" s="134">
        <v>50</v>
      </c>
      <c r="AI96" s="131">
        <v>121.9</v>
      </c>
      <c r="AJ96" s="134">
        <v>13</v>
      </c>
      <c r="AK96" s="131">
        <v>98.7</v>
      </c>
      <c r="AL96" s="118">
        <v>23</v>
      </c>
      <c r="AM96" s="129">
        <v>131.80000000000001</v>
      </c>
      <c r="AN96" s="118">
        <v>14</v>
      </c>
      <c r="AO96" s="129">
        <v>92.1</v>
      </c>
      <c r="AP96" s="118">
        <v>8</v>
      </c>
      <c r="AQ96" s="129">
        <v>71.599999999999994</v>
      </c>
      <c r="AR96" s="118">
        <v>42</v>
      </c>
      <c r="AS96" s="129">
        <v>200.31800000000001</v>
      </c>
      <c r="AT96" s="21">
        <v>49</v>
      </c>
      <c r="AU96" s="129">
        <v>283.178</v>
      </c>
      <c r="AV96" s="21">
        <v>41</v>
      </c>
      <c r="AW96" s="129">
        <v>225.59700000000001</v>
      </c>
      <c r="AX96" s="21">
        <v>69</v>
      </c>
      <c r="AY96" s="129">
        <v>343.93200000000002</v>
      </c>
    </row>
    <row r="97" spans="1:51" x14ac:dyDescent="0.25">
      <c r="A97" s="72" t="s">
        <v>78</v>
      </c>
      <c r="B97" s="134">
        <v>369</v>
      </c>
      <c r="C97" s="122">
        <v>294</v>
      </c>
      <c r="D97" s="134">
        <v>747</v>
      </c>
      <c r="E97" s="131">
        <v>352</v>
      </c>
      <c r="F97" s="134">
        <v>391</v>
      </c>
      <c r="G97" s="131">
        <v>295</v>
      </c>
      <c r="H97" s="134">
        <v>266</v>
      </c>
      <c r="I97" s="131">
        <v>186.8</v>
      </c>
      <c r="J97" s="134">
        <v>110</v>
      </c>
      <c r="K97" s="131">
        <v>281.89999999999998</v>
      </c>
      <c r="L97" s="134">
        <v>85</v>
      </c>
      <c r="M97" s="131">
        <v>162</v>
      </c>
      <c r="N97" s="134">
        <v>106</v>
      </c>
      <c r="O97" s="131">
        <v>254</v>
      </c>
      <c r="P97" s="134">
        <v>72</v>
      </c>
      <c r="Q97" s="131">
        <v>305.39999999999998</v>
      </c>
      <c r="R97" s="134">
        <v>56</v>
      </c>
      <c r="S97" s="131">
        <v>175.8</v>
      </c>
      <c r="T97" s="134">
        <v>41</v>
      </c>
      <c r="U97" s="131">
        <v>149.1</v>
      </c>
      <c r="V97" s="134">
        <v>50</v>
      </c>
      <c r="W97" s="131">
        <v>187.4</v>
      </c>
      <c r="X97" s="134">
        <v>93</v>
      </c>
      <c r="Y97" s="131">
        <v>262.8</v>
      </c>
      <c r="Z97" s="134">
        <v>68</v>
      </c>
      <c r="AA97" s="131">
        <v>306.8</v>
      </c>
      <c r="AB97" s="134">
        <v>96</v>
      </c>
      <c r="AC97" s="131">
        <v>344.8</v>
      </c>
      <c r="AD97" s="134">
        <v>75</v>
      </c>
      <c r="AE97" s="131">
        <v>385.2</v>
      </c>
      <c r="AF97" s="134">
        <v>108</v>
      </c>
      <c r="AG97" s="131">
        <v>463.8</v>
      </c>
      <c r="AH97" s="134">
        <v>111</v>
      </c>
      <c r="AI97" s="131">
        <v>363.6</v>
      </c>
      <c r="AJ97" s="134">
        <v>64</v>
      </c>
      <c r="AK97" s="131">
        <v>191.4</v>
      </c>
      <c r="AL97" s="118">
        <v>46</v>
      </c>
      <c r="AM97" s="129">
        <v>329.3</v>
      </c>
      <c r="AN97" s="118">
        <v>27</v>
      </c>
      <c r="AO97" s="129">
        <v>163.69999999999999</v>
      </c>
      <c r="AP97" s="118">
        <v>16</v>
      </c>
      <c r="AQ97" s="129">
        <v>63.4</v>
      </c>
      <c r="AR97" s="118">
        <v>24</v>
      </c>
      <c r="AS97" s="129">
        <v>87.355999999999995</v>
      </c>
      <c r="AT97" s="21">
        <v>9</v>
      </c>
      <c r="AU97" s="129">
        <v>40.436</v>
      </c>
      <c r="AV97" s="21">
        <v>9</v>
      </c>
      <c r="AW97" s="129">
        <v>27.143000000000001</v>
      </c>
      <c r="AX97" s="21">
        <v>3</v>
      </c>
      <c r="AY97" s="129">
        <v>16.196000000000002</v>
      </c>
    </row>
    <row r="98" spans="1:51" x14ac:dyDescent="0.25">
      <c r="A98" s="72" t="s">
        <v>71</v>
      </c>
      <c r="B98" s="134">
        <v>640</v>
      </c>
      <c r="C98" s="122">
        <v>316.3</v>
      </c>
      <c r="D98" s="134">
        <v>520</v>
      </c>
      <c r="E98" s="131">
        <v>247.7</v>
      </c>
      <c r="F98" s="134">
        <v>495</v>
      </c>
      <c r="G98" s="131">
        <v>188.6</v>
      </c>
      <c r="H98" s="134">
        <v>567</v>
      </c>
      <c r="I98" s="131">
        <v>186.7</v>
      </c>
      <c r="J98" s="134">
        <v>431</v>
      </c>
      <c r="K98" s="131">
        <v>169.3</v>
      </c>
      <c r="L98" s="134">
        <v>422</v>
      </c>
      <c r="M98" s="131">
        <v>276</v>
      </c>
      <c r="N98" s="134">
        <v>362</v>
      </c>
      <c r="O98" s="131">
        <v>372</v>
      </c>
      <c r="P98" s="134">
        <v>412</v>
      </c>
      <c r="Q98" s="131">
        <v>544.20000000000005</v>
      </c>
      <c r="R98" s="134">
        <v>369</v>
      </c>
      <c r="S98" s="131">
        <v>558.5</v>
      </c>
      <c r="T98" s="134">
        <v>240</v>
      </c>
      <c r="U98" s="131">
        <v>364.1</v>
      </c>
      <c r="V98" s="134">
        <v>194</v>
      </c>
      <c r="W98" s="131">
        <v>283.7</v>
      </c>
      <c r="X98" s="134">
        <v>173</v>
      </c>
      <c r="Y98" s="131">
        <v>212.9</v>
      </c>
      <c r="Z98" s="134">
        <v>171</v>
      </c>
      <c r="AA98" s="131">
        <v>147.1</v>
      </c>
      <c r="AB98" s="134">
        <v>103</v>
      </c>
      <c r="AC98" s="131">
        <v>168.7</v>
      </c>
      <c r="AD98" s="134">
        <v>100</v>
      </c>
      <c r="AE98" s="131">
        <v>141.1</v>
      </c>
      <c r="AF98" s="134">
        <v>77</v>
      </c>
      <c r="AG98" s="131">
        <v>123.6</v>
      </c>
      <c r="AH98" s="134">
        <v>269</v>
      </c>
      <c r="AI98" s="131">
        <v>149.69999999999999</v>
      </c>
      <c r="AJ98" s="134">
        <v>26</v>
      </c>
      <c r="AK98" s="131">
        <v>38.6</v>
      </c>
      <c r="AL98" s="118">
        <v>26</v>
      </c>
      <c r="AM98" s="129">
        <v>31</v>
      </c>
      <c r="AN98" s="118">
        <v>31</v>
      </c>
      <c r="AO98" s="129">
        <v>59</v>
      </c>
      <c r="AP98" s="118">
        <v>27</v>
      </c>
      <c r="AQ98" s="129">
        <v>40.6</v>
      </c>
      <c r="AR98" s="118">
        <v>16</v>
      </c>
      <c r="AS98" s="129">
        <v>87.661000000000001</v>
      </c>
      <c r="AT98" s="21">
        <v>26</v>
      </c>
      <c r="AU98" s="129">
        <v>136.398</v>
      </c>
      <c r="AV98" s="21">
        <v>20</v>
      </c>
      <c r="AW98" s="129">
        <v>125.97</v>
      </c>
      <c r="AX98" s="21">
        <v>22</v>
      </c>
      <c r="AY98" s="129">
        <v>232.053</v>
      </c>
    </row>
    <row r="99" spans="1:51" x14ac:dyDescent="0.25">
      <c r="A99" s="72" t="s">
        <v>79</v>
      </c>
      <c r="B99" s="134">
        <v>89</v>
      </c>
      <c r="C99" s="122">
        <v>150</v>
      </c>
      <c r="D99" s="134">
        <v>79</v>
      </c>
      <c r="E99" s="131">
        <v>140.6</v>
      </c>
      <c r="F99" s="134">
        <v>55</v>
      </c>
      <c r="G99" s="131">
        <v>73.099999999999994</v>
      </c>
      <c r="H99" s="134">
        <v>47</v>
      </c>
      <c r="I99" s="131">
        <v>68.8</v>
      </c>
      <c r="J99" s="134">
        <v>39</v>
      </c>
      <c r="K99" s="131">
        <v>59</v>
      </c>
      <c r="L99" s="134">
        <v>36</v>
      </c>
      <c r="M99" s="131">
        <v>45</v>
      </c>
      <c r="N99" s="134">
        <v>42</v>
      </c>
      <c r="O99" s="131">
        <v>67</v>
      </c>
      <c r="P99" s="134">
        <v>67</v>
      </c>
      <c r="Q99" s="131">
        <v>57.6</v>
      </c>
      <c r="R99" s="134">
        <v>35</v>
      </c>
      <c r="S99" s="131">
        <v>61</v>
      </c>
      <c r="T99" s="134">
        <v>32</v>
      </c>
      <c r="U99" s="131">
        <v>57.1</v>
      </c>
      <c r="V99" s="134">
        <v>16</v>
      </c>
      <c r="W99" s="131">
        <v>37.1</v>
      </c>
      <c r="X99" s="134">
        <v>12</v>
      </c>
      <c r="Y99" s="131">
        <v>34.5</v>
      </c>
      <c r="Z99" s="134">
        <v>12</v>
      </c>
      <c r="AA99" s="131">
        <v>39.200000000000003</v>
      </c>
      <c r="AB99" s="134">
        <v>10</v>
      </c>
      <c r="AC99" s="131">
        <v>30.7</v>
      </c>
      <c r="AD99" s="134">
        <v>17</v>
      </c>
      <c r="AE99" s="131">
        <v>48</v>
      </c>
      <c r="AF99" s="134">
        <v>8</v>
      </c>
      <c r="AG99" s="131">
        <v>29.6</v>
      </c>
      <c r="AH99" s="134">
        <v>5</v>
      </c>
      <c r="AI99" s="131">
        <v>15.1</v>
      </c>
      <c r="AJ99" s="134">
        <v>5</v>
      </c>
      <c r="AK99" s="131">
        <v>12</v>
      </c>
      <c r="AL99" s="118">
        <v>11</v>
      </c>
      <c r="AM99" s="129">
        <v>26.1</v>
      </c>
      <c r="AN99" s="118">
        <v>8</v>
      </c>
      <c r="AO99" s="129">
        <v>30.6</v>
      </c>
      <c r="AP99" s="118">
        <v>7</v>
      </c>
      <c r="AQ99" s="129">
        <v>25.6</v>
      </c>
      <c r="AR99" s="118">
        <v>6</v>
      </c>
      <c r="AS99" s="129">
        <v>15.6</v>
      </c>
      <c r="AT99" s="21">
        <v>5</v>
      </c>
      <c r="AU99" s="129">
        <v>14.228999999999999</v>
      </c>
      <c r="AV99" s="21">
        <v>12</v>
      </c>
      <c r="AW99" s="129">
        <v>38.058999999999997</v>
      </c>
      <c r="AX99" s="21">
        <v>34</v>
      </c>
      <c r="AY99" s="129">
        <v>139.44300000000001</v>
      </c>
    </row>
    <row r="100" spans="1:51" x14ac:dyDescent="0.25">
      <c r="A100" s="72" t="s">
        <v>80</v>
      </c>
      <c r="B100" s="134">
        <v>508</v>
      </c>
      <c r="C100" s="122">
        <v>768.6</v>
      </c>
      <c r="D100" s="134">
        <v>465</v>
      </c>
      <c r="E100" s="131">
        <v>740.4</v>
      </c>
      <c r="F100" s="134">
        <v>457</v>
      </c>
      <c r="G100" s="131">
        <v>704.3</v>
      </c>
      <c r="H100" s="134">
        <v>216</v>
      </c>
      <c r="I100" s="131">
        <v>632.79999999999995</v>
      </c>
      <c r="J100" s="134">
        <v>269</v>
      </c>
      <c r="K100" s="131">
        <v>780.9</v>
      </c>
      <c r="L100" s="134">
        <v>241</v>
      </c>
      <c r="M100" s="131">
        <v>541</v>
      </c>
      <c r="N100" s="134">
        <v>223</v>
      </c>
      <c r="O100" s="131">
        <v>365</v>
      </c>
      <c r="P100" s="134">
        <v>125</v>
      </c>
      <c r="Q100" s="131">
        <v>319</v>
      </c>
      <c r="R100" s="134">
        <v>57</v>
      </c>
      <c r="S100" s="131">
        <v>246.9</v>
      </c>
      <c r="T100" s="134">
        <v>98</v>
      </c>
      <c r="U100" s="131">
        <v>351.5</v>
      </c>
      <c r="V100" s="134">
        <v>81</v>
      </c>
      <c r="W100" s="131">
        <v>371.9</v>
      </c>
      <c r="X100" s="134">
        <v>84</v>
      </c>
      <c r="Y100" s="131">
        <v>172.6</v>
      </c>
      <c r="Z100" s="134">
        <v>69</v>
      </c>
      <c r="AA100" s="131">
        <v>335.3</v>
      </c>
      <c r="AB100" s="134">
        <v>46</v>
      </c>
      <c r="AC100" s="131">
        <v>208.7</v>
      </c>
      <c r="AD100" s="134">
        <v>57</v>
      </c>
      <c r="AE100" s="131">
        <v>258.7</v>
      </c>
      <c r="AF100" s="134">
        <v>64</v>
      </c>
      <c r="AG100" s="131">
        <v>369.9</v>
      </c>
      <c r="AH100" s="134">
        <v>69</v>
      </c>
      <c r="AI100" s="131">
        <v>447.4</v>
      </c>
      <c r="AJ100" s="134">
        <v>40</v>
      </c>
      <c r="AK100" s="131">
        <v>231.3</v>
      </c>
      <c r="AL100" s="118">
        <v>34</v>
      </c>
      <c r="AM100" s="129">
        <v>217.3</v>
      </c>
      <c r="AN100" s="118">
        <v>175</v>
      </c>
      <c r="AO100" s="129">
        <v>602</v>
      </c>
      <c r="AP100" s="118">
        <v>95</v>
      </c>
      <c r="AQ100" s="129">
        <v>576.9</v>
      </c>
      <c r="AR100" s="118">
        <v>152</v>
      </c>
      <c r="AS100" s="129">
        <v>954.74800000000005</v>
      </c>
      <c r="AT100" s="21">
        <v>215</v>
      </c>
      <c r="AU100" s="129">
        <v>892.46199999999999</v>
      </c>
      <c r="AV100" s="21">
        <v>308</v>
      </c>
      <c r="AW100" s="129">
        <v>2311.4380000000001</v>
      </c>
      <c r="AX100" s="21">
        <v>260</v>
      </c>
      <c r="AY100" s="129">
        <v>2078.8560000000002</v>
      </c>
    </row>
    <row r="101" spans="1:51" x14ac:dyDescent="0.25">
      <c r="A101" s="72" t="s">
        <v>81</v>
      </c>
      <c r="B101" s="134">
        <v>222</v>
      </c>
      <c r="C101" s="122">
        <v>637.20000000000005</v>
      </c>
      <c r="D101" s="134">
        <v>202</v>
      </c>
      <c r="E101" s="131">
        <v>586.70000000000005</v>
      </c>
      <c r="F101" s="134">
        <v>183</v>
      </c>
      <c r="G101" s="131">
        <v>526.1</v>
      </c>
      <c r="H101" s="134">
        <v>164</v>
      </c>
      <c r="I101" s="131">
        <v>561.6</v>
      </c>
      <c r="J101" s="134">
        <v>147</v>
      </c>
      <c r="K101" s="131">
        <v>652.79999999999995</v>
      </c>
      <c r="L101" s="134">
        <v>140</v>
      </c>
      <c r="M101" s="131">
        <v>618</v>
      </c>
      <c r="N101" s="134">
        <v>96</v>
      </c>
      <c r="O101" s="131">
        <v>530</v>
      </c>
      <c r="P101" s="134">
        <v>80</v>
      </c>
      <c r="Q101" s="131">
        <v>429.9</v>
      </c>
      <c r="R101" s="134">
        <v>76</v>
      </c>
      <c r="S101" s="131">
        <v>518.29999999999995</v>
      </c>
      <c r="T101" s="134">
        <v>45</v>
      </c>
      <c r="U101" s="131">
        <v>299.8</v>
      </c>
      <c r="V101" s="134">
        <v>40</v>
      </c>
      <c r="W101" s="131">
        <v>302.39999999999998</v>
      </c>
      <c r="X101" s="134">
        <v>64</v>
      </c>
      <c r="Y101" s="131">
        <v>249.6</v>
      </c>
      <c r="Z101" s="134">
        <v>48</v>
      </c>
      <c r="AA101" s="131">
        <v>232.4</v>
      </c>
      <c r="AB101" s="134">
        <v>77</v>
      </c>
      <c r="AC101" s="131">
        <v>465</v>
      </c>
      <c r="AD101" s="134">
        <v>45</v>
      </c>
      <c r="AE101" s="131">
        <v>377.8</v>
      </c>
      <c r="AF101" s="134">
        <v>49</v>
      </c>
      <c r="AG101" s="131">
        <v>346.9</v>
      </c>
      <c r="AH101" s="134">
        <v>65</v>
      </c>
      <c r="AI101" s="131">
        <v>533.9</v>
      </c>
      <c r="AJ101" s="134">
        <v>64</v>
      </c>
      <c r="AK101" s="131">
        <v>524.1</v>
      </c>
      <c r="AL101" s="118">
        <v>61</v>
      </c>
      <c r="AM101" s="129">
        <v>463.2</v>
      </c>
      <c r="AN101" s="118">
        <v>64</v>
      </c>
      <c r="AO101" s="129">
        <v>496</v>
      </c>
      <c r="AP101" s="118">
        <v>61</v>
      </c>
      <c r="AQ101" s="129">
        <v>446.4</v>
      </c>
      <c r="AR101" s="118">
        <v>57</v>
      </c>
      <c r="AS101" s="129">
        <v>423.31200000000001</v>
      </c>
      <c r="AT101" s="21">
        <v>159</v>
      </c>
      <c r="AU101" s="129">
        <v>671.79300000000001</v>
      </c>
      <c r="AV101" s="21">
        <v>83</v>
      </c>
      <c r="AW101" s="129">
        <v>701.98900000000003</v>
      </c>
      <c r="AX101" s="21">
        <v>156</v>
      </c>
      <c r="AY101" s="129">
        <v>1355.162</v>
      </c>
    </row>
    <row r="102" spans="1:51" x14ac:dyDescent="0.25">
      <c r="A102" s="72" t="s">
        <v>82</v>
      </c>
      <c r="B102" s="134">
        <v>480</v>
      </c>
      <c r="C102" s="122">
        <v>440.2</v>
      </c>
      <c r="D102" s="134">
        <v>396</v>
      </c>
      <c r="E102" s="131">
        <v>338.3</v>
      </c>
      <c r="F102" s="134">
        <v>330</v>
      </c>
      <c r="G102" s="131">
        <v>293</v>
      </c>
      <c r="H102" s="134">
        <v>216</v>
      </c>
      <c r="I102" s="131">
        <v>273.60000000000002</v>
      </c>
      <c r="J102" s="134">
        <v>167</v>
      </c>
      <c r="K102" s="131">
        <v>231.9</v>
      </c>
      <c r="L102" s="134">
        <v>113</v>
      </c>
      <c r="M102" s="131">
        <v>185</v>
      </c>
      <c r="N102" s="134">
        <v>112</v>
      </c>
      <c r="O102" s="131">
        <v>226</v>
      </c>
      <c r="P102" s="134">
        <v>105</v>
      </c>
      <c r="Q102" s="131">
        <v>221.2</v>
      </c>
      <c r="R102" s="134">
        <v>95</v>
      </c>
      <c r="S102" s="131">
        <v>220.4</v>
      </c>
      <c r="T102" s="134">
        <v>100</v>
      </c>
      <c r="U102" s="131">
        <v>213.3</v>
      </c>
      <c r="V102" s="134">
        <v>96</v>
      </c>
      <c r="W102" s="131">
        <v>219.1</v>
      </c>
      <c r="X102" s="134">
        <v>117</v>
      </c>
      <c r="Y102" s="131">
        <v>241.8</v>
      </c>
      <c r="Z102" s="134">
        <v>138</v>
      </c>
      <c r="AA102" s="131">
        <v>335</v>
      </c>
      <c r="AB102" s="134">
        <v>121</v>
      </c>
      <c r="AC102" s="131">
        <v>284.39999999999998</v>
      </c>
      <c r="AD102" s="134">
        <v>127</v>
      </c>
      <c r="AE102" s="131">
        <v>213.1</v>
      </c>
      <c r="AF102" s="134">
        <v>41</v>
      </c>
      <c r="AG102" s="131">
        <v>192.9</v>
      </c>
      <c r="AH102" s="134">
        <v>48</v>
      </c>
      <c r="AI102" s="131">
        <v>167.5</v>
      </c>
      <c r="AJ102" s="134">
        <v>37</v>
      </c>
      <c r="AK102" s="131">
        <v>133</v>
      </c>
      <c r="AL102" s="118">
        <v>44</v>
      </c>
      <c r="AM102" s="129">
        <v>142.19999999999999</v>
      </c>
      <c r="AN102" s="118">
        <v>49</v>
      </c>
      <c r="AO102" s="129">
        <v>181</v>
      </c>
      <c r="AP102" s="118">
        <v>105</v>
      </c>
      <c r="AQ102" s="129">
        <v>423.3</v>
      </c>
      <c r="AR102" s="118">
        <v>45</v>
      </c>
      <c r="AS102" s="129">
        <v>180</v>
      </c>
      <c r="AT102" s="21">
        <v>48</v>
      </c>
      <c r="AU102" s="129">
        <v>123.063</v>
      </c>
      <c r="AV102" s="21">
        <v>33</v>
      </c>
      <c r="AW102" s="129">
        <v>107.43899999999999</v>
      </c>
      <c r="AX102" s="21">
        <v>28</v>
      </c>
      <c r="AY102" s="129">
        <v>210.04499999999999</v>
      </c>
    </row>
    <row r="103" spans="1:51" x14ac:dyDescent="0.25">
      <c r="A103" s="72" t="s">
        <v>83</v>
      </c>
      <c r="B103" s="134">
        <v>71</v>
      </c>
      <c r="C103" s="122">
        <v>129.80000000000001</v>
      </c>
      <c r="D103" s="134">
        <v>68</v>
      </c>
      <c r="E103" s="131">
        <v>116.3</v>
      </c>
      <c r="F103" s="134">
        <v>52</v>
      </c>
      <c r="G103" s="122">
        <v>88.5</v>
      </c>
      <c r="H103" s="134">
        <v>32</v>
      </c>
      <c r="I103" s="131">
        <v>64.5</v>
      </c>
      <c r="J103" s="134">
        <v>33</v>
      </c>
      <c r="K103" s="122">
        <v>70.2</v>
      </c>
      <c r="L103" s="134">
        <v>31</v>
      </c>
      <c r="M103" s="131">
        <v>68</v>
      </c>
      <c r="N103" s="134">
        <v>13</v>
      </c>
      <c r="O103" s="122">
        <v>27</v>
      </c>
      <c r="P103" s="134">
        <v>11</v>
      </c>
      <c r="Q103" s="131">
        <v>23.1</v>
      </c>
      <c r="R103" s="134">
        <v>14</v>
      </c>
      <c r="S103" s="131">
        <v>25.1</v>
      </c>
      <c r="T103" s="134">
        <v>25</v>
      </c>
      <c r="U103" s="131">
        <v>40.299999999999997</v>
      </c>
      <c r="V103" s="134">
        <v>19</v>
      </c>
      <c r="W103" s="131">
        <v>26.3</v>
      </c>
      <c r="X103" s="134">
        <v>15</v>
      </c>
      <c r="Y103" s="131">
        <v>17.7</v>
      </c>
      <c r="Z103" s="134">
        <v>6</v>
      </c>
      <c r="AA103" s="131">
        <v>6.5</v>
      </c>
      <c r="AB103" s="134">
        <v>7</v>
      </c>
      <c r="AC103" s="131">
        <v>11.6</v>
      </c>
      <c r="AD103" s="134">
        <v>9</v>
      </c>
      <c r="AE103" s="131">
        <v>12.7</v>
      </c>
      <c r="AF103" s="134">
        <v>4</v>
      </c>
      <c r="AG103" s="131">
        <v>7.1</v>
      </c>
      <c r="AH103" s="134">
        <v>5</v>
      </c>
      <c r="AI103" s="131">
        <v>8.1999999999999993</v>
      </c>
      <c r="AJ103" s="134">
        <v>2</v>
      </c>
      <c r="AK103" s="131">
        <v>3.1</v>
      </c>
      <c r="AL103" s="118">
        <v>2</v>
      </c>
      <c r="AM103" s="129">
        <v>3.1</v>
      </c>
      <c r="AN103" s="118">
        <v>7</v>
      </c>
      <c r="AO103" s="129">
        <v>14.4</v>
      </c>
      <c r="AP103" s="118">
        <v>10</v>
      </c>
      <c r="AQ103" s="129">
        <v>20.5</v>
      </c>
      <c r="AR103" s="118">
        <v>6</v>
      </c>
      <c r="AS103" s="129">
        <v>16.670999999999999</v>
      </c>
      <c r="AT103" s="21">
        <v>3</v>
      </c>
      <c r="AU103" s="129">
        <v>8.9489999999999998</v>
      </c>
      <c r="AV103" s="21">
        <v>11</v>
      </c>
      <c r="AW103" s="129">
        <v>33.128</v>
      </c>
      <c r="AX103" s="21">
        <v>17</v>
      </c>
      <c r="AY103" s="129">
        <v>26.091000000000001</v>
      </c>
    </row>
    <row r="104" spans="1:51" x14ac:dyDescent="0.25">
      <c r="A104" s="72" t="s">
        <v>84</v>
      </c>
      <c r="B104" s="134">
        <v>137</v>
      </c>
      <c r="C104" s="122">
        <v>114.2</v>
      </c>
      <c r="D104" s="134">
        <v>127</v>
      </c>
      <c r="E104" s="131">
        <v>127</v>
      </c>
      <c r="F104" s="134">
        <v>72</v>
      </c>
      <c r="G104" s="122">
        <v>85.8</v>
      </c>
      <c r="H104" s="134">
        <v>77</v>
      </c>
      <c r="I104" s="131">
        <v>70.599999999999994</v>
      </c>
      <c r="J104" s="134">
        <v>66</v>
      </c>
      <c r="K104" s="131">
        <v>67</v>
      </c>
      <c r="L104" s="134">
        <v>48</v>
      </c>
      <c r="M104" s="131">
        <v>63</v>
      </c>
      <c r="N104" s="134">
        <v>46</v>
      </c>
      <c r="O104" s="131">
        <v>65</v>
      </c>
      <c r="P104" s="134">
        <v>46</v>
      </c>
      <c r="Q104" s="131">
        <v>78.8</v>
      </c>
      <c r="R104" s="134">
        <v>51</v>
      </c>
      <c r="S104" s="131">
        <v>48.4</v>
      </c>
      <c r="T104" s="134">
        <v>52</v>
      </c>
      <c r="U104" s="131">
        <v>70.400000000000006</v>
      </c>
      <c r="V104" s="134">
        <v>50</v>
      </c>
      <c r="W104" s="131">
        <v>76</v>
      </c>
      <c r="X104" s="134">
        <v>27</v>
      </c>
      <c r="Y104" s="131">
        <v>32.4</v>
      </c>
      <c r="Z104" s="134">
        <v>19</v>
      </c>
      <c r="AA104" s="131">
        <v>45.7</v>
      </c>
      <c r="AB104" s="134">
        <v>21</v>
      </c>
      <c r="AC104" s="131">
        <v>15.2</v>
      </c>
      <c r="AD104" s="134">
        <v>18</v>
      </c>
      <c r="AE104" s="131">
        <v>25.1</v>
      </c>
      <c r="AF104" s="134">
        <v>21</v>
      </c>
      <c r="AG104" s="131">
        <v>46.1</v>
      </c>
      <c r="AH104" s="134">
        <v>22</v>
      </c>
      <c r="AI104" s="131">
        <v>61.9</v>
      </c>
      <c r="AJ104" s="134">
        <v>21</v>
      </c>
      <c r="AK104" s="131">
        <v>63</v>
      </c>
      <c r="AL104" s="118">
        <v>26</v>
      </c>
      <c r="AM104" s="129">
        <v>84.5</v>
      </c>
      <c r="AN104" s="118">
        <v>63</v>
      </c>
      <c r="AO104" s="129">
        <v>263.3</v>
      </c>
      <c r="AP104" s="118">
        <v>90</v>
      </c>
      <c r="AQ104" s="129">
        <v>242.8</v>
      </c>
      <c r="AR104" s="118">
        <v>99</v>
      </c>
      <c r="AS104" s="129">
        <v>327.63</v>
      </c>
      <c r="AT104" s="21">
        <v>92</v>
      </c>
      <c r="AU104" s="129">
        <v>564.53399999999999</v>
      </c>
      <c r="AV104" s="21">
        <v>69</v>
      </c>
      <c r="AW104" s="129">
        <v>273.26400000000001</v>
      </c>
      <c r="AX104" s="21">
        <v>75</v>
      </c>
      <c r="AY104" s="129">
        <v>250.03</v>
      </c>
    </row>
    <row r="105" spans="1:51" x14ac:dyDescent="0.25">
      <c r="A105" s="72" t="s">
        <v>85</v>
      </c>
      <c r="B105" s="134">
        <v>69</v>
      </c>
      <c r="C105" s="122">
        <v>79.900000000000006</v>
      </c>
      <c r="D105" s="134">
        <v>61</v>
      </c>
      <c r="E105" s="131">
        <v>66.5</v>
      </c>
      <c r="F105" s="134">
        <v>53</v>
      </c>
      <c r="G105" s="131">
        <v>46.6</v>
      </c>
      <c r="H105" s="134">
        <v>34</v>
      </c>
      <c r="I105" s="131">
        <v>35.1</v>
      </c>
      <c r="J105" s="134">
        <v>28</v>
      </c>
      <c r="K105" s="131">
        <v>33.700000000000003</v>
      </c>
      <c r="L105" s="134">
        <v>16</v>
      </c>
      <c r="M105" s="131">
        <v>29</v>
      </c>
      <c r="N105" s="134">
        <v>16</v>
      </c>
      <c r="O105" s="131">
        <v>32</v>
      </c>
      <c r="P105" s="134">
        <v>12</v>
      </c>
      <c r="Q105" s="131">
        <v>25</v>
      </c>
      <c r="R105" s="134">
        <v>12</v>
      </c>
      <c r="S105" s="131">
        <v>39.6</v>
      </c>
      <c r="T105" s="134">
        <v>11</v>
      </c>
      <c r="U105" s="131">
        <v>39.9</v>
      </c>
      <c r="V105" s="134">
        <v>5</v>
      </c>
      <c r="W105" s="131">
        <v>6.8</v>
      </c>
      <c r="X105" s="134">
        <v>8</v>
      </c>
      <c r="Y105" s="131">
        <v>13.5</v>
      </c>
      <c r="Z105" s="134">
        <v>4</v>
      </c>
      <c r="AA105" s="131">
        <v>8.1</v>
      </c>
      <c r="AB105" s="134">
        <v>5</v>
      </c>
      <c r="AC105" s="131">
        <v>9.6999999999999993</v>
      </c>
      <c r="AD105" s="134">
        <v>2</v>
      </c>
      <c r="AE105" s="131">
        <v>4.5999999999999996</v>
      </c>
      <c r="AF105" s="134" t="s">
        <v>96</v>
      </c>
      <c r="AG105" s="131" t="s">
        <v>96</v>
      </c>
      <c r="AH105" s="134" t="s">
        <v>96</v>
      </c>
      <c r="AI105" s="131" t="s">
        <v>96</v>
      </c>
      <c r="AJ105" s="136" t="s">
        <v>96</v>
      </c>
      <c r="AK105" s="125" t="s">
        <v>96</v>
      </c>
      <c r="AL105" s="118" t="s">
        <v>96</v>
      </c>
      <c r="AM105" s="129" t="s">
        <v>96</v>
      </c>
      <c r="AN105" s="118" t="s">
        <v>96</v>
      </c>
      <c r="AO105" s="129" t="s">
        <v>96</v>
      </c>
      <c r="AP105" s="118" t="s">
        <v>96</v>
      </c>
      <c r="AQ105" s="129" t="s">
        <v>96</v>
      </c>
      <c r="AR105" s="118" t="s">
        <v>96</v>
      </c>
      <c r="AS105" s="129" t="s">
        <v>96</v>
      </c>
      <c r="AT105" s="21" t="s">
        <v>96</v>
      </c>
      <c r="AU105" s="129" t="s">
        <v>96</v>
      </c>
      <c r="AV105" s="21">
        <v>6</v>
      </c>
      <c r="AW105" s="129">
        <v>1.9279999999999999</v>
      </c>
      <c r="AX105" s="21">
        <v>5</v>
      </c>
      <c r="AY105" s="129">
        <v>1.92</v>
      </c>
    </row>
    <row r="106" spans="1:51" ht="15.75" thickBot="1" x14ac:dyDescent="0.3">
      <c r="A106" s="78" t="s">
        <v>86</v>
      </c>
      <c r="B106" s="135">
        <v>77</v>
      </c>
      <c r="C106" s="132" t="s">
        <v>96</v>
      </c>
      <c r="D106" s="135">
        <v>70</v>
      </c>
      <c r="E106" s="132">
        <v>47.6</v>
      </c>
      <c r="F106" s="135">
        <v>83</v>
      </c>
      <c r="G106" s="132">
        <v>35.4</v>
      </c>
      <c r="H106" s="135">
        <v>230</v>
      </c>
      <c r="I106" s="132" t="s">
        <v>96</v>
      </c>
      <c r="J106" s="135" t="s">
        <v>96</v>
      </c>
      <c r="K106" s="132">
        <v>49.4</v>
      </c>
      <c r="L106" s="135">
        <v>27</v>
      </c>
      <c r="M106" s="132">
        <v>30</v>
      </c>
      <c r="N106" s="135">
        <v>34</v>
      </c>
      <c r="O106" s="132" t="s">
        <v>96</v>
      </c>
      <c r="P106" s="135">
        <v>42</v>
      </c>
      <c r="Q106" s="132">
        <v>38.799999999999997</v>
      </c>
      <c r="R106" s="135">
        <v>31</v>
      </c>
      <c r="S106" s="132">
        <v>31.6</v>
      </c>
      <c r="T106" s="135">
        <v>18</v>
      </c>
      <c r="U106" s="132">
        <v>13.6</v>
      </c>
      <c r="V106" s="135">
        <v>20</v>
      </c>
      <c r="W106" s="132">
        <v>13.8</v>
      </c>
      <c r="X106" s="135">
        <v>12</v>
      </c>
      <c r="Y106" s="132">
        <v>4.7</v>
      </c>
      <c r="Z106" s="135" t="s">
        <v>96</v>
      </c>
      <c r="AA106" s="132" t="s">
        <v>96</v>
      </c>
      <c r="AB106" s="135" t="s">
        <v>96</v>
      </c>
      <c r="AC106" s="132" t="s">
        <v>96</v>
      </c>
      <c r="AD106" s="135" t="s">
        <v>96</v>
      </c>
      <c r="AE106" s="132" t="s">
        <v>96</v>
      </c>
      <c r="AF106" s="135" t="s">
        <v>96</v>
      </c>
      <c r="AG106" s="132" t="s">
        <v>96</v>
      </c>
      <c r="AH106" s="135" t="s">
        <v>96</v>
      </c>
      <c r="AI106" s="132" t="s">
        <v>96</v>
      </c>
      <c r="AJ106" s="135">
        <v>3</v>
      </c>
      <c r="AK106" s="132">
        <v>1.3</v>
      </c>
      <c r="AL106" s="127">
        <v>4</v>
      </c>
      <c r="AM106" s="128">
        <v>1.1000000000000001</v>
      </c>
      <c r="AN106" s="127">
        <v>7</v>
      </c>
      <c r="AO106" s="128">
        <v>9.1999999999999993</v>
      </c>
      <c r="AP106" s="127">
        <v>6</v>
      </c>
      <c r="AQ106" s="128">
        <v>8.6</v>
      </c>
      <c r="AR106" s="127">
        <v>9</v>
      </c>
      <c r="AS106" s="128">
        <v>10.512</v>
      </c>
      <c r="AT106" s="64">
        <v>7</v>
      </c>
      <c r="AU106" s="128">
        <v>8.1140000000000008</v>
      </c>
      <c r="AV106" s="64" t="s">
        <v>96</v>
      </c>
      <c r="AW106" s="128" t="s">
        <v>96</v>
      </c>
      <c r="AX106" s="64">
        <v>4</v>
      </c>
      <c r="AY106" s="128">
        <v>2.5009999999999999</v>
      </c>
    </row>
    <row r="107" spans="1:51" x14ac:dyDescent="0.25">
      <c r="A107" s="12"/>
      <c r="B107" s="12"/>
      <c r="C107" s="136"/>
      <c r="D107" s="7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87"/>
      <c r="T107" s="12"/>
      <c r="U107" s="187"/>
      <c r="V107" s="12"/>
      <c r="W107" s="187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U107" s="12"/>
      <c r="AX107" s="12"/>
      <c r="AY107" s="12"/>
    </row>
    <row r="108" spans="1:5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87"/>
      <c r="T108" s="12"/>
      <c r="U108" s="187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U108" s="12"/>
      <c r="AX108" s="12"/>
      <c r="AY108" s="12"/>
    </row>
    <row r="109" spans="1:5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U109" s="12"/>
      <c r="AX109" s="12"/>
      <c r="AY109" s="12"/>
    </row>
  </sheetData>
  <mergeCells count="29">
    <mergeCell ref="AX7:AY7"/>
    <mergeCell ref="H7:I7"/>
    <mergeCell ref="AT7:AU7"/>
    <mergeCell ref="AR7:AS7"/>
    <mergeCell ref="J7:K7"/>
    <mergeCell ref="AL7:AM7"/>
    <mergeCell ref="AN7:AO7"/>
    <mergeCell ref="AP7:AQ7"/>
    <mergeCell ref="AJ7:AK7"/>
    <mergeCell ref="AB7:AC7"/>
    <mergeCell ref="AD7:AE7"/>
    <mergeCell ref="AF7:AG7"/>
    <mergeCell ref="AH7:AI7"/>
    <mergeCell ref="AV7:AW7"/>
    <mergeCell ref="A2:V2"/>
    <mergeCell ref="A3:V3"/>
    <mergeCell ref="A4:V4"/>
    <mergeCell ref="X7:Y7"/>
    <mergeCell ref="Z7:AA7"/>
    <mergeCell ref="L7:M7"/>
    <mergeCell ref="N7:O7"/>
    <mergeCell ref="P7:Q7"/>
    <mergeCell ref="R7:S7"/>
    <mergeCell ref="T7:U7"/>
    <mergeCell ref="V7:W7"/>
    <mergeCell ref="A5:AQ5"/>
    <mergeCell ref="B7:C7"/>
    <mergeCell ref="D7:E7"/>
    <mergeCell ref="F7:G7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5">
    <tabColor rgb="FFC7E6A4"/>
  </sheetPr>
  <dimension ref="A1:Z105"/>
  <sheetViews>
    <sheetView zoomScale="80" zoomScaleNormal="80" workbookViewId="0">
      <pane ySplit="7" topLeftCell="A8" activePane="bottomLeft" state="frozen"/>
      <selection sqref="A1:T1"/>
      <selection pane="bottomLeft" activeCell="C1" sqref="C1"/>
    </sheetView>
  </sheetViews>
  <sheetFormatPr defaultColWidth="9.140625" defaultRowHeight="15" x14ac:dyDescent="0.25"/>
  <cols>
    <col min="1" max="1" width="18.5703125" style="12" customWidth="1"/>
    <col min="2" max="22" width="9.140625" style="12"/>
    <col min="23" max="23" width="9.140625" style="94"/>
    <col min="24" max="16384" width="9.140625" style="12"/>
  </cols>
  <sheetData>
    <row r="1" spans="1:26" ht="30" customHeight="1" x14ac:dyDescent="0.25">
      <c r="W1" s="12"/>
    </row>
    <row r="2" spans="1:26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ht="15" customHeight="1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5">
      <c r="A4" s="210" t="s">
        <v>119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spans="1:26" ht="12.75" customHeight="1" x14ac:dyDescent="0.25">
      <c r="A5" s="208" t="s">
        <v>240</v>
      </c>
      <c r="B5" s="208"/>
      <c r="C5" s="208"/>
      <c r="D5" s="208"/>
      <c r="E5" s="208"/>
      <c r="F5" s="208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W5" s="12"/>
    </row>
    <row r="6" spans="1:26" ht="15.75" thickBot="1" x14ac:dyDescent="0.3">
      <c r="A6" s="24" t="s">
        <v>125</v>
      </c>
      <c r="B6" s="24"/>
      <c r="C6" s="24"/>
      <c r="D6" s="24"/>
      <c r="E6" s="24"/>
      <c r="F6" s="24"/>
      <c r="W6" s="12"/>
    </row>
    <row r="7" spans="1:26" ht="15.75" thickBot="1" x14ac:dyDescent="0.3">
      <c r="A7" s="10"/>
      <c r="B7" s="2">
        <v>2000</v>
      </c>
      <c r="C7" s="168">
        <v>2001</v>
      </c>
      <c r="D7" s="168">
        <v>2002</v>
      </c>
      <c r="E7" s="168">
        <v>2003</v>
      </c>
      <c r="F7" s="168">
        <v>2004</v>
      </c>
      <c r="G7" s="16">
        <v>2005</v>
      </c>
      <c r="H7" s="2">
        <v>2006</v>
      </c>
      <c r="I7" s="168">
        <v>2007</v>
      </c>
      <c r="J7" s="168">
        <v>2008</v>
      </c>
      <c r="K7" s="168">
        <v>2009</v>
      </c>
      <c r="L7" s="168">
        <v>2010</v>
      </c>
      <c r="M7" s="168">
        <v>2011</v>
      </c>
      <c r="N7" s="168">
        <v>2012</v>
      </c>
      <c r="O7" s="168">
        <v>2013</v>
      </c>
      <c r="P7" s="168">
        <v>2014</v>
      </c>
      <c r="Q7" s="2">
        <v>2015</v>
      </c>
      <c r="R7" s="2">
        <v>2016</v>
      </c>
      <c r="S7" s="168">
        <v>2017</v>
      </c>
      <c r="T7" s="2">
        <v>2018</v>
      </c>
      <c r="U7" s="2">
        <v>2019</v>
      </c>
      <c r="V7" s="2">
        <v>2020</v>
      </c>
      <c r="W7" s="2">
        <v>2021</v>
      </c>
      <c r="X7" s="2">
        <v>2022</v>
      </c>
      <c r="Y7" s="2">
        <v>2023</v>
      </c>
      <c r="Z7" s="2">
        <v>2024</v>
      </c>
    </row>
    <row r="8" spans="1:26" x14ac:dyDescent="0.25">
      <c r="A8" s="48" t="s">
        <v>0</v>
      </c>
      <c r="B8" s="124">
        <f>[1]ижс!B8/[1]жил!B5*100</f>
        <v>41.619960522580691</v>
      </c>
      <c r="C8" s="124">
        <f>[1]ижс!C8/[1]жил!C5*100</f>
        <v>41.193948875823253</v>
      </c>
      <c r="D8" s="124">
        <f>[1]ижс!D8/[1]жил!D5*100</f>
        <v>41.904162306914721</v>
      </c>
      <c r="E8" s="124">
        <f>[1]ижс!E8/[1]жил!E5*100</f>
        <v>41.607932113922615</v>
      </c>
      <c r="F8" s="124">
        <f>[1]ижс!F8/[1]жил!F5*100</f>
        <v>39.212623750916784</v>
      </c>
      <c r="G8" s="119">
        <v>40.200000000000003</v>
      </c>
      <c r="H8" s="123">
        <v>39.501425262254195</v>
      </c>
      <c r="I8" s="123">
        <v>42.970502096492559</v>
      </c>
      <c r="J8" s="123">
        <v>42.721953717233028</v>
      </c>
      <c r="K8" s="123">
        <v>47.66294438619105</v>
      </c>
      <c r="L8" s="124">
        <v>43.7</v>
      </c>
      <c r="M8" s="124">
        <v>43</v>
      </c>
      <c r="N8" s="124">
        <v>43.2</v>
      </c>
      <c r="O8" s="124">
        <v>43.5</v>
      </c>
      <c r="P8" s="124">
        <v>43</v>
      </c>
      <c r="Q8" s="124">
        <v>41.2</v>
      </c>
      <c r="R8" s="123">
        <v>39.6</v>
      </c>
      <c r="S8" s="119">
        <v>41.6</v>
      </c>
      <c r="T8" s="133">
        <v>42.9</v>
      </c>
      <c r="U8" s="130">
        <v>46.9</v>
      </c>
      <c r="V8" s="113">
        <v>48.4</v>
      </c>
      <c r="W8" s="114">
        <v>53.04891702360667</v>
      </c>
      <c r="X8" s="114">
        <v>55.692169529469339</v>
      </c>
      <c r="Y8" s="114">
        <v>53.134529515696961</v>
      </c>
      <c r="Z8" s="114">
        <v>57.781592759213943</v>
      </c>
    </row>
    <row r="9" spans="1:26" ht="18" x14ac:dyDescent="0.25">
      <c r="A9" s="8" t="s">
        <v>92</v>
      </c>
      <c r="B9" s="124">
        <f>[1]ижс!B11/[1]жил!B6*100</f>
        <v>31.870020923173641</v>
      </c>
      <c r="C9" s="124">
        <f>[1]ижс!C11/[1]жил!C6*100</f>
        <v>30.169066646562122</v>
      </c>
      <c r="D9" s="124">
        <f>[1]ижс!D11/[1]жил!D6*100</f>
        <v>30.366737918605136</v>
      </c>
      <c r="E9" s="124">
        <f>[1]ижс!E11/[1]жил!E6*100</f>
        <v>32.095237379016794</v>
      </c>
      <c r="F9" s="124">
        <f>[1]ижс!F11/[1]жил!F6*100</f>
        <v>30.911741441188202</v>
      </c>
      <c r="G9" s="124">
        <v>33.799999999999997</v>
      </c>
      <c r="H9" s="124">
        <v>29.688031502418603</v>
      </c>
      <c r="I9" s="124">
        <v>35.145772594752181</v>
      </c>
      <c r="J9" s="124">
        <v>35.377491611878206</v>
      </c>
      <c r="K9" s="124">
        <v>39.96739602189124</v>
      </c>
      <c r="L9" s="124">
        <v>39</v>
      </c>
      <c r="M9" s="124">
        <v>38.9</v>
      </c>
      <c r="N9" s="124">
        <v>39.299999999999997</v>
      </c>
      <c r="O9" s="124">
        <v>35.799999999999997</v>
      </c>
      <c r="P9" s="124">
        <v>32.6</v>
      </c>
      <c r="Q9" s="124">
        <v>37.5</v>
      </c>
      <c r="R9" s="123">
        <v>35.4</v>
      </c>
      <c r="S9" s="123">
        <v>40.200000000000003</v>
      </c>
      <c r="T9" s="133">
        <v>42.5</v>
      </c>
      <c r="U9" s="130">
        <v>46.1</v>
      </c>
      <c r="V9" s="133">
        <v>47.2</v>
      </c>
      <c r="W9" s="130">
        <v>48.915470570889504</v>
      </c>
      <c r="X9" s="130">
        <v>53.677095589015821</v>
      </c>
      <c r="Y9" s="130">
        <v>49.919103015743225</v>
      </c>
      <c r="Z9" s="130">
        <v>55.403978624385587</v>
      </c>
    </row>
    <row r="10" spans="1:26" x14ac:dyDescent="0.25">
      <c r="A10" s="9" t="s">
        <v>1</v>
      </c>
      <c r="B10" s="122">
        <f>[1]ижс!B12/[1]жил!B7*100</f>
        <v>51.229216995878922</v>
      </c>
      <c r="C10" s="122">
        <f>[1]ижс!C12/[1]жил!C7*100</f>
        <v>63.033254954652342</v>
      </c>
      <c r="D10" s="122">
        <f>[1]ижс!D12/[1]жил!D7*100</f>
        <v>49.072538078721152</v>
      </c>
      <c r="E10" s="122">
        <f>[1]ижс!E12/[1]жил!E7*100</f>
        <v>52.905244338498214</v>
      </c>
      <c r="F10" s="122">
        <f>[1]ижс!F12/[1]жил!F7*100</f>
        <v>47.832548922467176</v>
      </c>
      <c r="G10" s="122">
        <v>58.5</v>
      </c>
      <c r="H10" s="122">
        <v>67.916489135066044</v>
      </c>
      <c r="I10" s="122">
        <v>62.528195488721806</v>
      </c>
      <c r="J10" s="122">
        <v>60.160043157705445</v>
      </c>
      <c r="K10" s="122">
        <v>69.124213979768527</v>
      </c>
      <c r="L10" s="122">
        <v>77.5</v>
      </c>
      <c r="M10" s="122">
        <v>83.7</v>
      </c>
      <c r="N10" s="122">
        <v>81.900000000000006</v>
      </c>
      <c r="O10" s="122">
        <v>75.7</v>
      </c>
      <c r="P10" s="122">
        <v>73.400000000000006</v>
      </c>
      <c r="Q10" s="122">
        <v>80.5</v>
      </c>
      <c r="R10" s="129">
        <v>84.5</v>
      </c>
      <c r="S10" s="129">
        <v>81.2</v>
      </c>
      <c r="T10" s="131">
        <v>85</v>
      </c>
      <c r="U10" s="131">
        <v>85.1</v>
      </c>
      <c r="V10" s="134">
        <v>81.400000000000006</v>
      </c>
      <c r="W10" s="131">
        <v>87.198148273704646</v>
      </c>
      <c r="X10" s="131">
        <v>74.729954794194626</v>
      </c>
      <c r="Y10" s="131">
        <v>68.925700822534736</v>
      </c>
      <c r="Z10" s="131">
        <v>78.352178096786332</v>
      </c>
    </row>
    <row r="11" spans="1:26" x14ac:dyDescent="0.25">
      <c r="A11" s="9" t="s">
        <v>2</v>
      </c>
      <c r="B11" s="122">
        <f>[1]ижс!B13/[1]жил!B8*100</f>
        <v>39.946737683089211</v>
      </c>
      <c r="C11" s="122">
        <f>[1]ижс!C13/[1]жил!C8*100</f>
        <v>50.063317855635283</v>
      </c>
      <c r="D11" s="122">
        <f>[1]ижс!D13/[1]жил!D8*100</f>
        <v>49.524203558129912</v>
      </c>
      <c r="E11" s="122">
        <f>[1]ижс!E13/[1]жил!E8*100</f>
        <v>51.848512173128945</v>
      </c>
      <c r="F11" s="122">
        <f>[1]ижс!F13/[1]жил!F8*100</f>
        <v>49.650655021834062</v>
      </c>
      <c r="G11" s="122">
        <v>60</v>
      </c>
      <c r="H11" s="122">
        <v>46.082013804303692</v>
      </c>
      <c r="I11" s="122">
        <v>47.135678391959793</v>
      </c>
      <c r="J11" s="122">
        <v>35.840845508237493</v>
      </c>
      <c r="K11" s="122">
        <v>37.234344006800796</v>
      </c>
      <c r="L11" s="122">
        <v>35.4</v>
      </c>
      <c r="M11" s="122">
        <v>33</v>
      </c>
      <c r="N11" s="122">
        <v>34.5</v>
      </c>
      <c r="O11" s="122">
        <v>40.200000000000003</v>
      </c>
      <c r="P11" s="122">
        <v>36.4</v>
      </c>
      <c r="Q11" s="122">
        <v>33.799999999999997</v>
      </c>
      <c r="R11" s="129">
        <v>14.9</v>
      </c>
      <c r="S11" s="129">
        <v>13</v>
      </c>
      <c r="T11" s="134">
        <v>17.399999999999999</v>
      </c>
      <c r="U11" s="131">
        <v>35.799999999999997</v>
      </c>
      <c r="V11" s="134">
        <v>41.1</v>
      </c>
      <c r="W11" s="131">
        <v>51.979755022482117</v>
      </c>
      <c r="X11" s="131">
        <v>59.82559802753304</v>
      </c>
      <c r="Y11" s="131">
        <v>45.426744020413508</v>
      </c>
      <c r="Z11" s="131">
        <v>65.617182386511828</v>
      </c>
    </row>
    <row r="12" spans="1:26" x14ac:dyDescent="0.25">
      <c r="A12" s="9" t="s">
        <v>3</v>
      </c>
      <c r="B12" s="122">
        <f>[1]ижс!B14/[1]жил!B9*100</f>
        <v>29.187455452601569</v>
      </c>
      <c r="C12" s="122">
        <f>[1]ижс!C14/[1]жил!C9*100</f>
        <v>38.333333333333329</v>
      </c>
      <c r="D12" s="122">
        <f>[1]ижс!D14/[1]жил!D9*100</f>
        <v>40.939597315436245</v>
      </c>
      <c r="E12" s="122">
        <f>[1]ижс!E14/[1]жил!E9*100</f>
        <v>40.050107372942023</v>
      </c>
      <c r="F12" s="122">
        <f>[1]ижс!F14/[1]жил!F9*100</f>
        <v>44.650015417823006</v>
      </c>
      <c r="G12" s="122">
        <v>40.799999999999997</v>
      </c>
      <c r="H12" s="122">
        <v>45.0629944330501</v>
      </c>
      <c r="I12" s="122">
        <v>55.37234042553191</v>
      </c>
      <c r="J12" s="122">
        <v>51.502145922746791</v>
      </c>
      <c r="K12" s="122">
        <v>50.421286031042136</v>
      </c>
      <c r="L12" s="122">
        <v>49.7</v>
      </c>
      <c r="M12" s="122">
        <v>58.5</v>
      </c>
      <c r="N12" s="122">
        <v>60.2</v>
      </c>
      <c r="O12" s="122">
        <v>50</v>
      </c>
      <c r="P12" s="122">
        <v>52</v>
      </c>
      <c r="Q12" s="122">
        <v>51.1</v>
      </c>
      <c r="R12" s="129">
        <v>50.1</v>
      </c>
      <c r="S12" s="129">
        <v>59.5</v>
      </c>
      <c r="T12" s="131">
        <v>56</v>
      </c>
      <c r="U12" s="131">
        <v>69</v>
      </c>
      <c r="V12" s="134">
        <v>66.2</v>
      </c>
      <c r="W12" s="131">
        <v>78.425072006120061</v>
      </c>
      <c r="X12" s="131">
        <v>63.814802981355541</v>
      </c>
      <c r="Y12" s="131">
        <v>67.911513031817137</v>
      </c>
      <c r="Z12" s="131">
        <v>79.797807767506185</v>
      </c>
    </row>
    <row r="13" spans="1:26" x14ac:dyDescent="0.25">
      <c r="A13" s="9" t="s">
        <v>4</v>
      </c>
      <c r="B13" s="122">
        <f>[1]ижс!B15/[1]жил!B10*100</f>
        <v>36.89115526639705</v>
      </c>
      <c r="C13" s="122">
        <f>[1]ижс!C15/[1]жил!C10*100</f>
        <v>43.277454669859736</v>
      </c>
      <c r="D13" s="122">
        <f>[1]ижс!D15/[1]жил!D10*100</f>
        <v>48.131127450980394</v>
      </c>
      <c r="E13" s="122">
        <f>[1]ижс!E15/[1]жил!E10*100</f>
        <v>36.61690215942415</v>
      </c>
      <c r="F13" s="122">
        <f>[1]ижс!F15/[1]жил!F10*100</f>
        <v>36.398576512455513</v>
      </c>
      <c r="G13" s="122">
        <v>33.200000000000003</v>
      </c>
      <c r="H13" s="122">
        <v>27.437668266416953</v>
      </c>
      <c r="I13" s="122">
        <v>30.78817733990148</v>
      </c>
      <c r="J13" s="122">
        <v>29.156626506024097</v>
      </c>
      <c r="K13" s="122">
        <v>41.62442266531486</v>
      </c>
      <c r="L13" s="122">
        <v>33.299999999999997</v>
      </c>
      <c r="M13" s="122">
        <v>40.200000000000003</v>
      </c>
      <c r="N13" s="122">
        <v>36.6</v>
      </c>
      <c r="O13" s="122">
        <v>36.4</v>
      </c>
      <c r="P13" s="122">
        <v>34.1</v>
      </c>
      <c r="Q13" s="122">
        <v>28.5</v>
      </c>
      <c r="R13" s="129">
        <v>27.5</v>
      </c>
      <c r="S13" s="129">
        <v>38.799999999999997</v>
      </c>
      <c r="T13" s="131">
        <v>47</v>
      </c>
      <c r="U13" s="131">
        <v>41.4</v>
      </c>
      <c r="V13" s="134">
        <v>48.9</v>
      </c>
      <c r="W13" s="131">
        <v>52.652664896327892</v>
      </c>
      <c r="X13" s="131">
        <v>48.63095563308643</v>
      </c>
      <c r="Y13" s="131">
        <v>49.726803624747767</v>
      </c>
      <c r="Z13" s="131">
        <v>60.028253484467051</v>
      </c>
    </row>
    <row r="14" spans="1:26" x14ac:dyDescent="0.25">
      <c r="A14" s="9" t="s">
        <v>5</v>
      </c>
      <c r="B14" s="122">
        <f>[1]ижс!B16/[1]жил!B11*100</f>
        <v>34.502369668246445</v>
      </c>
      <c r="C14" s="122">
        <f>[1]ижс!C16/[1]жил!C11*100</f>
        <v>37.336244541484717</v>
      </c>
      <c r="D14" s="122">
        <f>[1]ижс!D16/[1]жил!D11*100</f>
        <v>42.046605876393109</v>
      </c>
      <c r="E14" s="122">
        <f>[1]ижс!E16/[1]жил!E11*100</f>
        <v>38.76357560568087</v>
      </c>
      <c r="F14" s="122">
        <f>[1]ижс!F16/[1]жил!F11*100</f>
        <v>55.382907880133189</v>
      </c>
      <c r="G14" s="122">
        <v>40.5</v>
      </c>
      <c r="H14" s="122">
        <v>27.257525083612038</v>
      </c>
      <c r="I14" s="122">
        <v>33.943661971830991</v>
      </c>
      <c r="J14" s="122">
        <v>31.440281030444968</v>
      </c>
      <c r="K14" s="122">
        <v>33.887399463806972</v>
      </c>
      <c r="L14" s="122">
        <v>29.6</v>
      </c>
      <c r="M14" s="122">
        <v>49.2</v>
      </c>
      <c r="N14" s="122">
        <v>45</v>
      </c>
      <c r="O14" s="122">
        <v>34.4</v>
      </c>
      <c r="P14" s="122">
        <v>30.7</v>
      </c>
      <c r="Q14" s="122">
        <v>19.7</v>
      </c>
      <c r="R14" s="129">
        <v>15</v>
      </c>
      <c r="S14" s="129">
        <v>38</v>
      </c>
      <c r="T14" s="134">
        <v>41.8</v>
      </c>
      <c r="U14" s="131">
        <v>55.2</v>
      </c>
      <c r="V14" s="134">
        <v>58.5</v>
      </c>
      <c r="W14" s="131">
        <v>81.287648110147614</v>
      </c>
      <c r="X14" s="131">
        <v>68.427316491374725</v>
      </c>
      <c r="Y14" s="131">
        <v>59.367656108066925</v>
      </c>
      <c r="Z14" s="131">
        <v>64.109690850693013</v>
      </c>
    </row>
    <row r="15" spans="1:26" x14ac:dyDescent="0.25">
      <c r="A15" s="9" t="s">
        <v>6</v>
      </c>
      <c r="B15" s="122">
        <f>[1]ижс!B17/[1]жил!B12*100</f>
        <v>31.053811659192824</v>
      </c>
      <c r="C15" s="122">
        <f>[1]ижс!C17/[1]жил!C12*100</f>
        <v>35.412371134020617</v>
      </c>
      <c r="D15" s="122">
        <f>[1]ижс!D17/[1]жил!D12*100</f>
        <v>37.134207870837535</v>
      </c>
      <c r="E15" s="122">
        <f>[1]ижс!E17/[1]жил!E12*100</f>
        <v>53.437932625749887</v>
      </c>
      <c r="F15" s="122">
        <f>[1]ижс!F17/[1]жил!F12*100</f>
        <v>57.495344506517689</v>
      </c>
      <c r="G15" s="122">
        <v>49.4</v>
      </c>
      <c r="H15" s="122">
        <v>45.262363155907899</v>
      </c>
      <c r="I15" s="122">
        <v>46.486250545613274</v>
      </c>
      <c r="J15" s="122">
        <v>46.128266033254157</v>
      </c>
      <c r="K15" s="122">
        <v>64.287278300853956</v>
      </c>
      <c r="L15" s="122">
        <v>54.5</v>
      </c>
      <c r="M15" s="122">
        <v>49.3</v>
      </c>
      <c r="N15" s="122">
        <v>44.9</v>
      </c>
      <c r="O15" s="122">
        <v>53.7</v>
      </c>
      <c r="P15" s="122">
        <v>59.3</v>
      </c>
      <c r="Q15" s="122">
        <v>47.4</v>
      </c>
      <c r="R15" s="129">
        <v>47.2</v>
      </c>
      <c r="S15" s="129">
        <v>49.9</v>
      </c>
      <c r="T15" s="134">
        <v>48.1</v>
      </c>
      <c r="U15" s="131">
        <v>59.2</v>
      </c>
      <c r="V15" s="134">
        <v>74.599999999999994</v>
      </c>
      <c r="W15" s="131">
        <v>65.909863383319006</v>
      </c>
      <c r="X15" s="131">
        <v>76.978165233533886</v>
      </c>
      <c r="Y15" s="131">
        <v>73.173417814305154</v>
      </c>
      <c r="Z15" s="131">
        <v>76.32258803072915</v>
      </c>
    </row>
    <row r="16" spans="1:26" x14ac:dyDescent="0.25">
      <c r="A16" s="9" t="s">
        <v>7</v>
      </c>
      <c r="B16" s="122">
        <f>[1]ижс!B18/[1]жил!B13*100</f>
        <v>21.451304901336734</v>
      </c>
      <c r="C16" s="122">
        <f>[1]ижс!C18/[1]жил!C13*100</f>
        <v>26.162162162162161</v>
      </c>
      <c r="D16" s="122">
        <f>[1]ижс!D18/[1]жил!D13*100</f>
        <v>37.344028520499108</v>
      </c>
      <c r="E16" s="122">
        <f>[1]ижс!E18/[1]жил!E13*100</f>
        <v>52.857142857142861</v>
      </c>
      <c r="F16" s="122">
        <f>[1]ижс!F18/[1]жил!F13*100</f>
        <v>67.564259485924111</v>
      </c>
      <c r="G16" s="122">
        <v>52.1</v>
      </c>
      <c r="H16" s="122">
        <v>39.432753888380603</v>
      </c>
      <c r="I16" s="122">
        <v>60.113960113960118</v>
      </c>
      <c r="J16" s="122">
        <v>66.979865771812072</v>
      </c>
      <c r="K16" s="122">
        <v>56.596452328159643</v>
      </c>
      <c r="L16" s="122">
        <v>49.1</v>
      </c>
      <c r="M16" s="122">
        <v>49.3</v>
      </c>
      <c r="N16" s="122">
        <v>42.2</v>
      </c>
      <c r="O16" s="122">
        <v>66.400000000000006</v>
      </c>
      <c r="P16" s="122">
        <v>54.5</v>
      </c>
      <c r="Q16" s="122">
        <v>41.8</v>
      </c>
      <c r="R16" s="129">
        <v>50.1</v>
      </c>
      <c r="S16" s="129">
        <v>38.200000000000003</v>
      </c>
      <c r="T16" s="134">
        <v>60.9</v>
      </c>
      <c r="U16" s="131">
        <v>61.3</v>
      </c>
      <c r="V16" s="131">
        <v>53</v>
      </c>
      <c r="W16" s="131">
        <v>55.476239586042382</v>
      </c>
      <c r="X16" s="131">
        <v>58.769895225145966</v>
      </c>
      <c r="Y16" s="131">
        <v>60.801542601892187</v>
      </c>
      <c r="Z16" s="131">
        <v>69.014588235294113</v>
      </c>
    </row>
    <row r="17" spans="1:26" x14ac:dyDescent="0.25">
      <c r="A17" s="9" t="s">
        <v>8</v>
      </c>
      <c r="B17" s="122">
        <f>[1]ижс!B19/[1]жил!B14*100</f>
        <v>34.490608992601032</v>
      </c>
      <c r="C17" s="122">
        <f>[1]ижс!C19/[1]жил!C14*100</f>
        <v>35.443694862480541</v>
      </c>
      <c r="D17" s="122">
        <f>[1]ижс!D19/[1]жил!D14*100</f>
        <v>36.430062630480165</v>
      </c>
      <c r="E17" s="122">
        <f>[1]ижс!E19/[1]жил!E14*100</f>
        <v>27.328742297934038</v>
      </c>
      <c r="F17" s="122">
        <f>[1]ижс!F19/[1]жил!F14*100</f>
        <v>35.889355742296914</v>
      </c>
      <c r="G17" s="122">
        <v>32.4</v>
      </c>
      <c r="H17" s="122">
        <v>22.497704315886136</v>
      </c>
      <c r="I17" s="122">
        <v>21.873336881319851</v>
      </c>
      <c r="J17" s="122">
        <v>35.450682174010282</v>
      </c>
      <c r="K17" s="122">
        <v>23.569392677044508</v>
      </c>
      <c r="L17" s="122">
        <v>25.8</v>
      </c>
      <c r="M17" s="122">
        <v>23.1</v>
      </c>
      <c r="N17" s="122">
        <v>33.1</v>
      </c>
      <c r="O17" s="122">
        <v>38</v>
      </c>
      <c r="P17" s="122">
        <v>30.7</v>
      </c>
      <c r="Q17" s="122">
        <v>42.9</v>
      </c>
      <c r="R17" s="129">
        <v>38.6</v>
      </c>
      <c r="S17" s="129">
        <v>43.6</v>
      </c>
      <c r="T17" s="134">
        <v>54.7</v>
      </c>
      <c r="U17" s="131">
        <v>62.1</v>
      </c>
      <c r="V17" s="134">
        <v>63.1</v>
      </c>
      <c r="W17" s="131">
        <v>56.475120986920857</v>
      </c>
      <c r="X17" s="131">
        <v>68.064116367630376</v>
      </c>
      <c r="Y17" s="131">
        <v>65.576522623448326</v>
      </c>
      <c r="Z17" s="131">
        <v>69.403342942676574</v>
      </c>
    </row>
    <row r="18" spans="1:26" x14ac:dyDescent="0.25">
      <c r="A18" s="9" t="s">
        <v>9</v>
      </c>
      <c r="B18" s="122">
        <f>[1]ижс!B20/[1]жил!B15*100</f>
        <v>41.064757160647574</v>
      </c>
      <c r="C18" s="122">
        <f>[1]ижс!C20/[1]жил!C15*100</f>
        <v>45.322622441046903</v>
      </c>
      <c r="D18" s="122">
        <f>[1]ижс!D20/[1]жил!D15*100</f>
        <v>52.598684210526315</v>
      </c>
      <c r="E18" s="122">
        <f>[1]ижс!E20/[1]жил!E15*100</f>
        <v>50.474820143884891</v>
      </c>
      <c r="F18" s="122">
        <f>[1]ижс!F20/[1]жил!F15*100</f>
        <v>46.652421652421658</v>
      </c>
      <c r="G18" s="122">
        <v>44.4</v>
      </c>
      <c r="H18" s="122">
        <v>49.363621717415811</v>
      </c>
      <c r="I18" s="122">
        <v>53.929078014184398</v>
      </c>
      <c r="J18" s="122">
        <v>50.727247541210694</v>
      </c>
      <c r="K18" s="122">
        <v>67.833219412166784</v>
      </c>
      <c r="L18" s="122">
        <v>69.599999999999994</v>
      </c>
      <c r="M18" s="122">
        <v>60.7</v>
      </c>
      <c r="N18" s="122">
        <v>74.400000000000006</v>
      </c>
      <c r="O18" s="122">
        <v>67.599999999999994</v>
      </c>
      <c r="P18" s="122">
        <v>70.400000000000006</v>
      </c>
      <c r="Q18" s="122">
        <v>54.1</v>
      </c>
      <c r="R18" s="129">
        <v>57.1</v>
      </c>
      <c r="S18" s="129">
        <v>74.900000000000006</v>
      </c>
      <c r="T18" s="134">
        <v>72.400000000000006</v>
      </c>
      <c r="U18" s="131">
        <v>74.8</v>
      </c>
      <c r="V18" s="134">
        <v>85.5</v>
      </c>
      <c r="W18" s="131">
        <v>71.352657161269008</v>
      </c>
      <c r="X18" s="131">
        <v>72.189825374740693</v>
      </c>
      <c r="Y18" s="131">
        <v>74.555285015832411</v>
      </c>
      <c r="Z18" s="131">
        <v>63.320323756464767</v>
      </c>
    </row>
    <row r="19" spans="1:26" x14ac:dyDescent="0.25">
      <c r="A19" s="9" t="s">
        <v>10</v>
      </c>
      <c r="B19" s="122">
        <f>[1]ижс!B21/[1]жил!B16*100</f>
        <v>59.385652457007168</v>
      </c>
      <c r="C19" s="122">
        <f>[1]ижс!C21/[1]жил!C16*100</f>
        <v>46.509654148100999</v>
      </c>
      <c r="D19" s="122">
        <f>[1]ижс!D21/[1]жил!D16*100</f>
        <v>47.75682324001405</v>
      </c>
      <c r="E19" s="122">
        <f>[1]ижс!E21/[1]жил!E16*100</f>
        <v>51.370662000583266</v>
      </c>
      <c r="F19" s="122">
        <f>[1]ижс!F21/[1]жил!F16*100</f>
        <v>43.249243894337511</v>
      </c>
      <c r="G19" s="122">
        <v>51.3</v>
      </c>
      <c r="H19" s="122">
        <v>38.3466995681678</v>
      </c>
      <c r="I19" s="122">
        <v>46.835443037974684</v>
      </c>
      <c r="J19" s="122">
        <v>41.13332994975385</v>
      </c>
      <c r="K19" s="122">
        <v>42.747278750591576</v>
      </c>
      <c r="L19" s="122">
        <v>37.299999999999997</v>
      </c>
      <c r="M19" s="122">
        <v>34</v>
      </c>
      <c r="N19" s="122">
        <v>36</v>
      </c>
      <c r="O19" s="122">
        <v>24.1</v>
      </c>
      <c r="P19" s="122">
        <v>16.899999999999999</v>
      </c>
      <c r="Q19" s="122">
        <v>33.5</v>
      </c>
      <c r="R19" s="129">
        <v>31.5</v>
      </c>
      <c r="S19" s="129">
        <v>38.9</v>
      </c>
      <c r="T19" s="134">
        <v>41.9</v>
      </c>
      <c r="U19" s="131">
        <v>47.3</v>
      </c>
      <c r="V19" s="134">
        <v>49.6</v>
      </c>
      <c r="W19" s="131">
        <v>62.814548264157168</v>
      </c>
      <c r="X19" s="131">
        <v>67.087489156716757</v>
      </c>
      <c r="Y19" s="131">
        <v>61.49601728313467</v>
      </c>
      <c r="Z19" s="131">
        <v>69.709709806259838</v>
      </c>
    </row>
    <row r="20" spans="1:26" x14ac:dyDescent="0.25">
      <c r="A20" s="9" t="s">
        <v>11</v>
      </c>
      <c r="B20" s="122">
        <f>[1]ижс!B22/[1]жил!B17*100</f>
        <v>61.933904528763776</v>
      </c>
      <c r="C20" s="122">
        <f>[1]ижс!C22/[1]жил!C17*100</f>
        <v>61.332250203086922</v>
      </c>
      <c r="D20" s="122">
        <f>[1]ижс!D22/[1]жил!D17*100</f>
        <v>56.322331761680246</v>
      </c>
      <c r="E20" s="122">
        <f>[1]ижс!E22/[1]жил!E17*100</f>
        <v>51.002506265664159</v>
      </c>
      <c r="F20" s="122">
        <f>[1]ижс!F22/[1]жил!F17*100</f>
        <v>49.337748344370866</v>
      </c>
      <c r="G20" s="122">
        <v>44.2</v>
      </c>
      <c r="H20" s="122">
        <v>32.739509105304833</v>
      </c>
      <c r="I20" s="122">
        <v>26.70967741935484</v>
      </c>
      <c r="J20" s="122">
        <v>28.588957055214724</v>
      </c>
      <c r="K20" s="122">
        <v>27.685676392572944</v>
      </c>
      <c r="L20" s="122">
        <v>28.8</v>
      </c>
      <c r="M20" s="122">
        <v>40.700000000000003</v>
      </c>
      <c r="N20" s="122">
        <v>45.5</v>
      </c>
      <c r="O20" s="122">
        <v>35</v>
      </c>
      <c r="P20" s="122">
        <v>41.9</v>
      </c>
      <c r="Q20" s="122">
        <v>41.8</v>
      </c>
      <c r="R20" s="129">
        <v>30.4</v>
      </c>
      <c r="S20" s="129">
        <v>37.4</v>
      </c>
      <c r="T20" s="134">
        <v>41.5</v>
      </c>
      <c r="U20" s="131">
        <v>61.5</v>
      </c>
      <c r="V20" s="134">
        <v>49.6</v>
      </c>
      <c r="W20" s="131">
        <v>73.481066246240985</v>
      </c>
      <c r="X20" s="131">
        <v>50.849156188618231</v>
      </c>
      <c r="Y20" s="131">
        <v>52.02953704816462</v>
      </c>
      <c r="Z20" s="131">
        <v>51.884947177839372</v>
      </c>
    </row>
    <row r="21" spans="1:26" x14ac:dyDescent="0.25">
      <c r="A21" s="9" t="s">
        <v>12</v>
      </c>
      <c r="B21" s="122">
        <f>[1]ижс!B23/[1]жил!B18*100</f>
        <v>29.847238542890715</v>
      </c>
      <c r="C21" s="122">
        <f>[1]ижс!C23/[1]жил!C18*100</f>
        <v>51.441000543773782</v>
      </c>
      <c r="D21" s="122">
        <f>[1]ижс!D23/[1]жил!D18*100</f>
        <v>42.831379621280433</v>
      </c>
      <c r="E21" s="122">
        <f>[1]ижс!E23/[1]жил!E18*100</f>
        <v>44.08194233687405</v>
      </c>
      <c r="F21" s="122">
        <f>[1]ижс!F23/[1]жил!F18*100</f>
        <v>38.17442719881744</v>
      </c>
      <c r="G21" s="122">
        <v>37.200000000000003</v>
      </c>
      <c r="H21" s="122">
        <v>33.88210302708444</v>
      </c>
      <c r="I21" s="122">
        <v>24.967148488830485</v>
      </c>
      <c r="J21" s="122">
        <v>24.458142771922848</v>
      </c>
      <c r="K21" s="122">
        <v>26.598666143585721</v>
      </c>
      <c r="L21" s="122">
        <v>23.7</v>
      </c>
      <c r="M21" s="122">
        <v>32.6</v>
      </c>
      <c r="N21" s="122">
        <v>29.2</v>
      </c>
      <c r="O21" s="122">
        <v>39.1</v>
      </c>
      <c r="P21" s="122">
        <v>38.9</v>
      </c>
      <c r="Q21" s="122">
        <v>39.6</v>
      </c>
      <c r="R21" s="129">
        <v>30.4</v>
      </c>
      <c r="S21" s="129">
        <v>45.1</v>
      </c>
      <c r="T21" s="134">
        <v>37.200000000000003</v>
      </c>
      <c r="U21" s="131">
        <v>41.5</v>
      </c>
      <c r="V21" s="134">
        <v>41.3</v>
      </c>
      <c r="W21" s="131">
        <v>41.695108753820357</v>
      </c>
      <c r="X21" s="131">
        <v>47.876628692313332</v>
      </c>
      <c r="Y21" s="131">
        <v>54.265765697134064</v>
      </c>
      <c r="Z21" s="131">
        <v>55.076678567162595</v>
      </c>
    </row>
    <row r="22" spans="1:26" x14ac:dyDescent="0.25">
      <c r="A22" s="9" t="s">
        <v>13</v>
      </c>
      <c r="B22" s="122">
        <f>[1]ижс!B24/[1]жил!B19*100</f>
        <v>26.591981132075471</v>
      </c>
      <c r="C22" s="122">
        <f>[1]ижс!C24/[1]жил!C19*100</f>
        <v>38.845726970033297</v>
      </c>
      <c r="D22" s="122">
        <f>[1]ижс!D24/[1]жил!D19*100</f>
        <v>28.374233128834359</v>
      </c>
      <c r="E22" s="122">
        <f>[1]ижс!E24/[1]жил!E19*100</f>
        <v>38.692307692307693</v>
      </c>
      <c r="F22" s="122">
        <f>[1]ижс!F24/[1]жил!F19*100</f>
        <v>33.725341426403645</v>
      </c>
      <c r="G22" s="122">
        <v>35.9</v>
      </c>
      <c r="H22" s="122">
        <v>43.640646029609684</v>
      </c>
      <c r="I22" s="122">
        <v>48.185148185148179</v>
      </c>
      <c r="J22" s="122">
        <v>40.968396636706302</v>
      </c>
      <c r="K22" s="122">
        <v>37.489152444315884</v>
      </c>
      <c r="L22" s="122">
        <v>46.4</v>
      </c>
      <c r="M22" s="122">
        <v>44.4</v>
      </c>
      <c r="N22" s="122">
        <v>53.8</v>
      </c>
      <c r="O22" s="122">
        <v>50.9</v>
      </c>
      <c r="P22" s="122">
        <v>52.1</v>
      </c>
      <c r="Q22" s="122">
        <v>62.1</v>
      </c>
      <c r="R22" s="129">
        <v>48.8</v>
      </c>
      <c r="S22" s="129">
        <v>45.4</v>
      </c>
      <c r="T22" s="131">
        <v>63</v>
      </c>
      <c r="U22" s="131">
        <v>60</v>
      </c>
      <c r="V22" s="134">
        <v>53.3</v>
      </c>
      <c r="W22" s="131">
        <v>58.462423725585978</v>
      </c>
      <c r="X22" s="131">
        <v>62.432556927805237</v>
      </c>
      <c r="Y22" s="131">
        <v>61.179320969656381</v>
      </c>
      <c r="Z22" s="131">
        <v>57.996293624184808</v>
      </c>
    </row>
    <row r="23" spans="1:26" x14ac:dyDescent="0.25">
      <c r="A23" s="9" t="s">
        <v>14</v>
      </c>
      <c r="B23" s="122">
        <f>[1]ижс!B25/[1]жил!B20*100</f>
        <v>47.324761509746992</v>
      </c>
      <c r="C23" s="122">
        <f>[1]ижс!C25/[1]жил!C20*100</f>
        <v>56.819211599456274</v>
      </c>
      <c r="D23" s="122">
        <f>[1]ижс!D25/[1]жил!D20*100</f>
        <v>67.606768734891219</v>
      </c>
      <c r="E23" s="122">
        <f>[1]ижс!E25/[1]жил!E20*100</f>
        <v>57.788944723618094</v>
      </c>
      <c r="F23" s="122">
        <f>[1]ижс!F25/[1]жил!F20*100</f>
        <v>51.976856316297003</v>
      </c>
      <c r="G23" s="122">
        <v>63.3</v>
      </c>
      <c r="H23" s="122">
        <v>67.284390591589442</v>
      </c>
      <c r="I23" s="122">
        <v>74.905321905521234</v>
      </c>
      <c r="J23" s="122">
        <v>69.771591720199851</v>
      </c>
      <c r="K23" s="122">
        <v>73.74821173104435</v>
      </c>
      <c r="L23" s="122">
        <v>68.8</v>
      </c>
      <c r="M23" s="122">
        <v>65.900000000000006</v>
      </c>
      <c r="N23" s="122">
        <v>72.099999999999994</v>
      </c>
      <c r="O23" s="122">
        <v>70.7</v>
      </c>
      <c r="P23" s="122">
        <v>71.2</v>
      </c>
      <c r="Q23" s="122">
        <v>60.8</v>
      </c>
      <c r="R23" s="129">
        <v>72</v>
      </c>
      <c r="S23" s="129">
        <v>76.7</v>
      </c>
      <c r="T23" s="134">
        <v>68.599999999999994</v>
      </c>
      <c r="U23" s="131">
        <v>78.2</v>
      </c>
      <c r="V23" s="134">
        <v>77.8</v>
      </c>
      <c r="W23" s="131">
        <v>79.55890938013016</v>
      </c>
      <c r="X23" s="131">
        <v>58.803207528907222</v>
      </c>
      <c r="Y23" s="131">
        <v>61.892198374964885</v>
      </c>
      <c r="Z23" s="131">
        <v>67.489178214291698</v>
      </c>
    </row>
    <row r="24" spans="1:26" x14ac:dyDescent="0.25">
      <c r="A24" s="9" t="s">
        <v>15</v>
      </c>
      <c r="B24" s="122">
        <f>[1]ижс!B26/[1]жил!B21*100</f>
        <v>42.994947175011482</v>
      </c>
      <c r="C24" s="122">
        <f>[1]ижс!C26/[1]жил!C21*100</f>
        <v>38.310185185185183</v>
      </c>
      <c r="D24" s="122">
        <f>[1]ижс!D26/[1]жил!D21*100</f>
        <v>50.656370656370655</v>
      </c>
      <c r="E24" s="122">
        <f>[1]ижс!E26/[1]жил!E21*100</f>
        <v>58.358974358974358</v>
      </c>
      <c r="F24" s="122">
        <f>[1]ижс!F26/[1]жил!F21*100</f>
        <v>56.658369632856257</v>
      </c>
      <c r="G24" s="122">
        <v>56.8</v>
      </c>
      <c r="H24" s="122">
        <v>44.086931978549245</v>
      </c>
      <c r="I24" s="122">
        <v>51.086696919035113</v>
      </c>
      <c r="J24" s="122">
        <v>61.243881370572986</v>
      </c>
      <c r="K24" s="122">
        <v>59.991119005328599</v>
      </c>
      <c r="L24" s="122">
        <v>52</v>
      </c>
      <c r="M24" s="122">
        <v>54.5</v>
      </c>
      <c r="N24" s="122">
        <v>44.7</v>
      </c>
      <c r="O24" s="122">
        <v>57.6</v>
      </c>
      <c r="P24" s="122">
        <v>55.5</v>
      </c>
      <c r="Q24" s="122">
        <v>31.8</v>
      </c>
      <c r="R24" s="129">
        <v>32.4</v>
      </c>
      <c r="S24" s="129">
        <v>25.8</v>
      </c>
      <c r="T24" s="134">
        <v>35.9</v>
      </c>
      <c r="U24" s="131">
        <v>61.5</v>
      </c>
      <c r="V24" s="131">
        <v>56</v>
      </c>
      <c r="W24" s="131">
        <v>46.19894606988656</v>
      </c>
      <c r="X24" s="131">
        <v>61.178096425334758</v>
      </c>
      <c r="Y24" s="131">
        <v>61.435544849235534</v>
      </c>
      <c r="Z24" s="131">
        <v>70.615419166182392</v>
      </c>
    </row>
    <row r="25" spans="1:26" x14ac:dyDescent="0.25">
      <c r="A25" s="9" t="s">
        <v>16</v>
      </c>
      <c r="B25" s="122">
        <f>[1]ижс!B27/[1]жил!B22*100</f>
        <v>39.545997610513737</v>
      </c>
      <c r="C25" s="122">
        <f>[1]ижс!C27/[1]жил!C22*100</f>
        <v>48.515625</v>
      </c>
      <c r="D25" s="122">
        <f>[1]ижс!D27/[1]жил!D22*100</f>
        <v>54.914196567862703</v>
      </c>
      <c r="E25" s="122">
        <f>[1]ижс!E27/[1]жил!E22*100</f>
        <v>50.089605734767026</v>
      </c>
      <c r="F25" s="122">
        <f>[1]ижс!F27/[1]жил!F22*100</f>
        <v>43.121815655396013</v>
      </c>
      <c r="G25" s="122">
        <v>47.9</v>
      </c>
      <c r="H25" s="122">
        <v>42.264752791068574</v>
      </c>
      <c r="I25" s="122">
        <v>52.110490378646816</v>
      </c>
      <c r="J25" s="122">
        <v>46.463677775113879</v>
      </c>
      <c r="K25" s="122">
        <v>57.016210739614991</v>
      </c>
      <c r="L25" s="122">
        <v>48.2</v>
      </c>
      <c r="M25" s="122">
        <v>64.8</v>
      </c>
      <c r="N25" s="122">
        <v>65.5</v>
      </c>
      <c r="O25" s="122">
        <v>58.3</v>
      </c>
      <c r="P25" s="122">
        <v>63.7</v>
      </c>
      <c r="Q25" s="122">
        <v>56.3</v>
      </c>
      <c r="R25" s="129">
        <v>44.1</v>
      </c>
      <c r="S25" s="129">
        <v>43.4</v>
      </c>
      <c r="T25" s="134">
        <v>48.3</v>
      </c>
      <c r="U25" s="131">
        <v>61.9</v>
      </c>
      <c r="V25" s="134">
        <v>46.8</v>
      </c>
      <c r="W25" s="131">
        <v>60.405072617172408</v>
      </c>
      <c r="X25" s="131">
        <v>63.037336477089006</v>
      </c>
      <c r="Y25" s="131">
        <v>58.151810341628035</v>
      </c>
      <c r="Z25" s="131">
        <v>65.254941474361914</v>
      </c>
    </row>
    <row r="26" spans="1:26" x14ac:dyDescent="0.25">
      <c r="A26" s="9" t="s">
        <v>17</v>
      </c>
      <c r="B26" s="122">
        <f>[1]ижс!B28/[1]жил!B23*100</f>
        <v>40.947288006111535</v>
      </c>
      <c r="C26" s="122">
        <f>[1]ижс!C28/[1]жил!C23*100</f>
        <v>29.520295202952028</v>
      </c>
      <c r="D26" s="122">
        <f>[1]ижс!D28/[1]жил!D23*100</f>
        <v>31.825987406983401</v>
      </c>
      <c r="E26" s="122">
        <f>[1]ижс!E28/[1]жил!E23*100</f>
        <v>27.048417132216013</v>
      </c>
      <c r="F26" s="122">
        <f>[1]ижс!F28/[1]жил!F23*100</f>
        <v>36.091954022988503</v>
      </c>
      <c r="G26" s="122">
        <v>36.9</v>
      </c>
      <c r="H26" s="122">
        <v>18.833535844471445</v>
      </c>
      <c r="I26" s="122">
        <v>27.385201046871284</v>
      </c>
      <c r="J26" s="122">
        <v>19.098009574200052</v>
      </c>
      <c r="K26" s="122">
        <v>24.388947927736453</v>
      </c>
      <c r="L26" s="122">
        <v>25.1</v>
      </c>
      <c r="M26" s="122">
        <v>38.9</v>
      </c>
      <c r="N26" s="122">
        <v>37.200000000000003</v>
      </c>
      <c r="O26" s="122">
        <v>45.8</v>
      </c>
      <c r="P26" s="122">
        <v>28.8</v>
      </c>
      <c r="Q26" s="122">
        <v>35.700000000000003</v>
      </c>
      <c r="R26" s="129">
        <v>36.700000000000003</v>
      </c>
      <c r="S26" s="129">
        <v>43.5</v>
      </c>
      <c r="T26" s="134">
        <v>52.4</v>
      </c>
      <c r="U26" s="131">
        <v>50.9</v>
      </c>
      <c r="V26" s="134">
        <v>46.2</v>
      </c>
      <c r="W26" s="131">
        <v>55.779998526517424</v>
      </c>
      <c r="X26" s="131">
        <v>63.006268868137774</v>
      </c>
      <c r="Y26" s="131">
        <v>54.787774965770154</v>
      </c>
      <c r="Z26" s="131">
        <v>58.403271469015415</v>
      </c>
    </row>
    <row r="27" spans="1:26" x14ac:dyDescent="0.25">
      <c r="A27" s="9" t="s">
        <v>18</v>
      </c>
      <c r="B27" s="122" t="s">
        <v>96</v>
      </c>
      <c r="C27" s="122" t="s">
        <v>96</v>
      </c>
      <c r="D27" s="122" t="s">
        <v>96</v>
      </c>
      <c r="E27" s="122" t="s">
        <v>96</v>
      </c>
      <c r="F27" s="122" t="s">
        <v>96</v>
      </c>
      <c r="G27" s="122" t="s">
        <v>96</v>
      </c>
      <c r="H27" s="122" t="s">
        <v>96</v>
      </c>
      <c r="I27" s="122" t="s">
        <v>96</v>
      </c>
      <c r="J27" s="122" t="s">
        <v>96</v>
      </c>
      <c r="K27" s="122">
        <v>1.4980580728685038</v>
      </c>
      <c r="L27" s="122">
        <v>0.9</v>
      </c>
      <c r="M27" s="122">
        <v>1.4</v>
      </c>
      <c r="N27" s="122">
        <v>7.3</v>
      </c>
      <c r="O27" s="122">
        <v>9.9</v>
      </c>
      <c r="P27" s="122">
        <v>14.9</v>
      </c>
      <c r="Q27" s="122">
        <v>14.7</v>
      </c>
      <c r="R27" s="129">
        <v>9.5</v>
      </c>
      <c r="S27" s="129">
        <v>6.5</v>
      </c>
      <c r="T27" s="134">
        <v>6.3</v>
      </c>
      <c r="U27" s="131">
        <v>10.5</v>
      </c>
      <c r="V27" s="134">
        <v>10.1</v>
      </c>
      <c r="W27" s="131">
        <v>9.2788784400793674</v>
      </c>
      <c r="X27" s="131">
        <v>11.660741515558763</v>
      </c>
      <c r="Y27" s="131">
        <v>11.34864899759593</v>
      </c>
      <c r="Z27" s="131">
        <v>9.9278540446040662</v>
      </c>
    </row>
    <row r="28" spans="1:26" ht="18" x14ac:dyDescent="0.25">
      <c r="A28" s="8" t="s">
        <v>95</v>
      </c>
      <c r="B28" s="124">
        <f>[1]ижс!B30/[1]жил!B25*100</f>
        <v>23.064680677412774</v>
      </c>
      <c r="C28" s="124">
        <f>[1]ижс!C30/[1]жил!C25*100</f>
        <v>23.70181848035795</v>
      </c>
      <c r="D28" s="124">
        <f>[1]ижс!D30/[1]жил!D25*100</f>
        <v>27.011186025130247</v>
      </c>
      <c r="E28" s="124">
        <f>[1]ижс!E30/[1]жил!E25*100</f>
        <v>25.101388718200813</v>
      </c>
      <c r="F28" s="124">
        <f>[1]ижс!F30/[1]жил!F25*100</f>
        <v>22.181250504669876</v>
      </c>
      <c r="G28" s="124">
        <v>22.1</v>
      </c>
      <c r="H28" s="124">
        <v>18.940124766866038</v>
      </c>
      <c r="I28" s="124">
        <v>26.333274430111324</v>
      </c>
      <c r="J28" s="124">
        <v>22.915174694113887</v>
      </c>
      <c r="K28" s="124">
        <v>29.024475524475523</v>
      </c>
      <c r="L28" s="124">
        <v>21.6</v>
      </c>
      <c r="M28" s="124">
        <v>22.5</v>
      </c>
      <c r="N28" s="124">
        <v>25.5</v>
      </c>
      <c r="O28" s="124">
        <v>25.9</v>
      </c>
      <c r="P28" s="124">
        <v>33.700000000000003</v>
      </c>
      <c r="Q28" s="124">
        <v>27.6</v>
      </c>
      <c r="R28" s="123">
        <v>22.9</v>
      </c>
      <c r="S28" s="123">
        <v>20.399999999999999</v>
      </c>
      <c r="T28" s="120">
        <v>24.7</v>
      </c>
      <c r="U28" s="123">
        <v>32</v>
      </c>
      <c r="V28" s="123">
        <v>36</v>
      </c>
      <c r="W28" s="123">
        <v>42.921539224894765</v>
      </c>
      <c r="X28" s="123">
        <v>43.045002872905897</v>
      </c>
      <c r="Y28" s="123">
        <v>41.707085243688006</v>
      </c>
      <c r="Z28" s="123">
        <v>46.831919211994133</v>
      </c>
    </row>
    <row r="29" spans="1:26" x14ac:dyDescent="0.25">
      <c r="A29" s="9" t="s">
        <v>19</v>
      </c>
      <c r="B29" s="122">
        <f>[1]ижс!B31/[1]жил!B26*100</f>
        <v>30.880000000000003</v>
      </c>
      <c r="C29" s="122">
        <f>[1]ижс!C31/[1]жил!C26*100</f>
        <v>39.158163265306115</v>
      </c>
      <c r="D29" s="122">
        <f>[1]ижс!D31/[1]жил!D26*100</f>
        <v>45.586107091172217</v>
      </c>
      <c r="E29" s="122">
        <f>[1]ижс!E31/[1]жил!E26*100</f>
        <v>34.68899521531101</v>
      </c>
      <c r="F29" s="122">
        <f>[1]ижс!F31/[1]жил!F26*100</f>
        <v>35.30031612223393</v>
      </c>
      <c r="G29" s="122">
        <v>35.200000000000003</v>
      </c>
      <c r="H29" s="122">
        <v>32.299270072992705</v>
      </c>
      <c r="I29" s="122">
        <v>43.455098934550989</v>
      </c>
      <c r="J29" s="122">
        <v>29.931972789115648</v>
      </c>
      <c r="K29" s="122">
        <v>30.47965998785671</v>
      </c>
      <c r="L29" s="122">
        <v>30.9</v>
      </c>
      <c r="M29" s="122">
        <v>35.700000000000003</v>
      </c>
      <c r="N29" s="122">
        <v>30.3</v>
      </c>
      <c r="O29" s="122">
        <v>29.5</v>
      </c>
      <c r="P29" s="122">
        <v>29.5</v>
      </c>
      <c r="Q29" s="122">
        <v>18.600000000000001</v>
      </c>
      <c r="R29" s="129">
        <v>28.3</v>
      </c>
      <c r="S29" s="129">
        <v>31.5</v>
      </c>
      <c r="T29" s="131">
        <v>40</v>
      </c>
      <c r="U29" s="131">
        <v>49.5</v>
      </c>
      <c r="V29" s="134">
        <v>44.9</v>
      </c>
      <c r="W29" s="131">
        <v>61.200059161751931</v>
      </c>
      <c r="X29" s="131">
        <v>58.224438645329649</v>
      </c>
      <c r="Y29" s="131">
        <v>56.491122498951725</v>
      </c>
      <c r="Z29" s="131">
        <v>63.191168851393641</v>
      </c>
    </row>
    <row r="30" spans="1:26" x14ac:dyDescent="0.25">
      <c r="A30" s="9" t="s">
        <v>20</v>
      </c>
      <c r="B30" s="122">
        <f>[1]ижс!B32/[1]жил!B27*100</f>
        <v>36.810049486105825</v>
      </c>
      <c r="C30" s="122">
        <f>[1]ижс!C32/[1]жил!C27*100</f>
        <v>34.167385677308026</v>
      </c>
      <c r="D30" s="122">
        <f>[1]ижс!D32/[1]жил!D27*100</f>
        <v>24.327956989247312</v>
      </c>
      <c r="E30" s="122">
        <f>[1]ижс!E32/[1]жил!E27*100</f>
        <v>29.153605015673982</v>
      </c>
      <c r="F30" s="122">
        <f>[1]ижс!F32/[1]жил!F27*100</f>
        <v>29.679715302491104</v>
      </c>
      <c r="G30" s="122">
        <v>26.5</v>
      </c>
      <c r="H30" s="122">
        <v>26.512153759185981</v>
      </c>
      <c r="I30" s="122">
        <v>29.806714140386575</v>
      </c>
      <c r="J30" s="122">
        <v>37.16766142159522</v>
      </c>
      <c r="K30" s="122">
        <v>42.2</v>
      </c>
      <c r="L30" s="122">
        <v>52.7</v>
      </c>
      <c r="M30" s="122">
        <v>36.799999999999997</v>
      </c>
      <c r="N30" s="122">
        <v>46.5</v>
      </c>
      <c r="O30" s="122">
        <v>28.8</v>
      </c>
      <c r="P30" s="122">
        <v>25.9</v>
      </c>
      <c r="Q30" s="122">
        <v>18.899999999999999</v>
      </c>
      <c r="R30" s="129">
        <v>19.600000000000001</v>
      </c>
      <c r="S30" s="129">
        <v>38.299999999999997</v>
      </c>
      <c r="T30" s="134">
        <v>41.1</v>
      </c>
      <c r="U30" s="131">
        <v>50.3</v>
      </c>
      <c r="V30" s="134">
        <v>51.6</v>
      </c>
      <c r="W30" s="131">
        <v>63.673810651877041</v>
      </c>
      <c r="X30" s="131">
        <v>63.252824865723319</v>
      </c>
      <c r="Y30" s="131">
        <v>63.510550078319362</v>
      </c>
      <c r="Z30" s="131">
        <v>66.981967494790268</v>
      </c>
    </row>
    <row r="31" spans="1:26" x14ac:dyDescent="0.25">
      <c r="A31" s="9" t="s">
        <v>21</v>
      </c>
      <c r="B31" s="122">
        <f>[1]ижс!B33/[1]жил!B28*100</f>
        <v>63.367609254498717</v>
      </c>
      <c r="C31" s="122">
        <f>[1]ижс!C33/[1]жил!C28*100</f>
        <v>55.010020040080164</v>
      </c>
      <c r="D31" s="122">
        <f>[1]ижс!D33/[1]жил!D28*100</f>
        <v>49.297094657919402</v>
      </c>
      <c r="E31" s="122">
        <f>[1]ижс!E33/[1]жил!E28*100</f>
        <v>55.047821466524972</v>
      </c>
      <c r="F31" s="122">
        <f>[1]ижс!F33/[1]жил!F28*100</f>
        <v>49.238095238095241</v>
      </c>
      <c r="G31" s="122">
        <v>41.2</v>
      </c>
      <c r="H31" s="122">
        <v>38.04347826086957</v>
      </c>
      <c r="I31" s="122">
        <v>32.164869029275806</v>
      </c>
      <c r="J31" s="122">
        <v>30.132641291810842</v>
      </c>
      <c r="K31" s="122">
        <v>46.242299794661193</v>
      </c>
      <c r="L31" s="122">
        <v>36.5</v>
      </c>
      <c r="M31" s="122">
        <v>47</v>
      </c>
      <c r="N31" s="122">
        <v>45.1</v>
      </c>
      <c r="O31" s="122">
        <v>36.1</v>
      </c>
      <c r="P31" s="122">
        <v>42.6</v>
      </c>
      <c r="Q31" s="122">
        <v>37.200000000000003</v>
      </c>
      <c r="R31" s="129">
        <v>41.2</v>
      </c>
      <c r="S31" s="129">
        <v>34</v>
      </c>
      <c r="T31" s="131">
        <v>44</v>
      </c>
      <c r="U31" s="131">
        <v>37.5</v>
      </c>
      <c r="V31" s="134">
        <v>40.6</v>
      </c>
      <c r="W31" s="131">
        <v>43.479514832755378</v>
      </c>
      <c r="X31" s="131">
        <v>43.945662428486109</v>
      </c>
      <c r="Y31" s="131">
        <v>36.4668500878172</v>
      </c>
      <c r="Z31" s="131">
        <v>35.38010901744321</v>
      </c>
    </row>
    <row r="32" spans="1:26" x14ac:dyDescent="0.25">
      <c r="A32" s="4" t="s">
        <v>63</v>
      </c>
      <c r="B32" s="118"/>
      <c r="C32" s="118"/>
      <c r="D32" s="118"/>
      <c r="E32" s="118"/>
      <c r="F32" s="118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9"/>
      <c r="S32" s="118"/>
      <c r="T32" s="15"/>
      <c r="U32" s="131"/>
      <c r="V32" s="134"/>
      <c r="W32" s="131"/>
      <c r="X32" s="131"/>
      <c r="Y32" s="131"/>
    </row>
    <row r="33" spans="1:26" ht="13.5" customHeight="1" x14ac:dyDescent="0.25">
      <c r="A33" s="14" t="s">
        <v>23</v>
      </c>
      <c r="B33" s="122">
        <v>10.655737704918034</v>
      </c>
      <c r="C33" s="122">
        <v>7.5630252100840334</v>
      </c>
      <c r="D33" s="122">
        <v>18.75</v>
      </c>
      <c r="E33" s="122">
        <v>10.526315789473683</v>
      </c>
      <c r="F33" s="122">
        <v>10.843373493975902</v>
      </c>
      <c r="G33" s="122">
        <v>10.7</v>
      </c>
      <c r="H33" s="122">
        <v>6.5714285714285712</v>
      </c>
      <c r="I33" s="122">
        <v>11.444141689373296</v>
      </c>
      <c r="J33" s="122">
        <v>11.737089201877934</v>
      </c>
      <c r="K33" s="122">
        <v>17.5</v>
      </c>
      <c r="L33" s="122">
        <v>22.5</v>
      </c>
      <c r="M33" s="122">
        <v>23</v>
      </c>
      <c r="N33" s="122">
        <v>25.1</v>
      </c>
      <c r="O33" s="122">
        <v>32.299999999999997</v>
      </c>
      <c r="P33" s="122">
        <v>28.1</v>
      </c>
      <c r="Q33" s="122">
        <v>31.6</v>
      </c>
      <c r="R33" s="129">
        <v>57</v>
      </c>
      <c r="S33" s="129">
        <v>45.2</v>
      </c>
      <c r="T33" s="134">
        <v>44.9</v>
      </c>
      <c r="U33" s="131">
        <v>52.3</v>
      </c>
      <c r="V33" s="134">
        <v>39.9</v>
      </c>
      <c r="W33" s="131">
        <v>65.251855183269626</v>
      </c>
      <c r="X33" s="131">
        <v>54.862375045501636</v>
      </c>
      <c r="Y33" s="131">
        <v>92.085866961488847</v>
      </c>
      <c r="Z33" s="131">
        <v>56.866476371709481</v>
      </c>
    </row>
    <row r="34" spans="1:26" ht="24" customHeight="1" x14ac:dyDescent="0.25">
      <c r="A34" s="14" t="s">
        <v>93</v>
      </c>
      <c r="B34" s="122">
        <v>73.170731707317088</v>
      </c>
      <c r="C34" s="122">
        <v>82.317073170731717</v>
      </c>
      <c r="D34" s="122">
        <v>58.81683731513084</v>
      </c>
      <c r="E34" s="122">
        <v>49.852796859666334</v>
      </c>
      <c r="F34" s="122">
        <v>60.04728132387708</v>
      </c>
      <c r="G34" s="122">
        <v>46.5</v>
      </c>
      <c r="H34" s="122">
        <v>83.764705882352942</v>
      </c>
      <c r="I34" s="122">
        <v>50.126422250316061</v>
      </c>
      <c r="J34" s="122">
        <v>43.517272319425743</v>
      </c>
      <c r="K34" s="122">
        <v>52.314584370333492</v>
      </c>
      <c r="L34" s="122">
        <v>39</v>
      </c>
      <c r="M34" s="122">
        <v>49.9</v>
      </c>
      <c r="N34" s="122">
        <v>47.6</v>
      </c>
      <c r="O34" s="122">
        <v>36.6</v>
      </c>
      <c r="P34" s="122">
        <v>44.2</v>
      </c>
      <c r="Q34" s="122">
        <v>37.700000000000003</v>
      </c>
      <c r="R34" s="129">
        <v>40.1</v>
      </c>
      <c r="S34" s="129">
        <v>33.200000000000003</v>
      </c>
      <c r="T34" s="134">
        <v>43.9</v>
      </c>
      <c r="U34" s="131">
        <v>37.1</v>
      </c>
      <c r="V34" s="134">
        <v>40.6</v>
      </c>
      <c r="W34" s="131">
        <v>42.562979967104873</v>
      </c>
      <c r="X34" s="131">
        <v>43.031411586760001</v>
      </c>
      <c r="Y34" s="131">
        <v>33.726646331499538</v>
      </c>
      <c r="Z34" s="131">
        <v>34.184797591610334</v>
      </c>
    </row>
    <row r="35" spans="1:26" x14ac:dyDescent="0.25">
      <c r="A35" s="9" t="s">
        <v>24</v>
      </c>
      <c r="B35" s="122">
        <v>31.442542787286058</v>
      </c>
      <c r="C35" s="122">
        <v>28.613199665831246</v>
      </c>
      <c r="D35" s="122">
        <v>36.897274633123686</v>
      </c>
      <c r="E35" s="122">
        <v>34.412955465587039</v>
      </c>
      <c r="F35" s="122">
        <v>28.723758747084304</v>
      </c>
      <c r="G35" s="122">
        <v>31.6</v>
      </c>
      <c r="H35" s="122">
        <v>27.270002996703628</v>
      </c>
      <c r="I35" s="122">
        <v>28.913443830570905</v>
      </c>
      <c r="J35" s="122">
        <v>26.017601760176017</v>
      </c>
      <c r="K35" s="122">
        <v>32.394366197183103</v>
      </c>
      <c r="L35" s="122">
        <v>35.1</v>
      </c>
      <c r="M35" s="122">
        <v>37.5</v>
      </c>
      <c r="N35" s="122">
        <v>37.9</v>
      </c>
      <c r="O35" s="122">
        <v>51.6</v>
      </c>
      <c r="P35" s="122">
        <v>55.6</v>
      </c>
      <c r="Q35" s="122">
        <v>47.3</v>
      </c>
      <c r="R35" s="129">
        <v>34.9</v>
      </c>
      <c r="S35" s="129">
        <v>34</v>
      </c>
      <c r="T35" s="134">
        <v>45.6</v>
      </c>
      <c r="U35" s="131">
        <v>50</v>
      </c>
      <c r="V35" s="134">
        <v>48.9</v>
      </c>
      <c r="W35" s="131">
        <v>57.001979485333813</v>
      </c>
      <c r="X35" s="131">
        <v>56.519820185462677</v>
      </c>
      <c r="Y35" s="131">
        <v>55.493225455344842</v>
      </c>
      <c r="Z35" s="131">
        <v>58.592176479635555</v>
      </c>
    </row>
    <row r="36" spans="1:26" x14ac:dyDescent="0.25">
      <c r="A36" s="9" t="s">
        <v>25</v>
      </c>
      <c r="B36" s="122">
        <v>28.637951105937137</v>
      </c>
      <c r="C36" s="122">
        <v>30.108138873079117</v>
      </c>
      <c r="D36" s="122">
        <v>36.868686868686865</v>
      </c>
      <c r="E36" s="122">
        <v>45.458458889367193</v>
      </c>
      <c r="F36" s="122">
        <v>37.020408163265309</v>
      </c>
      <c r="G36" s="122">
        <v>36.799999999999997</v>
      </c>
      <c r="H36" s="122">
        <v>21.662016739736949</v>
      </c>
      <c r="I36" s="122">
        <v>35.682994822779776</v>
      </c>
      <c r="J36" s="122">
        <v>30.889333000249813</v>
      </c>
      <c r="K36" s="122">
        <v>34.435669628167162</v>
      </c>
      <c r="L36" s="122">
        <v>23.1</v>
      </c>
      <c r="M36" s="122">
        <v>21.7</v>
      </c>
      <c r="N36" s="122">
        <v>23.8</v>
      </c>
      <c r="O36" s="122">
        <v>33.5</v>
      </c>
      <c r="P36" s="122">
        <v>50</v>
      </c>
      <c r="Q36" s="122">
        <v>36.4</v>
      </c>
      <c r="R36" s="129">
        <v>34.299999999999997</v>
      </c>
      <c r="S36" s="129">
        <v>30.8</v>
      </c>
      <c r="T36" s="134">
        <v>28.4</v>
      </c>
      <c r="U36" s="131">
        <v>29.8</v>
      </c>
      <c r="V36" s="134">
        <v>35.200000000000003</v>
      </c>
      <c r="W36" s="131">
        <v>44.404499156113161</v>
      </c>
      <c r="X36" s="131">
        <v>46.618709400963951</v>
      </c>
      <c r="Y36" s="131">
        <v>48.096796516587794</v>
      </c>
      <c r="Z36" s="131">
        <v>49.324410682274753</v>
      </c>
    </row>
    <row r="37" spans="1:26" x14ac:dyDescent="0.25">
      <c r="A37" s="9" t="s">
        <v>26</v>
      </c>
      <c r="B37" s="122">
        <v>43.908045977011497</v>
      </c>
      <c r="C37" s="122">
        <v>49.433325295394262</v>
      </c>
      <c r="D37" s="122">
        <v>60.457063711911353</v>
      </c>
      <c r="E37" s="122">
        <v>73.998199009455206</v>
      </c>
      <c r="F37" s="122">
        <v>65.877055599060299</v>
      </c>
      <c r="G37" s="122">
        <v>70</v>
      </c>
      <c r="H37" s="122">
        <v>54.170390229371471</v>
      </c>
      <c r="I37" s="122">
        <v>68.127962085308056</v>
      </c>
      <c r="J37" s="122">
        <v>59.570484581497794</v>
      </c>
      <c r="K37" s="122">
        <v>60.977976132725331</v>
      </c>
      <c r="L37" s="122">
        <v>42.4</v>
      </c>
      <c r="M37" s="122">
        <v>45.7</v>
      </c>
      <c r="N37" s="122">
        <v>50.6</v>
      </c>
      <c r="O37" s="122">
        <v>36.200000000000003</v>
      </c>
      <c r="P37" s="122">
        <v>48.8</v>
      </c>
      <c r="Q37" s="122">
        <v>35.700000000000003</v>
      </c>
      <c r="R37" s="129">
        <v>27.5</v>
      </c>
      <c r="S37" s="129">
        <v>26.4</v>
      </c>
      <c r="T37" s="134">
        <v>32.6</v>
      </c>
      <c r="U37" s="131">
        <v>47.4</v>
      </c>
      <c r="V37" s="134">
        <v>62.4</v>
      </c>
      <c r="W37" s="131">
        <v>67.396753822961841</v>
      </c>
      <c r="X37" s="131">
        <v>65.298597158031754</v>
      </c>
      <c r="Y37" s="131">
        <v>59.550654929624564</v>
      </c>
      <c r="Z37" s="131">
        <v>66.420707687819146</v>
      </c>
    </row>
    <row r="38" spans="1:26" x14ac:dyDescent="0.25">
      <c r="A38" s="9" t="s">
        <v>27</v>
      </c>
      <c r="B38" s="122">
        <v>0.71684587813620082</v>
      </c>
      <c r="C38" s="122">
        <v>7.6923076923076925</v>
      </c>
      <c r="D38" s="122">
        <v>6.666666666666667</v>
      </c>
      <c r="E38" s="122">
        <v>5.2631578947368416</v>
      </c>
      <c r="F38" s="122">
        <v>3.0769230769230771</v>
      </c>
      <c r="G38" s="122">
        <v>27.2</v>
      </c>
      <c r="H38" s="122">
        <v>2.9197080291970807</v>
      </c>
      <c r="I38" s="122">
        <v>25.196850393700792</v>
      </c>
      <c r="J38" s="122">
        <v>77.659574468085097</v>
      </c>
      <c r="K38" s="122">
        <v>27</v>
      </c>
      <c r="L38" s="122">
        <v>5.8</v>
      </c>
      <c r="M38" s="122">
        <v>20.7</v>
      </c>
      <c r="N38" s="122">
        <v>18.899999999999999</v>
      </c>
      <c r="O38" s="122">
        <v>11.7</v>
      </c>
      <c r="P38" s="122">
        <v>29.9</v>
      </c>
      <c r="Q38" s="122">
        <v>24.5</v>
      </c>
      <c r="R38" s="129">
        <v>20.9</v>
      </c>
      <c r="S38" s="117">
        <v>22.1</v>
      </c>
      <c r="T38" s="131">
        <v>65</v>
      </c>
      <c r="U38" s="131">
        <v>89.7</v>
      </c>
      <c r="V38" s="134">
        <v>90.7</v>
      </c>
      <c r="W38" s="131">
        <v>71.316882963429762</v>
      </c>
      <c r="X38" s="131">
        <v>20.158876225109761</v>
      </c>
      <c r="Y38" s="131">
        <v>90.944285196533883</v>
      </c>
      <c r="Z38" s="131">
        <v>77.606231116778005</v>
      </c>
    </row>
    <row r="39" spans="1:26" x14ac:dyDescent="0.25">
      <c r="A39" s="9" t="s">
        <v>28</v>
      </c>
      <c r="B39" s="122">
        <v>50.561797752808992</v>
      </c>
      <c r="C39" s="122">
        <v>47.390841320553776</v>
      </c>
      <c r="D39" s="122">
        <v>53.333333333333336</v>
      </c>
      <c r="E39" s="122">
        <v>45.978062157221203</v>
      </c>
      <c r="F39" s="122">
        <v>38.259109311740893</v>
      </c>
      <c r="G39" s="122">
        <v>38.1</v>
      </c>
      <c r="H39" s="122">
        <v>31.453096259963214</v>
      </c>
      <c r="I39" s="122">
        <v>32.567237163814177</v>
      </c>
      <c r="J39" s="122">
        <v>32.224371373307541</v>
      </c>
      <c r="K39" s="122">
        <v>41.714053614947197</v>
      </c>
      <c r="L39" s="122">
        <v>50.3</v>
      </c>
      <c r="M39" s="122">
        <v>52.3</v>
      </c>
      <c r="N39" s="122">
        <v>58.1</v>
      </c>
      <c r="O39" s="122">
        <v>45.5</v>
      </c>
      <c r="P39" s="122">
        <v>54.8</v>
      </c>
      <c r="Q39" s="122">
        <v>52.1</v>
      </c>
      <c r="R39" s="129">
        <v>39.799999999999997</v>
      </c>
      <c r="S39" s="129">
        <v>53.2</v>
      </c>
      <c r="T39" s="134">
        <v>57.4</v>
      </c>
      <c r="U39" s="131">
        <v>64.7</v>
      </c>
      <c r="V39" s="134">
        <v>65.3</v>
      </c>
      <c r="W39" s="131">
        <v>71.671767717342163</v>
      </c>
      <c r="X39" s="131">
        <v>71.424915965897853</v>
      </c>
      <c r="Y39" s="131">
        <v>74.246990348955052</v>
      </c>
      <c r="Z39" s="131">
        <v>64.966508904813068</v>
      </c>
    </row>
    <row r="40" spans="1:26" x14ac:dyDescent="0.25">
      <c r="A40" s="9" t="s">
        <v>29</v>
      </c>
      <c r="B40" s="122">
        <v>41.075794621026894</v>
      </c>
      <c r="C40" s="122">
        <v>36.038961038961034</v>
      </c>
      <c r="D40" s="122">
        <v>41.832669322709158</v>
      </c>
      <c r="E40" s="122">
        <v>38.908450704225359</v>
      </c>
      <c r="F40" s="122">
        <v>36.178247734138971</v>
      </c>
      <c r="G40" s="122">
        <v>41.9</v>
      </c>
      <c r="H40" s="122">
        <v>32.589641434262944</v>
      </c>
      <c r="I40" s="122">
        <v>45.316070068545308</v>
      </c>
      <c r="J40" s="122">
        <v>42.206076618229851</v>
      </c>
      <c r="K40" s="122">
        <v>41.4</v>
      </c>
      <c r="L40" s="122">
        <v>37.6</v>
      </c>
      <c r="M40" s="122">
        <v>30.7</v>
      </c>
      <c r="N40" s="122">
        <v>39.700000000000003</v>
      </c>
      <c r="O40" s="122">
        <v>50.9</v>
      </c>
      <c r="P40" s="122">
        <v>56.2</v>
      </c>
      <c r="Q40" s="122">
        <v>43.3</v>
      </c>
      <c r="R40" s="129">
        <v>43</v>
      </c>
      <c r="S40" s="129">
        <v>50.7</v>
      </c>
      <c r="T40" s="134">
        <v>46.2</v>
      </c>
      <c r="U40" s="131">
        <v>66.5</v>
      </c>
      <c r="V40" s="134">
        <v>60.1</v>
      </c>
      <c r="W40" s="131">
        <v>73.596952565072783</v>
      </c>
      <c r="X40" s="131">
        <v>63.542194217066132</v>
      </c>
      <c r="Y40" s="131">
        <v>63.637227171022083</v>
      </c>
      <c r="Z40" s="131">
        <v>63.589267251626886</v>
      </c>
    </row>
    <row r="41" spans="1:26" x14ac:dyDescent="0.25">
      <c r="A41" s="9" t="s">
        <v>30</v>
      </c>
      <c r="B41" s="122">
        <v>3.3213063188084</v>
      </c>
      <c r="C41" s="122">
        <v>4.2300125201216243</v>
      </c>
      <c r="D41" s="122">
        <v>5.5615061382549227</v>
      </c>
      <c r="E41" s="122">
        <v>4.2664542920530169</v>
      </c>
      <c r="F41" s="122">
        <v>3.8927165354330704</v>
      </c>
      <c r="G41" s="122">
        <v>4.2</v>
      </c>
      <c r="H41" s="122">
        <v>3.0180578355853016</v>
      </c>
      <c r="I41" s="122">
        <v>6.697258144032765</v>
      </c>
      <c r="J41" s="122">
        <v>6.2990409764603319</v>
      </c>
      <c r="K41" s="122">
        <v>10.079901659496004</v>
      </c>
      <c r="L41" s="122">
        <v>4.5999999999999996</v>
      </c>
      <c r="M41" s="122">
        <v>3.5</v>
      </c>
      <c r="N41" s="122">
        <v>4.3</v>
      </c>
      <c r="O41" s="122">
        <v>6.8</v>
      </c>
      <c r="P41" s="122">
        <v>9.9</v>
      </c>
      <c r="Q41" s="122">
        <v>7.8</v>
      </c>
      <c r="R41" s="129">
        <v>6.3</v>
      </c>
      <c r="S41" s="129">
        <v>3.9</v>
      </c>
      <c r="T41" s="131">
        <v>8</v>
      </c>
      <c r="U41" s="131">
        <v>7</v>
      </c>
      <c r="V41" s="134">
        <v>6.1</v>
      </c>
      <c r="W41" s="131">
        <v>7.2396903317593555</v>
      </c>
      <c r="X41" s="131">
        <v>7.4760036141016748</v>
      </c>
      <c r="Y41" s="131">
        <v>6.3161149959097393</v>
      </c>
      <c r="Z41" s="131">
        <v>5.7000479717405561</v>
      </c>
    </row>
    <row r="42" spans="1:26" ht="18" x14ac:dyDescent="0.25">
      <c r="A42" s="8" t="s">
        <v>220</v>
      </c>
      <c r="B42" s="124">
        <v>70.393120393120384</v>
      </c>
      <c r="C42" s="124">
        <v>70.884168429593984</v>
      </c>
      <c r="D42" s="124">
        <v>71.753040719196207</v>
      </c>
      <c r="E42" s="124">
        <v>70.539734201247626</v>
      </c>
      <c r="F42" s="124">
        <v>66.573702305676434</v>
      </c>
      <c r="G42" s="124">
        <v>62.6</v>
      </c>
      <c r="H42" s="124">
        <v>63.813901100897418</v>
      </c>
      <c r="I42" s="124">
        <v>66.09452418473245</v>
      </c>
      <c r="J42" s="124">
        <v>67.140916761562437</v>
      </c>
      <c r="K42" s="124">
        <v>69.728168843734892</v>
      </c>
      <c r="L42" s="124">
        <v>59.8</v>
      </c>
      <c r="M42" s="124">
        <v>59</v>
      </c>
      <c r="N42" s="124">
        <v>55.1</v>
      </c>
      <c r="O42" s="124">
        <v>59.6</v>
      </c>
      <c r="P42" s="124">
        <v>54.6</v>
      </c>
      <c r="Q42" s="124">
        <v>51.3</v>
      </c>
      <c r="R42" s="123">
        <v>47.2</v>
      </c>
      <c r="S42" s="123">
        <v>48.1</v>
      </c>
      <c r="T42" s="120">
        <v>45.4</v>
      </c>
      <c r="U42" s="123">
        <v>51.5</v>
      </c>
      <c r="V42" s="120">
        <v>50.7</v>
      </c>
      <c r="W42" s="123">
        <v>56.231341893557214</v>
      </c>
      <c r="X42" s="123">
        <v>61.482863080652969</v>
      </c>
      <c r="Y42" s="123">
        <v>60.484034271301752</v>
      </c>
      <c r="Z42" s="123">
        <v>60.971446958139317</v>
      </c>
    </row>
    <row r="43" spans="1:26" x14ac:dyDescent="0.25">
      <c r="A43" s="9" t="s">
        <v>31</v>
      </c>
      <c r="B43" s="122">
        <v>84.660766961651916</v>
      </c>
      <c r="C43" s="122">
        <v>72.479564032697539</v>
      </c>
      <c r="D43" s="122">
        <v>79.762912785774773</v>
      </c>
      <c r="E43" s="122">
        <v>94.845360824742258</v>
      </c>
      <c r="F43" s="20">
        <v>100</v>
      </c>
      <c r="G43" s="122">
        <v>74.3</v>
      </c>
      <c r="H43" s="20">
        <v>100</v>
      </c>
      <c r="I43" s="122">
        <v>51.382823871906837</v>
      </c>
      <c r="J43" s="122">
        <v>75</v>
      </c>
      <c r="K43" s="122">
        <v>86.793953858392996</v>
      </c>
      <c r="L43" s="122">
        <v>66.5</v>
      </c>
      <c r="M43" s="122">
        <v>70.900000000000006</v>
      </c>
      <c r="N43" s="122">
        <v>58.3</v>
      </c>
      <c r="O43" s="122">
        <v>67.7</v>
      </c>
      <c r="P43" s="122">
        <v>61.3</v>
      </c>
      <c r="Q43" s="122">
        <v>40.299999999999997</v>
      </c>
      <c r="R43" s="129">
        <v>57.9</v>
      </c>
      <c r="S43" s="129">
        <v>45.1</v>
      </c>
      <c r="T43" s="134">
        <v>48.2</v>
      </c>
      <c r="U43" s="131">
        <v>53.3</v>
      </c>
      <c r="V43" s="134">
        <v>58.9</v>
      </c>
      <c r="W43" s="131">
        <v>66.416148643588187</v>
      </c>
      <c r="X43" s="131">
        <v>74.865648551568526</v>
      </c>
      <c r="Y43" s="131">
        <v>67.972725241916322</v>
      </c>
      <c r="Z43" s="131">
        <v>67.898595692845163</v>
      </c>
    </row>
    <row r="44" spans="1:26" x14ac:dyDescent="0.25">
      <c r="A44" s="9" t="s">
        <v>32</v>
      </c>
      <c r="B44" s="122">
        <v>69.83695652173914</v>
      </c>
      <c r="C44" s="122">
        <v>64.415584415584419</v>
      </c>
      <c r="D44" s="122">
        <v>68.4375</v>
      </c>
      <c r="E44" s="122">
        <v>79.282868525896404</v>
      </c>
      <c r="F44" s="122">
        <v>63.320463320463318</v>
      </c>
      <c r="G44" s="122">
        <v>63.7</v>
      </c>
      <c r="H44" s="122">
        <v>70.382165605095551</v>
      </c>
      <c r="I44" s="122">
        <v>94.723294723294714</v>
      </c>
      <c r="J44" s="122">
        <v>81.450252951096118</v>
      </c>
      <c r="K44" s="122">
        <v>76.400000000000006</v>
      </c>
      <c r="L44" s="122">
        <v>54.8</v>
      </c>
      <c r="M44" s="122">
        <v>50.9</v>
      </c>
      <c r="N44" s="122">
        <v>51.6</v>
      </c>
      <c r="O44" s="122">
        <v>41.2</v>
      </c>
      <c r="P44" s="122">
        <v>40</v>
      </c>
      <c r="Q44" s="122">
        <v>33.9</v>
      </c>
      <c r="R44" s="129">
        <v>38.5</v>
      </c>
      <c r="S44" s="129">
        <v>56.8</v>
      </c>
      <c r="T44" s="134">
        <v>69.3</v>
      </c>
      <c r="U44" s="131">
        <v>65.8</v>
      </c>
      <c r="V44" s="134">
        <v>64.5</v>
      </c>
      <c r="W44" s="131">
        <v>83.907254361799815</v>
      </c>
      <c r="X44" s="131">
        <v>84.455010972933437</v>
      </c>
      <c r="Y44" s="131">
        <v>70.320554350581673</v>
      </c>
      <c r="Z44" s="131">
        <v>75.602860723127236</v>
      </c>
    </row>
    <row r="45" spans="1:26" x14ac:dyDescent="0.25">
      <c r="A45" s="9" t="s">
        <v>33</v>
      </c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>
        <v>69.400000000000006</v>
      </c>
      <c r="Q45" s="122">
        <v>60.1</v>
      </c>
      <c r="R45" s="129">
        <v>42.8</v>
      </c>
      <c r="S45" s="129">
        <v>74</v>
      </c>
      <c r="T45" s="134">
        <v>53.9</v>
      </c>
      <c r="U45" s="131">
        <v>72.5</v>
      </c>
      <c r="V45" s="131">
        <v>75</v>
      </c>
      <c r="W45" s="131">
        <v>60.668278002571853</v>
      </c>
      <c r="X45" s="131">
        <v>76.08817572158577</v>
      </c>
      <c r="Y45" s="131">
        <v>74.098864191700045</v>
      </c>
      <c r="Z45" s="131">
        <v>73.395332330487449</v>
      </c>
    </row>
    <row r="46" spans="1:26" x14ac:dyDescent="0.25">
      <c r="A46" s="9" t="s">
        <v>34</v>
      </c>
      <c r="B46" s="122">
        <v>77.328255245760275</v>
      </c>
      <c r="C46" s="122">
        <v>79.46812942646855</v>
      </c>
      <c r="D46" s="122">
        <v>75.896656534954417</v>
      </c>
      <c r="E46" s="122">
        <v>73.887728624770588</v>
      </c>
      <c r="F46" s="122">
        <v>72.159593280282934</v>
      </c>
      <c r="G46" s="122">
        <v>69.7</v>
      </c>
      <c r="H46" s="122">
        <v>69.369269446909186</v>
      </c>
      <c r="I46" s="122">
        <v>70.124996625361092</v>
      </c>
      <c r="J46" s="122">
        <v>71.546119463632664</v>
      </c>
      <c r="K46" s="122">
        <v>71.635841369405284</v>
      </c>
      <c r="L46" s="122">
        <v>55.2</v>
      </c>
      <c r="M46" s="122">
        <v>51.4</v>
      </c>
      <c r="N46" s="122">
        <v>43.8</v>
      </c>
      <c r="O46" s="122">
        <v>55.8</v>
      </c>
      <c r="P46" s="122">
        <v>50.3</v>
      </c>
      <c r="Q46" s="122">
        <v>43.7</v>
      </c>
      <c r="R46" s="129">
        <v>40.299999999999997</v>
      </c>
      <c r="S46" s="129">
        <v>38.299999999999997</v>
      </c>
      <c r="T46" s="131">
        <v>36</v>
      </c>
      <c r="U46" s="131">
        <v>43.8</v>
      </c>
      <c r="V46" s="134">
        <v>42.7</v>
      </c>
      <c r="W46" s="131">
        <v>51.973493432086791</v>
      </c>
      <c r="X46" s="131">
        <v>58.749740373264551</v>
      </c>
      <c r="Y46" s="131">
        <v>55.532477860376993</v>
      </c>
      <c r="Z46" s="131">
        <v>56.86633808271624</v>
      </c>
    </row>
    <row r="47" spans="1:26" x14ac:dyDescent="0.25">
      <c r="A47" s="9" t="s">
        <v>35</v>
      </c>
      <c r="B47" s="122">
        <v>74.056506496184795</v>
      </c>
      <c r="C47" s="122">
        <v>73.771152296535064</v>
      </c>
      <c r="D47" s="122">
        <v>77.3468995968516</v>
      </c>
      <c r="E47" s="122">
        <v>75.004294794708812</v>
      </c>
      <c r="F47" s="122">
        <v>78.211227402473824</v>
      </c>
      <c r="G47" s="122">
        <v>70.3</v>
      </c>
      <c r="H47" s="122">
        <v>83.433014354066998</v>
      </c>
      <c r="I47" s="122">
        <v>76.354611884737338</v>
      </c>
      <c r="J47" s="122">
        <v>70.76359832635984</v>
      </c>
      <c r="K47" s="122">
        <v>56.318219983207399</v>
      </c>
      <c r="L47" s="122">
        <v>56.5</v>
      </c>
      <c r="M47" s="122">
        <v>75.8</v>
      </c>
      <c r="N47" s="122">
        <v>87.8</v>
      </c>
      <c r="O47" s="122">
        <v>66.2</v>
      </c>
      <c r="P47" s="122">
        <v>67.400000000000006</v>
      </c>
      <c r="Q47" s="122">
        <v>65.099999999999994</v>
      </c>
      <c r="R47" s="129">
        <v>67.400000000000006</v>
      </c>
      <c r="S47" s="129">
        <v>55.5</v>
      </c>
      <c r="T47" s="134">
        <v>69.5</v>
      </c>
      <c r="U47" s="131">
        <v>63.5</v>
      </c>
      <c r="V47" s="134">
        <v>79.7</v>
      </c>
      <c r="W47" s="131">
        <v>81.010005097318299</v>
      </c>
      <c r="X47" s="131">
        <v>80.79071467986499</v>
      </c>
      <c r="Y47" s="131">
        <v>86.338222916917161</v>
      </c>
      <c r="Z47" s="131">
        <v>79.818993086680095</v>
      </c>
    </row>
    <row r="48" spans="1:26" x14ac:dyDescent="0.25">
      <c r="A48" s="9" t="s">
        <v>36</v>
      </c>
      <c r="B48" s="122">
        <v>54.157303370786515</v>
      </c>
      <c r="C48" s="122">
        <v>56.690400196415411</v>
      </c>
      <c r="D48" s="122">
        <v>61.075316596311922</v>
      </c>
      <c r="E48" s="122">
        <v>66.27003399708596</v>
      </c>
      <c r="F48" s="122">
        <v>47.807276302851527</v>
      </c>
      <c r="G48" s="122">
        <v>39.4</v>
      </c>
      <c r="H48" s="122">
        <v>40.956112852664575</v>
      </c>
      <c r="I48" s="122">
        <v>54.388036206218025</v>
      </c>
      <c r="J48" s="122">
        <v>52.852962692026331</v>
      </c>
      <c r="K48" s="122">
        <v>60.254459964043697</v>
      </c>
      <c r="L48" s="122">
        <v>48.8</v>
      </c>
      <c r="M48" s="122">
        <v>57.2</v>
      </c>
      <c r="N48" s="122">
        <v>60.8</v>
      </c>
      <c r="O48" s="122">
        <v>60.7</v>
      </c>
      <c r="P48" s="122">
        <v>61.3</v>
      </c>
      <c r="Q48" s="122">
        <v>53.2</v>
      </c>
      <c r="R48" s="129">
        <v>47.8</v>
      </c>
      <c r="S48" s="129">
        <v>45.2</v>
      </c>
      <c r="T48" s="134">
        <v>46.7</v>
      </c>
      <c r="U48" s="131">
        <v>49.2</v>
      </c>
      <c r="V48" s="134">
        <v>43.9</v>
      </c>
      <c r="W48" s="131">
        <v>48.646196133064741</v>
      </c>
      <c r="X48" s="131">
        <v>63.593009348837498</v>
      </c>
      <c r="Y48" s="131">
        <v>53.576573261132431</v>
      </c>
      <c r="Z48" s="131">
        <v>50.04955764852577</v>
      </c>
    </row>
    <row r="49" spans="1:26" x14ac:dyDescent="0.25">
      <c r="A49" s="9" t="s">
        <v>37</v>
      </c>
      <c r="B49" s="122">
        <v>64.249843063402395</v>
      </c>
      <c r="C49" s="122">
        <v>62.902551233793389</v>
      </c>
      <c r="D49" s="122">
        <v>66.00264254497408</v>
      </c>
      <c r="E49" s="122">
        <v>62.592076448337643</v>
      </c>
      <c r="F49" s="122">
        <v>58.479270907791282</v>
      </c>
      <c r="G49" s="122">
        <v>56.2</v>
      </c>
      <c r="H49" s="122">
        <v>52.647503782148263</v>
      </c>
      <c r="I49" s="122">
        <v>57.498827392120077</v>
      </c>
      <c r="J49" s="122">
        <v>62.910774746066522</v>
      </c>
      <c r="K49" s="122">
        <v>71.99756259694216</v>
      </c>
      <c r="L49" s="122">
        <v>73.7</v>
      </c>
      <c r="M49" s="122">
        <v>69.900000000000006</v>
      </c>
      <c r="N49" s="122">
        <v>69.099999999999994</v>
      </c>
      <c r="O49" s="122">
        <v>65</v>
      </c>
      <c r="P49" s="122">
        <v>58.2</v>
      </c>
      <c r="Q49" s="122">
        <v>64.099999999999994</v>
      </c>
      <c r="R49" s="129">
        <v>59.6</v>
      </c>
      <c r="S49" s="129">
        <v>58.9</v>
      </c>
      <c r="T49" s="134">
        <v>52.9</v>
      </c>
      <c r="U49" s="131">
        <v>52.4</v>
      </c>
      <c r="V49" s="131">
        <v>50</v>
      </c>
      <c r="W49" s="131">
        <v>54.151832466580473</v>
      </c>
      <c r="X49" s="131">
        <v>52.898892711602748</v>
      </c>
      <c r="Y49" s="131">
        <v>58.823146309998528</v>
      </c>
      <c r="Z49" s="131">
        <v>61.677701306636472</v>
      </c>
    </row>
    <row r="50" spans="1:26" x14ac:dyDescent="0.25">
      <c r="A50" s="9" t="s">
        <v>38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>
        <v>2.9</v>
      </c>
      <c r="Q50" s="122" t="s">
        <v>96</v>
      </c>
      <c r="R50" s="129" t="s">
        <v>96</v>
      </c>
      <c r="S50" s="129">
        <v>34.700000000000003</v>
      </c>
      <c r="T50" s="134">
        <v>62.8</v>
      </c>
      <c r="U50" s="131">
        <v>71.599999999999994</v>
      </c>
      <c r="V50" s="134">
        <v>73.400000000000006</v>
      </c>
      <c r="W50" s="131">
        <v>85.414503071179553</v>
      </c>
      <c r="X50" s="131">
        <v>76.273937674510478</v>
      </c>
      <c r="Y50" s="131">
        <v>82.878195438627174</v>
      </c>
      <c r="Z50" s="131">
        <v>72.800582275263693</v>
      </c>
    </row>
    <row r="51" spans="1:26" ht="21.75" customHeight="1" x14ac:dyDescent="0.25">
      <c r="A51" s="8" t="s">
        <v>89</v>
      </c>
      <c r="B51" s="124">
        <v>82.512892639474913</v>
      </c>
      <c r="C51" s="124">
        <v>81.965482989818753</v>
      </c>
      <c r="D51" s="124">
        <v>82.628106883454393</v>
      </c>
      <c r="E51" s="124">
        <v>80.790250643884647</v>
      </c>
      <c r="F51" s="124">
        <v>74.100330429558412</v>
      </c>
      <c r="G51" s="124">
        <v>73.599999999999994</v>
      </c>
      <c r="H51" s="124">
        <v>72.038984108694606</v>
      </c>
      <c r="I51" s="124">
        <v>74.976262066782724</v>
      </c>
      <c r="J51" s="124">
        <v>67.28157924765128</v>
      </c>
      <c r="K51" s="124">
        <v>70.434658380656458</v>
      </c>
      <c r="L51" s="124">
        <v>64.599999999999994</v>
      </c>
      <c r="M51" s="124">
        <v>62.2</v>
      </c>
      <c r="N51" s="124">
        <v>67</v>
      </c>
      <c r="O51" s="124">
        <v>67.400000000000006</v>
      </c>
      <c r="P51" s="124">
        <v>76.599999999999994</v>
      </c>
      <c r="Q51" s="124">
        <v>71.3</v>
      </c>
      <c r="R51" s="123">
        <v>72.3</v>
      </c>
      <c r="S51" s="123">
        <v>66.3</v>
      </c>
      <c r="T51" s="123">
        <v>60</v>
      </c>
      <c r="U51" s="123">
        <v>59.5</v>
      </c>
      <c r="V51" s="120">
        <v>62.4</v>
      </c>
      <c r="W51" s="123">
        <v>69.001271783342887</v>
      </c>
      <c r="X51" s="123">
        <v>72.927572051752236</v>
      </c>
      <c r="Y51" s="123">
        <v>70.992243160790437</v>
      </c>
      <c r="Z51" s="123">
        <v>74.961670390850017</v>
      </c>
    </row>
    <row r="52" spans="1:26" x14ac:dyDescent="0.25">
      <c r="A52" s="9" t="s">
        <v>39</v>
      </c>
      <c r="B52" s="122">
        <v>91.480027707226967</v>
      </c>
      <c r="C52" s="122">
        <v>87.460373370905259</v>
      </c>
      <c r="D52" s="122">
        <v>89.276139410187668</v>
      </c>
      <c r="E52" s="122">
        <v>95.078815840061509</v>
      </c>
      <c r="F52" s="122">
        <v>80.449826989619382</v>
      </c>
      <c r="G52" s="122">
        <v>80.400000000000006</v>
      </c>
      <c r="H52" s="122">
        <v>85.668344519015662</v>
      </c>
      <c r="I52" s="122">
        <v>84.651918510186221</v>
      </c>
      <c r="J52" s="122">
        <v>77.841472825487827</v>
      </c>
      <c r="K52" s="122">
        <v>83.000281452293834</v>
      </c>
      <c r="L52" s="122">
        <v>89.1</v>
      </c>
      <c r="M52" s="122">
        <v>84.3</v>
      </c>
      <c r="N52" s="122">
        <v>81.8</v>
      </c>
      <c r="O52" s="122">
        <v>84.5</v>
      </c>
      <c r="P52" s="122">
        <v>84.1</v>
      </c>
      <c r="Q52" s="122">
        <v>77.599999999999994</v>
      </c>
      <c r="R52" s="129">
        <v>85.7</v>
      </c>
      <c r="S52" s="129">
        <v>72.3</v>
      </c>
      <c r="T52" s="134">
        <v>58.2</v>
      </c>
      <c r="U52" s="131">
        <v>55.3</v>
      </c>
      <c r="V52" s="134">
        <v>50.3</v>
      </c>
      <c r="W52" s="131">
        <v>47.157893103655589</v>
      </c>
      <c r="X52" s="131">
        <v>51.73140602324191</v>
      </c>
      <c r="Y52" s="131">
        <v>67.00008717819037</v>
      </c>
      <c r="Z52" s="131">
        <v>81.010519261872943</v>
      </c>
    </row>
    <row r="53" spans="1:26" x14ac:dyDescent="0.25">
      <c r="A53" s="9" t="s">
        <v>99</v>
      </c>
      <c r="B53" s="122">
        <v>74.657534246575352</v>
      </c>
      <c r="C53" s="122">
        <v>79.841897233201578</v>
      </c>
      <c r="D53" s="122">
        <v>61.111111111111114</v>
      </c>
      <c r="E53" s="122">
        <v>88.8888888888889</v>
      </c>
      <c r="F53" s="122">
        <v>66.853932584269657</v>
      </c>
      <c r="G53" s="122">
        <v>53.1</v>
      </c>
      <c r="H53" s="122">
        <v>73.221757322175733</v>
      </c>
      <c r="I53" s="122">
        <v>99.307359307359306</v>
      </c>
      <c r="J53" s="122">
        <v>75.723472668810288</v>
      </c>
      <c r="K53" s="122">
        <v>88.4</v>
      </c>
      <c r="L53" s="122">
        <v>29.7</v>
      </c>
      <c r="M53" s="122">
        <v>90</v>
      </c>
      <c r="N53" s="122">
        <v>70.099999999999994</v>
      </c>
      <c r="O53" s="122">
        <v>23.1</v>
      </c>
      <c r="P53" s="122">
        <v>68.3</v>
      </c>
      <c r="Q53" s="122">
        <v>51.8</v>
      </c>
      <c r="R53" s="129">
        <v>62.8</v>
      </c>
      <c r="S53" s="129">
        <v>53.5</v>
      </c>
      <c r="T53" s="134">
        <v>60.5</v>
      </c>
      <c r="U53" s="131">
        <v>40.6</v>
      </c>
      <c r="V53" s="134">
        <v>53.1</v>
      </c>
      <c r="W53" s="131">
        <v>63.924090198705066</v>
      </c>
      <c r="X53" s="131">
        <v>57.139891609765499</v>
      </c>
      <c r="Y53" s="131">
        <v>63.117597136637023</v>
      </c>
      <c r="Z53" s="131">
        <v>60.657246368370167</v>
      </c>
    </row>
    <row r="54" spans="1:26" ht="19.5" x14ac:dyDescent="0.25">
      <c r="A54" s="9" t="s">
        <v>41</v>
      </c>
      <c r="B54" s="122">
        <v>85.202492211838006</v>
      </c>
      <c r="C54" s="122">
        <v>83.171206225680933</v>
      </c>
      <c r="D54" s="122">
        <v>89.895138226882736</v>
      </c>
      <c r="E54" s="122">
        <v>75.536881419234376</v>
      </c>
      <c r="F54" s="122">
        <v>80.939476061427271</v>
      </c>
      <c r="G54" s="122">
        <v>90.7</v>
      </c>
      <c r="H54" s="122">
        <v>90.580026166593967</v>
      </c>
      <c r="I54" s="122">
        <v>86.118143459915615</v>
      </c>
      <c r="J54" s="122">
        <v>84.714921148402738</v>
      </c>
      <c r="K54" s="122">
        <v>94.170579029733958</v>
      </c>
      <c r="L54" s="122">
        <v>86.3</v>
      </c>
      <c r="M54" s="122">
        <v>86.8</v>
      </c>
      <c r="N54" s="122">
        <v>89.2</v>
      </c>
      <c r="O54" s="122">
        <v>89.6</v>
      </c>
      <c r="P54" s="122">
        <v>90.8</v>
      </c>
      <c r="Q54" s="122">
        <v>91.2</v>
      </c>
      <c r="R54" s="129">
        <v>64</v>
      </c>
      <c r="S54" s="129">
        <v>64.2</v>
      </c>
      <c r="T54" s="134">
        <v>78.900000000000006</v>
      </c>
      <c r="U54" s="131">
        <v>68.3</v>
      </c>
      <c r="V54" s="134">
        <v>76.900000000000006</v>
      </c>
      <c r="W54" s="131">
        <v>76.603529290545339</v>
      </c>
      <c r="X54" s="131">
        <v>66.028702640642933</v>
      </c>
      <c r="Y54" s="131">
        <v>57.42428387267497</v>
      </c>
      <c r="Z54" s="131">
        <v>60.56449170370734</v>
      </c>
    </row>
    <row r="55" spans="1:26" ht="19.5" x14ac:dyDescent="0.25">
      <c r="A55" s="9" t="s">
        <v>42</v>
      </c>
      <c r="B55" s="122">
        <v>89.840637450199196</v>
      </c>
      <c r="C55" s="122">
        <v>79.814077025232407</v>
      </c>
      <c r="D55" s="122">
        <v>88.253012048192772</v>
      </c>
      <c r="E55" s="122">
        <v>91.678832116788328</v>
      </c>
      <c r="F55" s="122">
        <v>80.379746835443029</v>
      </c>
      <c r="G55" s="122">
        <v>75.3</v>
      </c>
      <c r="H55" s="122">
        <v>70.843672456575689</v>
      </c>
      <c r="I55" s="122">
        <v>70.075349838536056</v>
      </c>
      <c r="J55" s="122">
        <v>86.387434554973822</v>
      </c>
      <c r="K55" s="122">
        <v>64.15094339622641</v>
      </c>
      <c r="L55" s="122">
        <v>79.8</v>
      </c>
      <c r="M55" s="122">
        <v>83.3</v>
      </c>
      <c r="N55" s="122">
        <v>67.900000000000006</v>
      </c>
      <c r="O55" s="122">
        <v>76</v>
      </c>
      <c r="P55" s="122">
        <v>73.7</v>
      </c>
      <c r="Q55" s="122">
        <v>85</v>
      </c>
      <c r="R55" s="129">
        <v>67.599999999999994</v>
      </c>
      <c r="S55" s="129">
        <v>35.799999999999997</v>
      </c>
      <c r="T55" s="134">
        <v>46.7</v>
      </c>
      <c r="U55" s="131">
        <v>60.6</v>
      </c>
      <c r="V55" s="134">
        <v>83.3</v>
      </c>
      <c r="W55" s="131">
        <v>91.827509812176032</v>
      </c>
      <c r="X55" s="131">
        <v>79.344379004595169</v>
      </c>
      <c r="Y55" s="131">
        <v>72.492665409308259</v>
      </c>
      <c r="Z55" s="131">
        <v>75.096560307276349</v>
      </c>
    </row>
    <row r="56" spans="1:26" ht="19.5" x14ac:dyDescent="0.25">
      <c r="A56" s="9" t="s">
        <v>43</v>
      </c>
      <c r="B56" s="122">
        <v>64.684014869888472</v>
      </c>
      <c r="C56" s="122">
        <v>72.300183038438064</v>
      </c>
      <c r="D56" s="122">
        <v>76.435495898583156</v>
      </c>
      <c r="E56" s="122">
        <v>65.562913907284752</v>
      </c>
      <c r="F56" s="122">
        <v>48.164464023494865</v>
      </c>
      <c r="G56" s="122">
        <v>59.7</v>
      </c>
      <c r="H56" s="122">
        <v>38.188727042431914</v>
      </c>
      <c r="I56" s="122">
        <v>42.279202279202281</v>
      </c>
      <c r="J56" s="122">
        <v>35.297105129507358</v>
      </c>
      <c r="K56" s="122">
        <v>30.399595346484574</v>
      </c>
      <c r="L56" s="122">
        <v>39</v>
      </c>
      <c r="M56" s="122">
        <v>33.200000000000003</v>
      </c>
      <c r="N56" s="122">
        <v>22.5</v>
      </c>
      <c r="O56" s="122">
        <v>18.100000000000001</v>
      </c>
      <c r="P56" s="122">
        <v>21.6</v>
      </c>
      <c r="Q56" s="122">
        <v>22.1</v>
      </c>
      <c r="R56" s="129">
        <v>18.7</v>
      </c>
      <c r="S56" s="129">
        <v>23</v>
      </c>
      <c r="T56" s="134">
        <v>21.6</v>
      </c>
      <c r="U56" s="131">
        <v>31.4</v>
      </c>
      <c r="V56" s="134">
        <v>35.9</v>
      </c>
      <c r="W56" s="131">
        <v>73.366154075380095</v>
      </c>
      <c r="X56" s="131">
        <v>61.416249239267827</v>
      </c>
      <c r="Y56" s="131">
        <v>44.501009446424568</v>
      </c>
      <c r="Z56" s="131">
        <v>44.988162554540295</v>
      </c>
    </row>
    <row r="57" spans="1:26" x14ac:dyDescent="0.25">
      <c r="A57" s="9" t="s">
        <v>97</v>
      </c>
      <c r="B57" s="122" t="s">
        <v>96</v>
      </c>
      <c r="C57" s="122" t="s">
        <v>96</v>
      </c>
      <c r="D57" s="122" t="s">
        <v>96</v>
      </c>
      <c r="E57" s="122" t="s">
        <v>96</v>
      </c>
      <c r="F57" s="122" t="s">
        <v>96</v>
      </c>
      <c r="G57" s="122">
        <v>97.5</v>
      </c>
      <c r="H57" s="122">
        <v>68.493150684931521</v>
      </c>
      <c r="I57" s="20">
        <v>100</v>
      </c>
      <c r="J57" s="20">
        <v>100</v>
      </c>
      <c r="K57" s="122">
        <v>93.2</v>
      </c>
      <c r="L57" s="122">
        <v>60.3</v>
      </c>
      <c r="M57" s="122">
        <v>77.900000000000006</v>
      </c>
      <c r="N57" s="122">
        <v>80.7</v>
      </c>
      <c r="O57" s="122">
        <v>91.9</v>
      </c>
      <c r="P57" s="122">
        <v>95.5</v>
      </c>
      <c r="Q57" s="122">
        <v>96.7</v>
      </c>
      <c r="R57" s="129">
        <v>95.5</v>
      </c>
      <c r="S57" s="129">
        <v>91.2</v>
      </c>
      <c r="T57" s="134">
        <v>84.5</v>
      </c>
      <c r="U57" s="131">
        <v>81.5</v>
      </c>
      <c r="V57" s="134">
        <v>87.4</v>
      </c>
      <c r="W57" s="131">
        <v>86.179375208631441</v>
      </c>
      <c r="X57" s="131">
        <v>93.836436813248127</v>
      </c>
      <c r="Y57" s="131">
        <v>87.305002228178324</v>
      </c>
      <c r="Z57" s="131">
        <v>86.356435240686935</v>
      </c>
    </row>
    <row r="58" spans="1:26" x14ac:dyDescent="0.25">
      <c r="A58" s="9" t="s">
        <v>45</v>
      </c>
      <c r="B58" s="122">
        <v>79.13486005089058</v>
      </c>
      <c r="C58" s="122">
        <v>79.228486646884278</v>
      </c>
      <c r="D58" s="122">
        <v>75.892403992556254</v>
      </c>
      <c r="E58" s="122">
        <v>72.666982472761731</v>
      </c>
      <c r="F58" s="122">
        <v>71.137521222410854</v>
      </c>
      <c r="G58" s="129">
        <v>63.4</v>
      </c>
      <c r="H58" s="129">
        <v>61.60613296468518</v>
      </c>
      <c r="I58" s="129">
        <v>63.406639881581739</v>
      </c>
      <c r="J58" s="129">
        <v>56.257628391700322</v>
      </c>
      <c r="K58" s="129">
        <v>58.04357904496986</v>
      </c>
      <c r="L58" s="129">
        <v>43.4</v>
      </c>
      <c r="M58" s="129">
        <v>36.299999999999997</v>
      </c>
      <c r="N58" s="129">
        <v>49.8</v>
      </c>
      <c r="O58" s="129">
        <v>52.1</v>
      </c>
      <c r="P58" s="129">
        <v>56.3</v>
      </c>
      <c r="Q58" s="129">
        <v>46.1</v>
      </c>
      <c r="R58" s="129">
        <v>42.3</v>
      </c>
      <c r="S58" s="129">
        <v>44.4</v>
      </c>
      <c r="T58" s="134">
        <v>48.1</v>
      </c>
      <c r="U58" s="131">
        <v>57.4</v>
      </c>
      <c r="V58" s="131">
        <v>55</v>
      </c>
      <c r="W58" s="131">
        <v>65.492543529319505</v>
      </c>
      <c r="X58" s="131">
        <v>64.903446682463738</v>
      </c>
      <c r="Y58" s="131">
        <v>65.086150369016565</v>
      </c>
      <c r="Z58" s="131">
        <v>64.005268628648963</v>
      </c>
    </row>
    <row r="59" spans="1:26" s="94" customFormat="1" ht="18" x14ac:dyDescent="0.25">
      <c r="A59" s="7" t="s">
        <v>90</v>
      </c>
      <c r="B59" s="124">
        <v>47.181321296202825</v>
      </c>
      <c r="C59" s="124">
        <v>46.335580183053473</v>
      </c>
      <c r="D59" s="124">
        <v>48.695338007814591</v>
      </c>
      <c r="E59" s="124">
        <v>49.696866081879037</v>
      </c>
      <c r="F59" s="124">
        <v>47.23220443573269</v>
      </c>
      <c r="G59" s="123">
        <v>47.9</v>
      </c>
      <c r="H59" s="123">
        <v>51.546823994489543</v>
      </c>
      <c r="I59" s="123">
        <v>51.220643523265466</v>
      </c>
      <c r="J59" s="123">
        <v>52.493751797049526</v>
      </c>
      <c r="K59" s="123">
        <v>57.993791992456089</v>
      </c>
      <c r="L59" s="123">
        <v>54.5</v>
      </c>
      <c r="M59" s="123">
        <v>53.1</v>
      </c>
      <c r="N59" s="123">
        <v>53.3</v>
      </c>
      <c r="O59" s="123">
        <v>54.8</v>
      </c>
      <c r="P59" s="123">
        <v>49.4</v>
      </c>
      <c r="Q59" s="123">
        <v>45.5</v>
      </c>
      <c r="R59" s="123">
        <v>45.8</v>
      </c>
      <c r="S59" s="123">
        <v>47.8</v>
      </c>
      <c r="T59" s="120">
        <v>50.8</v>
      </c>
      <c r="U59" s="123">
        <v>52.8</v>
      </c>
      <c r="V59" s="120">
        <v>56.3</v>
      </c>
      <c r="W59" s="123">
        <v>61.115539872237932</v>
      </c>
      <c r="X59" s="123">
        <v>63.754647191023111</v>
      </c>
      <c r="Y59" s="123">
        <v>57.59018174754091</v>
      </c>
      <c r="Z59" s="123">
        <v>63.599667381114024</v>
      </c>
    </row>
    <row r="60" spans="1:26" x14ac:dyDescent="0.25">
      <c r="A60" s="9" t="s">
        <v>46</v>
      </c>
      <c r="B60" s="122">
        <v>64.411506892979503</v>
      </c>
      <c r="C60" s="122">
        <v>60.895330572611741</v>
      </c>
      <c r="D60" s="122">
        <v>59.9345987061918</v>
      </c>
      <c r="E60" s="122">
        <v>61.470327723649241</v>
      </c>
      <c r="F60" s="122">
        <v>62.377418499867474</v>
      </c>
      <c r="G60" s="122">
        <v>61.7</v>
      </c>
      <c r="H60" s="122">
        <v>61.046272945868282</v>
      </c>
      <c r="I60" s="122">
        <v>62.123007324429125</v>
      </c>
      <c r="J60" s="122">
        <v>68.981205884854148</v>
      </c>
      <c r="K60" s="122">
        <v>82.190674544140791</v>
      </c>
      <c r="L60" s="122">
        <v>72.400000000000006</v>
      </c>
      <c r="M60" s="122">
        <v>73.3</v>
      </c>
      <c r="N60" s="122">
        <v>69.5</v>
      </c>
      <c r="O60" s="122">
        <v>66.3</v>
      </c>
      <c r="P60" s="122">
        <v>63.7</v>
      </c>
      <c r="Q60" s="122">
        <v>58.4</v>
      </c>
      <c r="R60" s="129">
        <v>67.3</v>
      </c>
      <c r="S60" s="129">
        <v>67.7</v>
      </c>
      <c r="T60" s="134">
        <v>61.2</v>
      </c>
      <c r="U60" s="131">
        <v>58.6</v>
      </c>
      <c r="V60" s="131">
        <v>61</v>
      </c>
      <c r="W60" s="131">
        <v>61.280548230280942</v>
      </c>
      <c r="X60" s="131">
        <v>62.746769764275243</v>
      </c>
      <c r="Y60" s="131">
        <v>62.121663175452014</v>
      </c>
      <c r="Z60" s="131">
        <v>69.738964219580666</v>
      </c>
    </row>
    <row r="61" spans="1:26" x14ac:dyDescent="0.25">
      <c r="A61" s="9" t="s">
        <v>47</v>
      </c>
      <c r="B61" s="122">
        <v>55.823627287853569</v>
      </c>
      <c r="C61" s="122">
        <v>44.672754946727551</v>
      </c>
      <c r="D61" s="122">
        <v>51.24732715609408</v>
      </c>
      <c r="E61" s="122">
        <v>57.036029911624752</v>
      </c>
      <c r="F61" s="122">
        <v>54.820766378244748</v>
      </c>
      <c r="G61" s="122">
        <v>55.8</v>
      </c>
      <c r="H61" s="122">
        <v>61.965065502183414</v>
      </c>
      <c r="I61" s="122">
        <v>65.068734578780408</v>
      </c>
      <c r="J61" s="122">
        <v>65.495314591700122</v>
      </c>
      <c r="K61" s="122">
        <v>70.123374458152739</v>
      </c>
      <c r="L61" s="122">
        <v>69.8</v>
      </c>
      <c r="M61" s="122">
        <v>69.3</v>
      </c>
      <c r="N61" s="122">
        <v>62.7</v>
      </c>
      <c r="O61" s="122">
        <v>59.7</v>
      </c>
      <c r="P61" s="122">
        <v>53.5</v>
      </c>
      <c r="Q61" s="122">
        <v>46.4</v>
      </c>
      <c r="R61" s="129">
        <v>36.299999999999997</v>
      </c>
      <c r="S61" s="129">
        <v>31.5</v>
      </c>
      <c r="T61" s="134">
        <v>40.4</v>
      </c>
      <c r="U61" s="131">
        <v>40.9</v>
      </c>
      <c r="V61" s="134">
        <v>36.6</v>
      </c>
      <c r="W61" s="131">
        <v>46.716421521842577</v>
      </c>
      <c r="X61" s="131">
        <v>62.438394258390773</v>
      </c>
      <c r="Y61" s="131">
        <v>49.45009477268534</v>
      </c>
      <c r="Z61" s="131">
        <v>59.036903225806455</v>
      </c>
    </row>
    <row r="62" spans="1:26" x14ac:dyDescent="0.25">
      <c r="A62" s="9" t="s">
        <v>48</v>
      </c>
      <c r="B62" s="122">
        <v>57.331136738056024</v>
      </c>
      <c r="C62" s="122">
        <v>62.997275204359667</v>
      </c>
      <c r="D62" s="122">
        <v>64.221453287197221</v>
      </c>
      <c r="E62" s="122">
        <v>59.986987638256352</v>
      </c>
      <c r="F62" s="122">
        <v>56.703014753046823</v>
      </c>
      <c r="G62" s="122">
        <v>50.1</v>
      </c>
      <c r="H62" s="122">
        <v>48.545966228893064</v>
      </c>
      <c r="I62" s="122">
        <v>47.734761120263592</v>
      </c>
      <c r="J62" s="122">
        <v>41.992256247800064</v>
      </c>
      <c r="K62" s="122">
        <v>35.32176428054953</v>
      </c>
      <c r="L62" s="122">
        <v>39.9</v>
      </c>
      <c r="M62" s="122">
        <v>31.7</v>
      </c>
      <c r="N62" s="122">
        <v>39.9</v>
      </c>
      <c r="O62" s="122">
        <v>39.200000000000003</v>
      </c>
      <c r="P62" s="122">
        <v>39.5</v>
      </c>
      <c r="Q62" s="122">
        <v>42.6</v>
      </c>
      <c r="R62" s="129">
        <v>46.7</v>
      </c>
      <c r="S62" s="129">
        <v>44.9</v>
      </c>
      <c r="T62" s="134">
        <v>49.7</v>
      </c>
      <c r="U62" s="131">
        <v>51.4</v>
      </c>
      <c r="V62" s="134">
        <v>55.1</v>
      </c>
      <c r="W62" s="131">
        <v>59.494503043429773</v>
      </c>
      <c r="X62" s="131">
        <v>63.447156559965904</v>
      </c>
      <c r="Y62" s="131">
        <v>47.211853611560549</v>
      </c>
      <c r="Z62" s="131">
        <v>59.132249279730992</v>
      </c>
    </row>
    <row r="63" spans="1:26" x14ac:dyDescent="0.25">
      <c r="A63" s="9" t="s">
        <v>49</v>
      </c>
      <c r="B63" s="122">
        <v>39.411686410222288</v>
      </c>
      <c r="C63" s="122">
        <v>36.344252762163208</v>
      </c>
      <c r="D63" s="122">
        <v>37.74135026564727</v>
      </c>
      <c r="E63" s="122">
        <v>41.083434718575909</v>
      </c>
      <c r="F63" s="122">
        <v>31.695317801402396</v>
      </c>
      <c r="G63" s="122">
        <v>46</v>
      </c>
      <c r="H63" s="122">
        <v>58.763988078501939</v>
      </c>
      <c r="I63" s="122">
        <v>49.65943058754349</v>
      </c>
      <c r="J63" s="122">
        <v>44.400449943757032</v>
      </c>
      <c r="K63" s="122">
        <v>38.563327032136108</v>
      </c>
      <c r="L63" s="122">
        <v>42.9</v>
      </c>
      <c r="M63" s="122">
        <v>40.700000000000003</v>
      </c>
      <c r="N63" s="122">
        <v>46</v>
      </c>
      <c r="O63" s="122">
        <v>58.3</v>
      </c>
      <c r="P63" s="122">
        <v>47.4</v>
      </c>
      <c r="Q63" s="122">
        <v>49.2</v>
      </c>
      <c r="R63" s="129">
        <v>43.1</v>
      </c>
      <c r="S63" s="129">
        <v>44.8</v>
      </c>
      <c r="T63" s="131">
        <v>46</v>
      </c>
      <c r="U63" s="131">
        <v>41.3</v>
      </c>
      <c r="V63" s="134">
        <v>54.5</v>
      </c>
      <c r="W63" s="131">
        <v>68.842328830852637</v>
      </c>
      <c r="X63" s="131">
        <v>71.254584728498088</v>
      </c>
      <c r="Y63" s="131">
        <v>49.43438370885405</v>
      </c>
      <c r="Z63" s="131">
        <v>68.062027493051147</v>
      </c>
    </row>
    <row r="64" spans="1:26" x14ac:dyDescent="0.25">
      <c r="A64" s="9" t="s">
        <v>50</v>
      </c>
      <c r="B64" s="122">
        <v>53.891050583657588</v>
      </c>
      <c r="C64" s="122">
        <v>61.185399349475979</v>
      </c>
      <c r="D64" s="122">
        <v>56.067892503536065</v>
      </c>
      <c r="E64" s="122">
        <v>67.461074038767094</v>
      </c>
      <c r="F64" s="122">
        <v>64.034358548074266</v>
      </c>
      <c r="G64" s="122">
        <v>67.8</v>
      </c>
      <c r="H64" s="122">
        <v>62.090115593300311</v>
      </c>
      <c r="I64" s="122">
        <v>66.273291925465841</v>
      </c>
      <c r="J64" s="122">
        <v>67.146381578947384</v>
      </c>
      <c r="K64" s="122">
        <v>74.569707401032701</v>
      </c>
      <c r="L64" s="122">
        <v>59.3</v>
      </c>
      <c r="M64" s="122">
        <v>58.4</v>
      </c>
      <c r="N64" s="122">
        <v>51.1</v>
      </c>
      <c r="O64" s="122">
        <v>45.1</v>
      </c>
      <c r="P64" s="122">
        <v>39.200000000000003</v>
      </c>
      <c r="Q64" s="122">
        <v>47.5</v>
      </c>
      <c r="R64" s="129">
        <v>44.1</v>
      </c>
      <c r="S64" s="129">
        <v>43.7</v>
      </c>
      <c r="T64" s="134">
        <v>44.4</v>
      </c>
      <c r="U64" s="131">
        <v>56.3</v>
      </c>
      <c r="V64" s="134">
        <v>52.1</v>
      </c>
      <c r="W64" s="131">
        <v>51.823404417147586</v>
      </c>
      <c r="X64" s="131">
        <v>66.00465302957123</v>
      </c>
      <c r="Y64" s="131">
        <v>61.991355636539488</v>
      </c>
      <c r="Z64" s="131">
        <v>61.424756607589117</v>
      </c>
    </row>
    <row r="65" spans="1:26" x14ac:dyDescent="0.25">
      <c r="A65" s="9" t="s">
        <v>51</v>
      </c>
      <c r="B65" s="122">
        <v>59.78498905036831</v>
      </c>
      <c r="C65" s="122">
        <v>62.682158330051209</v>
      </c>
      <c r="D65" s="122">
        <v>63.742236024844715</v>
      </c>
      <c r="E65" s="122">
        <v>63.805489040338912</v>
      </c>
      <c r="F65" s="122">
        <v>69.193857965451059</v>
      </c>
      <c r="G65" s="122">
        <v>62.5</v>
      </c>
      <c r="H65" s="122">
        <v>63.873610298420125</v>
      </c>
      <c r="I65" s="122">
        <v>68.023892483822792</v>
      </c>
      <c r="J65" s="122">
        <v>69.666598486398044</v>
      </c>
      <c r="K65" s="122">
        <v>65.911757803332549</v>
      </c>
      <c r="L65" s="122">
        <v>66.2</v>
      </c>
      <c r="M65" s="122">
        <v>69.400000000000006</v>
      </c>
      <c r="N65" s="122">
        <v>63.2</v>
      </c>
      <c r="O65" s="122">
        <v>56.1</v>
      </c>
      <c r="P65" s="122">
        <v>46.9</v>
      </c>
      <c r="Q65" s="122">
        <v>34.6</v>
      </c>
      <c r="R65" s="129">
        <v>30.8</v>
      </c>
      <c r="S65" s="129">
        <v>27.3</v>
      </c>
      <c r="T65" s="134">
        <v>23.1</v>
      </c>
      <c r="U65" s="131">
        <v>25.3</v>
      </c>
      <c r="V65" s="134">
        <v>28.2</v>
      </c>
      <c r="W65" s="131">
        <v>54.232917920068758</v>
      </c>
      <c r="X65" s="131">
        <v>67.174988272666667</v>
      </c>
      <c r="Y65" s="131">
        <v>49.109274610868027</v>
      </c>
      <c r="Z65" s="131">
        <v>43.227978628990215</v>
      </c>
    </row>
    <row r="66" spans="1:26" x14ac:dyDescent="0.25">
      <c r="A66" s="9" t="s">
        <v>52</v>
      </c>
      <c r="B66" s="122">
        <v>28.982434887946702</v>
      </c>
      <c r="C66" s="122">
        <v>21.926151503616296</v>
      </c>
      <c r="D66" s="122">
        <v>40.698641530357641</v>
      </c>
      <c r="E66" s="122">
        <v>35.812274368231051</v>
      </c>
      <c r="F66" s="122">
        <v>38.350055741360087</v>
      </c>
      <c r="G66" s="122">
        <v>32.4</v>
      </c>
      <c r="H66" s="122">
        <v>33.170935412026729</v>
      </c>
      <c r="I66" s="122">
        <v>38.264902160389099</v>
      </c>
      <c r="J66" s="122">
        <v>48.691162343900096</v>
      </c>
      <c r="K66" s="122">
        <v>55.761760897712563</v>
      </c>
      <c r="L66" s="122">
        <v>40.200000000000003</v>
      </c>
      <c r="M66" s="122">
        <v>36.1</v>
      </c>
      <c r="N66" s="122">
        <v>38.299999999999997</v>
      </c>
      <c r="O66" s="122">
        <v>47.5</v>
      </c>
      <c r="P66" s="122">
        <v>49.1</v>
      </c>
      <c r="Q66" s="122">
        <v>39.1</v>
      </c>
      <c r="R66" s="129">
        <v>29.4</v>
      </c>
      <c r="S66" s="129">
        <v>42.5</v>
      </c>
      <c r="T66" s="134">
        <v>44.8</v>
      </c>
      <c r="U66" s="131">
        <v>55.2</v>
      </c>
      <c r="V66" s="134">
        <v>49.6</v>
      </c>
      <c r="W66" s="131">
        <v>55.00044418021416</v>
      </c>
      <c r="X66" s="131">
        <v>60.975224313872332</v>
      </c>
      <c r="Y66" s="131">
        <v>64.677661916053538</v>
      </c>
      <c r="Z66" s="131">
        <v>66.139981366835016</v>
      </c>
    </row>
    <row r="67" spans="1:26" x14ac:dyDescent="0.25">
      <c r="A67" s="9" t="s">
        <v>53</v>
      </c>
      <c r="B67" s="122">
        <v>28.597285067873308</v>
      </c>
      <c r="C67" s="122">
        <v>33.089579524680076</v>
      </c>
      <c r="D67" s="122">
        <v>35.962145110410098</v>
      </c>
      <c r="E67" s="122">
        <v>37.678460583488523</v>
      </c>
      <c r="F67" s="122">
        <v>33.940972222222221</v>
      </c>
      <c r="G67" s="122">
        <v>35.299999999999997</v>
      </c>
      <c r="H67" s="122">
        <v>36.985413290113449</v>
      </c>
      <c r="I67" s="122">
        <v>49.787120808940919</v>
      </c>
      <c r="J67" s="122">
        <v>46.618130577736025</v>
      </c>
      <c r="K67" s="122">
        <v>51.473652872878837</v>
      </c>
      <c r="L67" s="122">
        <v>34.700000000000003</v>
      </c>
      <c r="M67" s="122">
        <v>29.5</v>
      </c>
      <c r="N67" s="122">
        <v>32.4</v>
      </c>
      <c r="O67" s="122">
        <v>28</v>
      </c>
      <c r="P67" s="122">
        <v>35.700000000000003</v>
      </c>
      <c r="Q67" s="122">
        <v>33.799999999999997</v>
      </c>
      <c r="R67" s="129">
        <v>26.9</v>
      </c>
      <c r="S67" s="129">
        <v>35.700000000000003</v>
      </c>
      <c r="T67" s="134">
        <v>43.4</v>
      </c>
      <c r="U67" s="131">
        <v>45</v>
      </c>
      <c r="V67" s="131">
        <v>45</v>
      </c>
      <c r="W67" s="131">
        <v>49.715463609603496</v>
      </c>
      <c r="X67" s="131">
        <v>62.871009893597162</v>
      </c>
      <c r="Y67" s="131">
        <v>61.655500962695747</v>
      </c>
      <c r="Z67" s="131">
        <v>65.097842431950824</v>
      </c>
    </row>
    <row r="68" spans="1:26" x14ac:dyDescent="0.25">
      <c r="A68" s="9" t="s">
        <v>54</v>
      </c>
      <c r="B68" s="122">
        <v>30.918544194107454</v>
      </c>
      <c r="C68" s="122">
        <v>37.213668794592564</v>
      </c>
      <c r="D68" s="122">
        <v>45.068097399917455</v>
      </c>
      <c r="E68" s="122">
        <v>42.574257425742566</v>
      </c>
      <c r="F68" s="122">
        <v>35.583808271226076</v>
      </c>
      <c r="G68" s="122">
        <v>36</v>
      </c>
      <c r="H68" s="122">
        <v>32.256503327283731</v>
      </c>
      <c r="I68" s="122">
        <v>32.677238805970148</v>
      </c>
      <c r="J68" s="122">
        <v>47.167442204003244</v>
      </c>
      <c r="K68" s="122">
        <v>64.776693496687784</v>
      </c>
      <c r="L68" s="122">
        <v>64</v>
      </c>
      <c r="M68" s="122">
        <v>63.1</v>
      </c>
      <c r="N68" s="122">
        <v>56.2</v>
      </c>
      <c r="O68" s="122">
        <v>62</v>
      </c>
      <c r="P68" s="122">
        <v>48.7</v>
      </c>
      <c r="Q68" s="122">
        <v>41.3</v>
      </c>
      <c r="R68" s="129">
        <v>48.1</v>
      </c>
      <c r="S68" s="129">
        <v>46</v>
      </c>
      <c r="T68" s="131">
        <v>55</v>
      </c>
      <c r="U68" s="131">
        <v>58.4</v>
      </c>
      <c r="V68" s="134">
        <v>59.8</v>
      </c>
      <c r="W68" s="131">
        <v>71.648866509192857</v>
      </c>
      <c r="X68" s="131">
        <v>65.225571090789728</v>
      </c>
      <c r="Y68" s="131">
        <v>60.498105617536417</v>
      </c>
      <c r="Z68" s="131">
        <v>62.688568338329979</v>
      </c>
    </row>
    <row r="69" spans="1:26" x14ac:dyDescent="0.25">
      <c r="A69" s="9" t="s">
        <v>55</v>
      </c>
      <c r="B69" s="122">
        <v>60.436137071651096</v>
      </c>
      <c r="C69" s="122">
        <v>62.54817501700294</v>
      </c>
      <c r="D69" s="122">
        <v>67.618443316412851</v>
      </c>
      <c r="E69" s="122">
        <v>71.132834962622198</v>
      </c>
      <c r="F69" s="122">
        <v>69.381764813795627</v>
      </c>
      <c r="G69" s="122">
        <v>72.2</v>
      </c>
      <c r="H69" s="122">
        <v>68.403309837572777</v>
      </c>
      <c r="I69" s="122">
        <v>62.34715576820841</v>
      </c>
      <c r="J69" s="122">
        <v>55.767495811315889</v>
      </c>
      <c r="K69" s="122">
        <v>57.208485339818935</v>
      </c>
      <c r="L69" s="122">
        <v>58.2</v>
      </c>
      <c r="M69" s="122">
        <v>63.6</v>
      </c>
      <c r="N69" s="122">
        <v>55.6</v>
      </c>
      <c r="O69" s="122">
        <v>63.4</v>
      </c>
      <c r="P69" s="122">
        <v>57.6</v>
      </c>
      <c r="Q69" s="122">
        <v>44.9</v>
      </c>
      <c r="R69" s="129">
        <v>38.700000000000003</v>
      </c>
      <c r="S69" s="129">
        <v>45</v>
      </c>
      <c r="T69" s="134">
        <v>51.6</v>
      </c>
      <c r="U69" s="131">
        <v>45.4</v>
      </c>
      <c r="V69" s="134">
        <v>54.5</v>
      </c>
      <c r="W69" s="131">
        <v>65.598379822949724</v>
      </c>
      <c r="X69" s="131">
        <v>66.801359198788077</v>
      </c>
      <c r="Y69" s="131">
        <v>70.318727744423001</v>
      </c>
      <c r="Z69" s="131">
        <v>71.21309446538892</v>
      </c>
    </row>
    <row r="70" spans="1:26" x14ac:dyDescent="0.25">
      <c r="A70" s="9" t="s">
        <v>56</v>
      </c>
      <c r="B70" s="122">
        <v>48.209489704565797</v>
      </c>
      <c r="C70" s="122">
        <v>47.868020304568525</v>
      </c>
      <c r="D70" s="122">
        <v>49.641148325358849</v>
      </c>
      <c r="E70" s="122">
        <v>50.148872820076562</v>
      </c>
      <c r="F70" s="122">
        <v>46.060171919770774</v>
      </c>
      <c r="G70" s="122">
        <v>48.2</v>
      </c>
      <c r="H70" s="122">
        <v>49.615670716588141</v>
      </c>
      <c r="I70" s="122">
        <v>53.454807865776665</v>
      </c>
      <c r="J70" s="122">
        <v>53.082135184267052</v>
      </c>
      <c r="K70" s="122">
        <v>48.55784988528351</v>
      </c>
      <c r="L70" s="122">
        <v>54.4</v>
      </c>
      <c r="M70" s="122">
        <v>50.1</v>
      </c>
      <c r="N70" s="122">
        <v>49.9</v>
      </c>
      <c r="O70" s="122">
        <v>51.9</v>
      </c>
      <c r="P70" s="122">
        <v>47.1</v>
      </c>
      <c r="Q70" s="122">
        <v>44.4</v>
      </c>
      <c r="R70" s="129">
        <v>52.5</v>
      </c>
      <c r="S70" s="129">
        <v>60</v>
      </c>
      <c r="T70" s="134">
        <v>62.4</v>
      </c>
      <c r="U70" s="131">
        <v>63.7</v>
      </c>
      <c r="V70" s="134">
        <v>60.2</v>
      </c>
      <c r="W70" s="131">
        <v>62.306682578960469</v>
      </c>
      <c r="X70" s="131">
        <v>57.255535734545447</v>
      </c>
      <c r="Y70" s="131">
        <v>44.126602290935125</v>
      </c>
      <c r="Z70" s="131">
        <v>40.969821802308765</v>
      </c>
    </row>
    <row r="71" spans="1:26" x14ac:dyDescent="0.25">
      <c r="A71" s="9" t="s">
        <v>57</v>
      </c>
      <c r="B71" s="122">
        <v>33.969907407407405</v>
      </c>
      <c r="C71" s="122">
        <v>36.655089500400742</v>
      </c>
      <c r="D71" s="122">
        <v>33.1509719473868</v>
      </c>
      <c r="E71" s="122">
        <v>30.348317251117905</v>
      </c>
      <c r="F71" s="122">
        <v>30.480093676814988</v>
      </c>
      <c r="G71" s="122">
        <v>28.1</v>
      </c>
      <c r="H71" s="122">
        <v>39.801061007957564</v>
      </c>
      <c r="I71" s="122">
        <v>36.068376068376068</v>
      </c>
      <c r="J71" s="122">
        <v>28.941424484264417</v>
      </c>
      <c r="K71" s="122">
        <v>40.854016025014658</v>
      </c>
      <c r="L71" s="122">
        <v>36</v>
      </c>
      <c r="M71" s="122">
        <v>36.1</v>
      </c>
      <c r="N71" s="122">
        <v>35.799999999999997</v>
      </c>
      <c r="O71" s="122">
        <v>38.1</v>
      </c>
      <c r="P71" s="122">
        <v>43.2</v>
      </c>
      <c r="Q71" s="122">
        <v>35.700000000000003</v>
      </c>
      <c r="R71" s="129">
        <v>38.299999999999997</v>
      </c>
      <c r="S71" s="129">
        <v>37</v>
      </c>
      <c r="T71" s="134">
        <v>43.2</v>
      </c>
      <c r="U71" s="131">
        <v>49.4</v>
      </c>
      <c r="V71" s="134">
        <v>65.5</v>
      </c>
      <c r="W71" s="131">
        <v>58.09979752031731</v>
      </c>
      <c r="X71" s="131">
        <v>64.364496691670496</v>
      </c>
      <c r="Y71" s="131">
        <v>58.874256069467052</v>
      </c>
      <c r="Z71" s="131">
        <v>66.721715045149111</v>
      </c>
    </row>
    <row r="72" spans="1:26" x14ac:dyDescent="0.25">
      <c r="A72" s="9" t="s">
        <v>58</v>
      </c>
      <c r="B72" s="122">
        <v>55.089947089947088</v>
      </c>
      <c r="C72" s="122">
        <v>49.528672427337</v>
      </c>
      <c r="D72" s="122">
        <v>47.146358543417364</v>
      </c>
      <c r="E72" s="122">
        <v>46.673684210526311</v>
      </c>
      <c r="F72" s="122">
        <v>45.159958720330238</v>
      </c>
      <c r="G72" s="122">
        <v>32.4</v>
      </c>
      <c r="H72" s="122">
        <v>39.192692260214791</v>
      </c>
      <c r="I72" s="122">
        <v>46.218569611583995</v>
      </c>
      <c r="J72" s="122">
        <v>48.737078651685394</v>
      </c>
      <c r="K72" s="122">
        <v>43.269315868660939</v>
      </c>
      <c r="L72" s="122">
        <v>48.2</v>
      </c>
      <c r="M72" s="122">
        <v>45.1</v>
      </c>
      <c r="N72" s="122">
        <v>63</v>
      </c>
      <c r="O72" s="122">
        <v>59.8</v>
      </c>
      <c r="P72" s="122">
        <v>48.9</v>
      </c>
      <c r="Q72" s="122">
        <v>48.9</v>
      </c>
      <c r="R72" s="129">
        <v>38.6</v>
      </c>
      <c r="S72" s="129">
        <v>35.6</v>
      </c>
      <c r="T72" s="134">
        <v>52.6</v>
      </c>
      <c r="U72" s="131">
        <v>58.6</v>
      </c>
      <c r="V72" s="134">
        <v>54.2</v>
      </c>
      <c r="W72" s="131">
        <v>50.415830420756897</v>
      </c>
      <c r="X72" s="131">
        <v>55.423538242004049</v>
      </c>
      <c r="Y72" s="131">
        <v>58.245908154534739</v>
      </c>
      <c r="Z72" s="131">
        <v>62.37949914049662</v>
      </c>
    </row>
    <row r="73" spans="1:26" x14ac:dyDescent="0.25">
      <c r="A73" s="9" t="s">
        <v>59</v>
      </c>
      <c r="B73" s="122">
        <v>40.989729225023339</v>
      </c>
      <c r="C73" s="122">
        <v>40.396530359355637</v>
      </c>
      <c r="D73" s="122">
        <v>50.027731558513587</v>
      </c>
      <c r="E73" s="122">
        <v>42.261251372118551</v>
      </c>
      <c r="F73" s="122">
        <v>51.653944020356235</v>
      </c>
      <c r="G73" s="122">
        <v>40.200000000000003</v>
      </c>
      <c r="H73" s="122">
        <v>41.17647058823529</v>
      </c>
      <c r="I73" s="122">
        <v>57.219375873311598</v>
      </c>
      <c r="J73" s="122">
        <v>52.153392330383475</v>
      </c>
      <c r="K73" s="122">
        <v>67.565020731247643</v>
      </c>
      <c r="L73" s="122">
        <v>61.9</v>
      </c>
      <c r="M73" s="122">
        <v>61.2</v>
      </c>
      <c r="N73" s="122">
        <v>62</v>
      </c>
      <c r="O73" s="122">
        <v>50</v>
      </c>
      <c r="P73" s="122">
        <v>39.6</v>
      </c>
      <c r="Q73" s="122">
        <v>51.7</v>
      </c>
      <c r="R73" s="129">
        <v>60.5</v>
      </c>
      <c r="S73" s="129">
        <v>71.2</v>
      </c>
      <c r="T73" s="131">
        <v>72</v>
      </c>
      <c r="U73" s="131">
        <v>80.5</v>
      </c>
      <c r="V73" s="134">
        <v>72.099999999999994</v>
      </c>
      <c r="W73" s="131">
        <v>65.93325499083673</v>
      </c>
      <c r="X73" s="131">
        <v>46.741259308979096</v>
      </c>
      <c r="Y73" s="131">
        <v>51.491403779652792</v>
      </c>
      <c r="Z73" s="131">
        <v>54.407483785313197</v>
      </c>
    </row>
    <row r="74" spans="1:26" ht="18" x14ac:dyDescent="0.25">
      <c r="A74" s="8" t="s">
        <v>107</v>
      </c>
      <c r="B74" s="124">
        <v>25.693217944189328</v>
      </c>
      <c r="C74" s="124">
        <v>25.261126248864667</v>
      </c>
      <c r="D74" s="124">
        <v>27.243387357047638</v>
      </c>
      <c r="E74" s="124">
        <v>29.785114558132914</v>
      </c>
      <c r="F74" s="124">
        <v>29.641899353210288</v>
      </c>
      <c r="G74" s="124">
        <v>31.3</v>
      </c>
      <c r="H74" s="124">
        <v>31.920433005229864</v>
      </c>
      <c r="I74" s="124">
        <v>34.796602592758155</v>
      </c>
      <c r="J74" s="124">
        <v>35.416064489192919</v>
      </c>
      <c r="K74" s="124">
        <v>44.09645806293851</v>
      </c>
      <c r="L74" s="124">
        <v>38.4</v>
      </c>
      <c r="M74" s="124">
        <v>33.9</v>
      </c>
      <c r="N74" s="124">
        <v>28.6</v>
      </c>
      <c r="O74" s="124">
        <v>32.799999999999997</v>
      </c>
      <c r="P74" s="124">
        <v>38.6</v>
      </c>
      <c r="Q74" s="124">
        <v>37.4</v>
      </c>
      <c r="R74" s="123">
        <v>33</v>
      </c>
      <c r="S74" s="123">
        <v>36.299999999999997</v>
      </c>
      <c r="T74" s="120">
        <v>38.5</v>
      </c>
      <c r="U74" s="123">
        <v>39.200000000000003</v>
      </c>
      <c r="V74" s="120">
        <v>43.1</v>
      </c>
      <c r="W74" s="123">
        <v>49.551083411779103</v>
      </c>
      <c r="X74" s="123">
        <v>45.081485659923437</v>
      </c>
      <c r="Y74" s="123">
        <v>46.766467586250457</v>
      </c>
      <c r="Z74" s="123">
        <v>47.388250216380456</v>
      </c>
    </row>
    <row r="75" spans="1:26" x14ac:dyDescent="0.25">
      <c r="A75" s="9" t="s">
        <v>60</v>
      </c>
      <c r="B75" s="122">
        <v>70.21857923497268</v>
      </c>
      <c r="C75" s="122">
        <v>50.817757009345797</v>
      </c>
      <c r="D75" s="122">
        <v>50.148367952522264</v>
      </c>
      <c r="E75" s="122">
        <v>49.017681728880156</v>
      </c>
      <c r="F75" s="122">
        <v>52.669404517453785</v>
      </c>
      <c r="G75" s="122">
        <v>55.9</v>
      </c>
      <c r="H75" s="122">
        <v>58.574310692669805</v>
      </c>
      <c r="I75" s="122">
        <v>62.622107969151678</v>
      </c>
      <c r="J75" s="122">
        <v>57.45286374955532</v>
      </c>
      <c r="K75" s="122">
        <v>52.772002772002772</v>
      </c>
      <c r="L75" s="122">
        <v>67.599999999999994</v>
      </c>
      <c r="M75" s="122">
        <v>60</v>
      </c>
      <c r="N75" s="122">
        <v>69.900000000000006</v>
      </c>
      <c r="O75" s="122">
        <v>65.099999999999994</v>
      </c>
      <c r="P75" s="122">
        <v>62.4</v>
      </c>
      <c r="Q75" s="122">
        <v>66.400000000000006</v>
      </c>
      <c r="R75" s="129">
        <v>66</v>
      </c>
      <c r="S75" s="129">
        <v>45</v>
      </c>
      <c r="T75" s="134">
        <v>65.400000000000006</v>
      </c>
      <c r="U75" s="131">
        <v>75.3</v>
      </c>
      <c r="V75" s="134">
        <v>73.7</v>
      </c>
      <c r="W75" s="131">
        <v>80.005627802770448</v>
      </c>
      <c r="X75" s="131">
        <v>61.576827450521698</v>
      </c>
      <c r="Y75" s="131">
        <v>67.472661860273305</v>
      </c>
      <c r="Z75" s="131">
        <v>63.849399998390339</v>
      </c>
    </row>
    <row r="76" spans="1:26" x14ac:dyDescent="0.25">
      <c r="A76" s="9" t="s">
        <v>61</v>
      </c>
      <c r="B76" s="122">
        <v>35.284579211934485</v>
      </c>
      <c r="C76" s="122">
        <v>37.472492926752594</v>
      </c>
      <c r="D76" s="122">
        <v>36.452712297642705</v>
      </c>
      <c r="E76" s="122">
        <v>38.024913317066904</v>
      </c>
      <c r="F76" s="122">
        <v>34.298540965207636</v>
      </c>
      <c r="G76" s="122">
        <v>29.6</v>
      </c>
      <c r="H76" s="122">
        <v>31.474848154493067</v>
      </c>
      <c r="I76" s="122">
        <v>36.653002170243546</v>
      </c>
      <c r="J76" s="122">
        <v>40.146886016451234</v>
      </c>
      <c r="K76" s="122">
        <v>46.463820959326085</v>
      </c>
      <c r="L76" s="122">
        <v>37.700000000000003</v>
      </c>
      <c r="M76" s="122">
        <v>38.799999999999997</v>
      </c>
      <c r="N76" s="122">
        <v>36.6</v>
      </c>
      <c r="O76" s="122">
        <v>36.9</v>
      </c>
      <c r="P76" s="122">
        <v>46.3</v>
      </c>
      <c r="Q76" s="122">
        <v>42.8</v>
      </c>
      <c r="R76" s="129">
        <v>37</v>
      </c>
      <c r="S76" s="129">
        <v>39.200000000000003</v>
      </c>
      <c r="T76" s="134">
        <v>38.799999999999997</v>
      </c>
      <c r="U76" s="131">
        <v>40.1</v>
      </c>
      <c r="V76" s="134">
        <v>43.5</v>
      </c>
      <c r="W76" s="131">
        <v>46.723294962140663</v>
      </c>
      <c r="X76" s="131">
        <v>43.99875619777135</v>
      </c>
      <c r="Y76" s="131">
        <v>45.223788082783379</v>
      </c>
      <c r="Z76" s="131">
        <v>48.365918627028904</v>
      </c>
    </row>
    <row r="77" spans="1:26" x14ac:dyDescent="0.25">
      <c r="A77" s="9" t="s">
        <v>62</v>
      </c>
      <c r="B77" s="122">
        <v>17.597703687348201</v>
      </c>
      <c r="C77" s="122">
        <v>15.587397086763774</v>
      </c>
      <c r="D77" s="122">
        <v>17.65496639283047</v>
      </c>
      <c r="E77" s="122">
        <v>20.631190196407587</v>
      </c>
      <c r="F77" s="122">
        <v>21.240355219100309</v>
      </c>
      <c r="G77" s="122">
        <v>22.5</v>
      </c>
      <c r="H77" s="122">
        <v>24.981004149862642</v>
      </c>
      <c r="I77" s="122">
        <v>25.239570225534802</v>
      </c>
      <c r="J77" s="122">
        <v>28.094037110430548</v>
      </c>
      <c r="K77" s="122">
        <v>33.378196500672949</v>
      </c>
      <c r="L77" s="122">
        <v>32</v>
      </c>
      <c r="M77" s="122">
        <v>29.6</v>
      </c>
      <c r="N77" s="122">
        <v>20.5</v>
      </c>
      <c r="O77" s="122">
        <v>28</v>
      </c>
      <c r="P77" s="122">
        <v>29.8</v>
      </c>
      <c r="Q77" s="122">
        <v>28</v>
      </c>
      <c r="R77" s="129">
        <v>25.5</v>
      </c>
      <c r="S77" s="129">
        <v>32.6</v>
      </c>
      <c r="T77" s="134">
        <v>31.7</v>
      </c>
      <c r="U77" s="131">
        <v>30.4</v>
      </c>
      <c r="V77" s="134">
        <v>38.6</v>
      </c>
      <c r="W77" s="131">
        <v>43.100385495571572</v>
      </c>
      <c r="X77" s="131">
        <v>37.299964687666943</v>
      </c>
      <c r="Y77" s="131">
        <v>42.125678009806016</v>
      </c>
      <c r="Z77" s="131">
        <v>39.37700999776532</v>
      </c>
    </row>
    <row r="78" spans="1:26" x14ac:dyDescent="0.25">
      <c r="A78" s="4" t="s">
        <v>63</v>
      </c>
      <c r="B78" s="118"/>
      <c r="C78" s="118"/>
      <c r="D78" s="118"/>
      <c r="E78" s="118"/>
      <c r="F78" s="118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9"/>
      <c r="S78" s="118"/>
      <c r="T78" s="15"/>
      <c r="U78" s="131"/>
      <c r="V78" s="134"/>
      <c r="W78" s="131"/>
      <c r="X78" s="131"/>
      <c r="Y78" s="131"/>
    </row>
    <row r="79" spans="1:26" ht="23.25" customHeight="1" x14ac:dyDescent="0.25">
      <c r="A79" s="14" t="s">
        <v>104</v>
      </c>
      <c r="B79" s="122">
        <v>13.457207207207206</v>
      </c>
      <c r="C79" s="122">
        <v>8.1677063687799212</v>
      </c>
      <c r="D79" s="122">
        <v>9.4527363184079594</v>
      </c>
      <c r="E79" s="122">
        <v>13.055412592211358</v>
      </c>
      <c r="F79" s="122">
        <v>13.285024154589372</v>
      </c>
      <c r="G79" s="122">
        <v>15.5</v>
      </c>
      <c r="H79" s="122">
        <v>15.221122112211221</v>
      </c>
      <c r="I79" s="122">
        <v>21.359779867002981</v>
      </c>
      <c r="J79" s="122">
        <v>20.796410544026923</v>
      </c>
      <c r="K79" s="122">
        <v>27.768375241779491</v>
      </c>
      <c r="L79" s="122">
        <v>27.5</v>
      </c>
      <c r="M79" s="122">
        <v>18.100000000000001</v>
      </c>
      <c r="N79" s="122">
        <v>16</v>
      </c>
      <c r="O79" s="122">
        <v>18.5</v>
      </c>
      <c r="P79" s="122">
        <v>19.3</v>
      </c>
      <c r="Q79" s="122">
        <v>14.2</v>
      </c>
      <c r="R79" s="129">
        <v>14.6</v>
      </c>
      <c r="S79" s="129">
        <v>14.3</v>
      </c>
      <c r="T79" s="131">
        <v>21</v>
      </c>
      <c r="U79" s="131">
        <v>27.6</v>
      </c>
      <c r="V79" s="134">
        <v>39.4</v>
      </c>
      <c r="W79" s="131">
        <v>37.980041795770767</v>
      </c>
      <c r="X79" s="131">
        <v>26.338938372666576</v>
      </c>
      <c r="Y79" s="131">
        <v>42.722671482033967</v>
      </c>
      <c r="Z79" s="131">
        <v>34.330706240455861</v>
      </c>
    </row>
    <row r="80" spans="1:26" ht="19.5" x14ac:dyDescent="0.25">
      <c r="A80" s="14" t="s">
        <v>64</v>
      </c>
      <c r="B80" s="122">
        <v>6.714876033057851</v>
      </c>
      <c r="C80" s="122">
        <v>7.8098471986417657</v>
      </c>
      <c r="D80" s="122">
        <v>8.1949058693244741</v>
      </c>
      <c r="E80" s="122">
        <v>8.7264150943396217</v>
      </c>
      <c r="F80" s="122">
        <v>11.780277961614825</v>
      </c>
      <c r="G80" s="122">
        <v>9.3000000000000007</v>
      </c>
      <c r="H80" s="122">
        <v>12.375646637485078</v>
      </c>
      <c r="I80" s="122">
        <v>17.672583826429982</v>
      </c>
      <c r="J80" s="122">
        <v>13.458188153310106</v>
      </c>
      <c r="K80" s="122">
        <v>19.867060561299851</v>
      </c>
      <c r="L80" s="122">
        <v>17.5</v>
      </c>
      <c r="M80" s="122">
        <v>19.5</v>
      </c>
      <c r="N80" s="122">
        <v>12.8</v>
      </c>
      <c r="O80" s="122">
        <v>14</v>
      </c>
      <c r="P80" s="122">
        <v>12.4</v>
      </c>
      <c r="Q80" s="122">
        <v>10.5</v>
      </c>
      <c r="R80" s="129">
        <v>10.9</v>
      </c>
      <c r="S80" s="129">
        <v>13.7</v>
      </c>
      <c r="T80" s="134">
        <v>23.8</v>
      </c>
      <c r="U80" s="131">
        <v>26.6</v>
      </c>
      <c r="V80" s="134">
        <v>32.5</v>
      </c>
      <c r="W80" s="131">
        <v>32.128165015354305</v>
      </c>
      <c r="X80" s="131">
        <v>34.87389430590563</v>
      </c>
      <c r="Y80" s="131">
        <v>22.321850417461299</v>
      </c>
      <c r="Z80" s="131">
        <v>31.642450966218494</v>
      </c>
    </row>
    <row r="81" spans="1:26" ht="19.5" x14ac:dyDescent="0.25">
      <c r="A81" s="14" t="s">
        <v>87</v>
      </c>
      <c r="B81" s="122">
        <v>23.159982371088585</v>
      </c>
      <c r="C81" s="122">
        <v>28.80947160710371</v>
      </c>
      <c r="D81" s="122">
        <v>33.05263157894737</v>
      </c>
      <c r="E81" s="122">
        <v>32.952420527737381</v>
      </c>
      <c r="F81" s="122">
        <v>34.785122374253227</v>
      </c>
      <c r="G81" s="122">
        <v>34.200000000000003</v>
      </c>
      <c r="H81" s="122">
        <v>40.022788776527555</v>
      </c>
      <c r="I81" s="122">
        <v>30.877192982456137</v>
      </c>
      <c r="J81" s="122">
        <v>37.06904393705085</v>
      </c>
      <c r="K81" s="122">
        <v>39.578342117872545</v>
      </c>
      <c r="L81" s="122">
        <v>36.1</v>
      </c>
      <c r="M81" s="122">
        <v>38.200000000000003</v>
      </c>
      <c r="N81" s="122">
        <v>25.1</v>
      </c>
      <c r="O81" s="122">
        <v>37.1</v>
      </c>
      <c r="P81" s="122">
        <v>39</v>
      </c>
      <c r="Q81" s="122">
        <v>36.6</v>
      </c>
      <c r="R81" s="129">
        <v>32.299999999999997</v>
      </c>
      <c r="S81" s="129">
        <v>46.2</v>
      </c>
      <c r="T81" s="134">
        <v>37.5</v>
      </c>
      <c r="U81" s="131">
        <v>32.200000000000003</v>
      </c>
      <c r="V81" s="134">
        <v>38.700000000000003</v>
      </c>
      <c r="W81" s="131">
        <v>46.905774192376178</v>
      </c>
      <c r="X81" s="131">
        <v>41.79049705844367</v>
      </c>
      <c r="Y81" s="131">
        <v>44.206587729779969</v>
      </c>
      <c r="Z81" s="131">
        <v>42.254798473338745</v>
      </c>
    </row>
    <row r="82" spans="1:26" x14ac:dyDescent="0.25">
      <c r="A82" s="9" t="s">
        <v>65</v>
      </c>
      <c r="B82" s="122">
        <v>22.941264384994771</v>
      </c>
      <c r="C82" s="122">
        <v>28.693138597291952</v>
      </c>
      <c r="D82" s="122">
        <v>32.941676104190257</v>
      </c>
      <c r="E82" s="122">
        <v>33.21153065367438</v>
      </c>
      <c r="F82" s="122">
        <v>36.021305586522985</v>
      </c>
      <c r="G82" s="122">
        <v>41.5</v>
      </c>
      <c r="H82" s="122">
        <v>38.78046805409344</v>
      </c>
      <c r="I82" s="122">
        <v>41.521726137110761</v>
      </c>
      <c r="J82" s="122">
        <v>36.408102766798415</v>
      </c>
      <c r="K82" s="122">
        <v>54.741770913411138</v>
      </c>
      <c r="L82" s="122">
        <v>45.9</v>
      </c>
      <c r="M82" s="122">
        <v>30.5</v>
      </c>
      <c r="N82" s="122">
        <v>26</v>
      </c>
      <c r="O82" s="122">
        <v>31</v>
      </c>
      <c r="P82" s="122">
        <v>38.6</v>
      </c>
      <c r="Q82" s="122">
        <v>43.3</v>
      </c>
      <c r="R82" s="129">
        <v>34.5</v>
      </c>
      <c r="S82" s="129">
        <v>36.6</v>
      </c>
      <c r="T82" s="134">
        <v>43.4</v>
      </c>
      <c r="U82" s="131">
        <v>46.9</v>
      </c>
      <c r="V82" s="131">
        <v>45</v>
      </c>
      <c r="W82" s="131">
        <v>59.700986136651025</v>
      </c>
      <c r="X82" s="131">
        <v>57.629178453745553</v>
      </c>
      <c r="Y82" s="131">
        <v>53.970611511806226</v>
      </c>
      <c r="Z82" s="131">
        <v>58.431048778300877</v>
      </c>
    </row>
    <row r="83" spans="1:26" ht="18" x14ac:dyDescent="0.25">
      <c r="A83" s="8" t="s">
        <v>116</v>
      </c>
      <c r="B83" s="124">
        <v>34.365251727541953</v>
      </c>
      <c r="C83" s="124">
        <v>38.724592166099626</v>
      </c>
      <c r="D83" s="124">
        <v>38.480077745383866</v>
      </c>
      <c r="E83" s="124">
        <v>36.431513041149095</v>
      </c>
      <c r="F83" s="124">
        <v>34.578228418532603</v>
      </c>
      <c r="G83" s="124">
        <v>34.314807999018527</v>
      </c>
      <c r="H83" s="124">
        <v>36.110063330090725</v>
      </c>
      <c r="I83" s="124">
        <v>35.92058887745236</v>
      </c>
      <c r="J83" s="124">
        <v>35.182327129671656</v>
      </c>
      <c r="K83" s="124">
        <v>37.991205416346752</v>
      </c>
      <c r="L83" s="124">
        <v>33.663889118059565</v>
      </c>
      <c r="M83" s="124">
        <v>35.31557991310008</v>
      </c>
      <c r="N83" s="124">
        <v>36.231990807577859</v>
      </c>
      <c r="O83" s="124">
        <v>37.002556425925164</v>
      </c>
      <c r="P83" s="124">
        <v>41.258043044153538</v>
      </c>
      <c r="Q83" s="124">
        <v>34.427526428030916</v>
      </c>
      <c r="R83" s="123">
        <v>32.932287705561855</v>
      </c>
      <c r="S83" s="123">
        <v>37.387387387387392</v>
      </c>
      <c r="T83" s="120">
        <v>42.6</v>
      </c>
      <c r="U83" s="123">
        <v>48.3</v>
      </c>
      <c r="V83" s="123">
        <v>46</v>
      </c>
      <c r="W83" s="123">
        <v>53.487078736213284</v>
      </c>
      <c r="X83" s="123">
        <v>51.618422851422871</v>
      </c>
      <c r="Y83" s="123">
        <v>50.854604115681916</v>
      </c>
      <c r="Z83" s="123">
        <v>56.385028151906617</v>
      </c>
    </row>
    <row r="84" spans="1:26" x14ac:dyDescent="0.25">
      <c r="A84" s="9" t="s">
        <v>66</v>
      </c>
      <c r="B84" s="122">
        <v>65.040650406504056</v>
      </c>
      <c r="C84" s="122">
        <v>77.272727272727266</v>
      </c>
      <c r="D84" s="122">
        <v>80.459770114942515</v>
      </c>
      <c r="E84" s="122">
        <v>93.478260869565219</v>
      </c>
      <c r="F84" s="122">
        <v>71.739130434782609</v>
      </c>
      <c r="G84" s="122">
        <v>78.947368421052616</v>
      </c>
      <c r="H84" s="122">
        <v>57.83898305084746</v>
      </c>
      <c r="I84" s="122">
        <v>71.428571428571431</v>
      </c>
      <c r="J84" s="122">
        <v>69.006849315068479</v>
      </c>
      <c r="K84" s="122">
        <v>68.533772652388791</v>
      </c>
      <c r="L84" s="122">
        <v>69.5</v>
      </c>
      <c r="M84" s="122">
        <v>83.2</v>
      </c>
      <c r="N84" s="122">
        <v>59.3</v>
      </c>
      <c r="O84" s="122">
        <v>67.400000000000006</v>
      </c>
      <c r="P84" s="122">
        <v>69.2</v>
      </c>
      <c r="Q84" s="122">
        <v>76.099999999999994</v>
      </c>
      <c r="R84" s="129">
        <v>77.099999999999994</v>
      </c>
      <c r="S84" s="129">
        <v>84.2</v>
      </c>
      <c r="T84" s="134">
        <v>90.5</v>
      </c>
      <c r="U84" s="131">
        <v>79.599999999999994</v>
      </c>
      <c r="V84" s="134">
        <v>92.3</v>
      </c>
      <c r="W84" s="131">
        <v>97.649571236834618</v>
      </c>
      <c r="X84" s="131">
        <v>93.385795216496348</v>
      </c>
      <c r="Y84" s="131">
        <v>93.351503789012654</v>
      </c>
      <c r="Z84" s="131">
        <v>89.370504400661218</v>
      </c>
    </row>
    <row r="85" spans="1:26" x14ac:dyDescent="0.25">
      <c r="A85" s="9" t="s">
        <v>68</v>
      </c>
      <c r="B85" s="122">
        <v>33.653846153846153</v>
      </c>
      <c r="C85" s="122">
        <v>25.146198830409354</v>
      </c>
      <c r="D85" s="122">
        <v>21.481481481481481</v>
      </c>
      <c r="E85" s="122">
        <v>24.242424242424239</v>
      </c>
      <c r="F85" s="122">
        <v>60.919540229885058</v>
      </c>
      <c r="G85" s="122">
        <v>50.295857988165679</v>
      </c>
      <c r="H85" s="122">
        <v>89.626556016597519</v>
      </c>
      <c r="I85" s="122">
        <v>84.894259818731115</v>
      </c>
      <c r="J85" s="122">
        <v>88.988764044943821</v>
      </c>
      <c r="K85" s="122">
        <v>71.769383697813126</v>
      </c>
      <c r="L85" s="122">
        <v>80</v>
      </c>
      <c r="M85" s="122">
        <v>83.6</v>
      </c>
      <c r="N85" s="122">
        <v>89.5</v>
      </c>
      <c r="O85" s="122">
        <v>89</v>
      </c>
      <c r="P85" s="122">
        <v>87</v>
      </c>
      <c r="Q85" s="122">
        <v>81</v>
      </c>
      <c r="R85" s="129">
        <v>76.5</v>
      </c>
      <c r="S85" s="129">
        <v>76.599999999999994</v>
      </c>
      <c r="T85" s="134">
        <v>81.099999999999994</v>
      </c>
      <c r="U85" s="131">
        <v>72.099999999999994</v>
      </c>
      <c r="V85" s="134">
        <v>67.599999999999994</v>
      </c>
      <c r="W85" s="131">
        <v>88.503543680819888</v>
      </c>
      <c r="X85" s="131">
        <v>86.533683690492381</v>
      </c>
      <c r="Y85" s="131">
        <v>73.963092280878513</v>
      </c>
      <c r="Z85" s="131">
        <v>87.415407992349685</v>
      </c>
    </row>
    <row r="86" spans="1:26" x14ac:dyDescent="0.25">
      <c r="A86" s="9" t="s">
        <v>69</v>
      </c>
      <c r="B86" s="122">
        <v>36.225266362252661</v>
      </c>
      <c r="C86" s="122">
        <v>59.545454545454547</v>
      </c>
      <c r="D86" s="122">
        <v>57.596822244289967</v>
      </c>
      <c r="E86" s="122">
        <v>49.799599198396798</v>
      </c>
      <c r="F86" s="122">
        <v>56.936416184971108</v>
      </c>
      <c r="G86" s="122">
        <v>51.402640264026402</v>
      </c>
      <c r="H86" s="122">
        <v>58.405797101449274</v>
      </c>
      <c r="I86" s="122">
        <v>61.335784313725497</v>
      </c>
      <c r="J86" s="122">
        <v>49.455111572392319</v>
      </c>
      <c r="K86" s="122">
        <v>58.820346320346317</v>
      </c>
      <c r="L86" s="122">
        <v>54.6</v>
      </c>
      <c r="M86" s="122">
        <v>42.3</v>
      </c>
      <c r="N86" s="122">
        <v>47.2</v>
      </c>
      <c r="O86" s="122">
        <v>39.700000000000003</v>
      </c>
      <c r="P86" s="122">
        <v>61</v>
      </c>
      <c r="Q86" s="122">
        <v>40</v>
      </c>
      <c r="R86" s="129">
        <v>31.2</v>
      </c>
      <c r="S86" s="129">
        <v>36.4</v>
      </c>
      <c r="T86" s="134">
        <v>59.9</v>
      </c>
      <c r="U86" s="131">
        <v>57.4</v>
      </c>
      <c r="V86" s="131">
        <v>46</v>
      </c>
      <c r="W86" s="131">
        <v>74.842412119911913</v>
      </c>
      <c r="X86" s="131">
        <v>54.944161487780946</v>
      </c>
      <c r="Y86" s="131">
        <v>60.281652360515018</v>
      </c>
      <c r="Z86" s="131">
        <v>57.594790889542281</v>
      </c>
    </row>
    <row r="87" spans="1:26" x14ac:dyDescent="0.25">
      <c r="A87" s="9" t="s">
        <v>70</v>
      </c>
      <c r="B87" s="122">
        <v>64.361445783132538</v>
      </c>
      <c r="C87" s="122">
        <v>65.065999089667727</v>
      </c>
      <c r="D87" s="122">
        <v>71.847270771712829</v>
      </c>
      <c r="E87" s="122">
        <v>63.79228203906623</v>
      </c>
      <c r="F87" s="122">
        <v>64.360350183563966</v>
      </c>
      <c r="G87" s="122">
        <v>59.839357429718874</v>
      </c>
      <c r="H87" s="122">
        <v>59.759418974126191</v>
      </c>
      <c r="I87" s="122">
        <v>60.314276161818789</v>
      </c>
      <c r="J87" s="122">
        <v>56.211425858521913</v>
      </c>
      <c r="K87" s="122">
        <v>50.068775790921606</v>
      </c>
      <c r="L87" s="122">
        <v>41</v>
      </c>
      <c r="M87" s="122">
        <v>47.2</v>
      </c>
      <c r="N87" s="122">
        <v>56.5</v>
      </c>
      <c r="O87" s="122">
        <v>53</v>
      </c>
      <c r="P87" s="122">
        <v>45.6</v>
      </c>
      <c r="Q87" s="122">
        <v>33.299999999999997</v>
      </c>
      <c r="R87" s="129">
        <v>31</v>
      </c>
      <c r="S87" s="129">
        <v>40.200000000000003</v>
      </c>
      <c r="T87" s="134">
        <v>39.200000000000003</v>
      </c>
      <c r="U87" s="131">
        <v>43.9</v>
      </c>
      <c r="V87" s="134">
        <v>41.2</v>
      </c>
      <c r="W87" s="131">
        <v>42.220579176861243</v>
      </c>
      <c r="X87" s="131">
        <v>50.938759684885191</v>
      </c>
      <c r="Y87" s="131">
        <v>61.96917871586794</v>
      </c>
      <c r="Z87" s="131">
        <v>65.339916063338592</v>
      </c>
    </row>
    <row r="88" spans="1:26" x14ac:dyDescent="0.25">
      <c r="A88" s="9" t="s">
        <v>72</v>
      </c>
      <c r="B88" s="122">
        <v>23.116824537663511</v>
      </c>
      <c r="C88" s="122">
        <v>26.881148630683327</v>
      </c>
      <c r="D88" s="122">
        <v>25.904839365595773</v>
      </c>
      <c r="E88" s="122">
        <v>29.462888927516079</v>
      </c>
      <c r="F88" s="122">
        <v>26.659625829812917</v>
      </c>
      <c r="G88" s="122">
        <v>20.543380750993208</v>
      </c>
      <c r="H88" s="122">
        <v>22.78241513633834</v>
      </c>
      <c r="I88" s="122">
        <v>26.563713225778624</v>
      </c>
      <c r="J88" s="122">
        <v>25.335875090777055</v>
      </c>
      <c r="K88" s="122">
        <v>34.162212409946548</v>
      </c>
      <c r="L88" s="122">
        <v>23.9</v>
      </c>
      <c r="M88" s="122">
        <v>22.8</v>
      </c>
      <c r="N88" s="122">
        <v>24.8</v>
      </c>
      <c r="O88" s="122">
        <v>28.5</v>
      </c>
      <c r="P88" s="122">
        <v>39.200000000000003</v>
      </c>
      <c r="Q88" s="122">
        <v>35.200000000000003</v>
      </c>
      <c r="R88" s="129">
        <v>21.5</v>
      </c>
      <c r="S88" s="129">
        <v>27.2</v>
      </c>
      <c r="T88" s="134">
        <v>28.1</v>
      </c>
      <c r="U88" s="131">
        <v>50</v>
      </c>
      <c r="V88" s="134">
        <v>42.6</v>
      </c>
      <c r="W88" s="131">
        <v>44.33922024109421</v>
      </c>
      <c r="X88" s="131">
        <v>38.765533059736178</v>
      </c>
      <c r="Y88" s="131">
        <v>42.896119235302557</v>
      </c>
      <c r="Z88" s="131">
        <v>44.452741496827052</v>
      </c>
    </row>
    <row r="89" spans="1:26" x14ac:dyDescent="0.25">
      <c r="A89" s="9" t="s">
        <v>73</v>
      </c>
      <c r="B89" s="122">
        <v>28.094725511302478</v>
      </c>
      <c r="C89" s="122">
        <v>35.788325150027269</v>
      </c>
      <c r="D89" s="122">
        <v>31.975736568457535</v>
      </c>
      <c r="E89" s="122">
        <v>40.610545790934324</v>
      </c>
      <c r="F89" s="122">
        <v>38.193403298350823</v>
      </c>
      <c r="G89" s="122">
        <v>32.264462809917354</v>
      </c>
      <c r="H89" s="122">
        <v>34.732709151313799</v>
      </c>
      <c r="I89" s="122">
        <v>24.743522865588595</v>
      </c>
      <c r="J89" s="122">
        <v>32.159343477517524</v>
      </c>
      <c r="K89" s="122">
        <v>22.8</v>
      </c>
      <c r="L89" s="122">
        <v>17.399999999999999</v>
      </c>
      <c r="M89" s="122">
        <v>27.8</v>
      </c>
      <c r="N89" s="122">
        <v>24</v>
      </c>
      <c r="O89" s="122">
        <v>36.9</v>
      </c>
      <c r="P89" s="122">
        <v>35</v>
      </c>
      <c r="Q89" s="122">
        <v>23.2</v>
      </c>
      <c r="R89" s="129">
        <v>35</v>
      </c>
      <c r="S89" s="129">
        <v>33.200000000000003</v>
      </c>
      <c r="T89" s="134">
        <v>59.6</v>
      </c>
      <c r="U89" s="131">
        <v>61.2</v>
      </c>
      <c r="V89" s="134">
        <v>58.3</v>
      </c>
      <c r="W89" s="131">
        <v>75.451254240892666</v>
      </c>
      <c r="X89" s="131">
        <v>66.994828632004939</v>
      </c>
      <c r="Y89" s="131">
        <v>68.15575037918606</v>
      </c>
      <c r="Z89" s="131">
        <v>74.757015435640398</v>
      </c>
    </row>
    <row r="90" spans="1:26" x14ac:dyDescent="0.25">
      <c r="A90" s="9" t="s">
        <v>74</v>
      </c>
      <c r="B90" s="122">
        <v>38.525318329878587</v>
      </c>
      <c r="C90" s="122">
        <v>37.496839443742104</v>
      </c>
      <c r="D90" s="122">
        <v>42.154111806604796</v>
      </c>
      <c r="E90" s="122">
        <v>41.373926619828261</v>
      </c>
      <c r="F90" s="122">
        <v>50.309278350515463</v>
      </c>
      <c r="G90" s="122">
        <v>54.040561622464899</v>
      </c>
      <c r="H90" s="122">
        <v>45.316581664386121</v>
      </c>
      <c r="I90" s="122">
        <v>43.398653998416471</v>
      </c>
      <c r="J90" s="122">
        <v>37.108456401091146</v>
      </c>
      <c r="K90" s="122">
        <v>40.57562076749435</v>
      </c>
      <c r="L90" s="122">
        <v>43.4</v>
      </c>
      <c r="M90" s="122">
        <v>46</v>
      </c>
      <c r="N90" s="122">
        <v>56.6</v>
      </c>
      <c r="O90" s="122">
        <v>51.6</v>
      </c>
      <c r="P90" s="122">
        <v>53.1</v>
      </c>
      <c r="Q90" s="122">
        <v>52.8</v>
      </c>
      <c r="R90" s="129">
        <v>50.4</v>
      </c>
      <c r="S90" s="129">
        <v>54.4</v>
      </c>
      <c r="T90" s="134">
        <v>60.2</v>
      </c>
      <c r="U90" s="131">
        <v>57.9</v>
      </c>
      <c r="V90" s="134">
        <v>72.599999999999994</v>
      </c>
      <c r="W90" s="131">
        <v>68.80785831224884</v>
      </c>
      <c r="X90" s="131">
        <v>57.647621590634422</v>
      </c>
      <c r="Y90" s="131">
        <v>64.881913984871886</v>
      </c>
      <c r="Z90" s="131">
        <v>65.167521754088497</v>
      </c>
    </row>
    <row r="91" spans="1:26" x14ac:dyDescent="0.25">
      <c r="A91" s="9" t="s">
        <v>75</v>
      </c>
      <c r="B91" s="122">
        <v>19.409784115666469</v>
      </c>
      <c r="C91" s="122">
        <v>29.735792622133602</v>
      </c>
      <c r="D91" s="122">
        <v>31.154214559386972</v>
      </c>
      <c r="E91" s="122">
        <v>21.472717640826417</v>
      </c>
      <c r="F91" s="122">
        <v>19.105748757984387</v>
      </c>
      <c r="G91" s="122">
        <v>20.826235093696763</v>
      </c>
      <c r="H91" s="122">
        <v>32.062989191203876</v>
      </c>
      <c r="I91" s="122">
        <v>30.211030046285401</v>
      </c>
      <c r="J91" s="122">
        <v>29.68682660537279</v>
      </c>
      <c r="K91" s="122">
        <v>28.034539473684212</v>
      </c>
      <c r="L91" s="122">
        <v>23.1</v>
      </c>
      <c r="M91" s="122">
        <v>24.1</v>
      </c>
      <c r="N91" s="122">
        <v>25.9</v>
      </c>
      <c r="O91" s="122">
        <v>27</v>
      </c>
      <c r="P91" s="122">
        <v>36.299999999999997</v>
      </c>
      <c r="Q91" s="122">
        <v>26.4</v>
      </c>
      <c r="R91" s="129">
        <v>27.2</v>
      </c>
      <c r="S91" s="129">
        <v>29.9</v>
      </c>
      <c r="T91" s="134">
        <v>34.700000000000003</v>
      </c>
      <c r="U91" s="131">
        <v>30.7</v>
      </c>
      <c r="V91" s="134">
        <v>25.6</v>
      </c>
      <c r="W91" s="131">
        <v>33.339402658663801</v>
      </c>
      <c r="X91" s="131">
        <v>37.172049802118906</v>
      </c>
      <c r="Y91" s="131">
        <v>29.794455149329835</v>
      </c>
      <c r="Z91" s="131">
        <v>35.932733514650288</v>
      </c>
    </row>
    <row r="92" spans="1:26" x14ac:dyDescent="0.25">
      <c r="A92" s="9" t="s">
        <v>76</v>
      </c>
      <c r="B92" s="122">
        <v>33.399131464666397</v>
      </c>
      <c r="C92" s="122">
        <v>33.410138248847929</v>
      </c>
      <c r="D92" s="122">
        <v>28.7020905923345</v>
      </c>
      <c r="E92" s="122">
        <v>32.966687617850411</v>
      </c>
      <c r="F92" s="122">
        <v>25.960799385088396</v>
      </c>
      <c r="G92" s="122">
        <v>34.197645191162849</v>
      </c>
      <c r="H92" s="122">
        <v>34.083885209713024</v>
      </c>
      <c r="I92" s="122">
        <v>36.347164341366188</v>
      </c>
      <c r="J92" s="122">
        <v>40.238259328541893</v>
      </c>
      <c r="K92" s="122">
        <v>55.700594844679443</v>
      </c>
      <c r="L92" s="122">
        <v>50.3</v>
      </c>
      <c r="M92" s="122">
        <v>53</v>
      </c>
      <c r="N92" s="122">
        <v>40.9</v>
      </c>
      <c r="O92" s="122">
        <v>31.8</v>
      </c>
      <c r="P92" s="122">
        <v>25.9</v>
      </c>
      <c r="Q92" s="122">
        <v>30.8</v>
      </c>
      <c r="R92" s="129">
        <v>24.7</v>
      </c>
      <c r="S92" s="129">
        <v>37.200000000000003</v>
      </c>
      <c r="T92" s="134">
        <v>34.4</v>
      </c>
      <c r="U92" s="131">
        <v>58.4</v>
      </c>
      <c r="V92" s="134">
        <v>47.3</v>
      </c>
      <c r="W92" s="131">
        <v>57.889830481964268</v>
      </c>
      <c r="X92" s="131">
        <v>62.359326121100324</v>
      </c>
      <c r="Y92" s="131">
        <v>66.588688499656101</v>
      </c>
      <c r="Z92" s="131">
        <v>66.982243889863312</v>
      </c>
    </row>
    <row r="93" spans="1:26" x14ac:dyDescent="0.25">
      <c r="A93" s="9" t="s">
        <v>77</v>
      </c>
      <c r="B93" s="122">
        <v>30.068226120857705</v>
      </c>
      <c r="C93" s="122">
        <v>23.953823953823953</v>
      </c>
      <c r="D93" s="122">
        <v>21.244735610669164</v>
      </c>
      <c r="E93" s="122">
        <v>20.559559135226792</v>
      </c>
      <c r="F93" s="122">
        <v>19.946182307433567</v>
      </c>
      <c r="G93" s="122">
        <v>16.463985032740879</v>
      </c>
      <c r="H93" s="122">
        <v>23.818424566088119</v>
      </c>
      <c r="I93" s="122">
        <v>23.102981029810294</v>
      </c>
      <c r="J93" s="122">
        <v>21.202290076335878</v>
      </c>
      <c r="K93" s="122">
        <v>28.327566320645904</v>
      </c>
      <c r="L93" s="122">
        <v>34.4</v>
      </c>
      <c r="M93" s="122">
        <v>23.5</v>
      </c>
      <c r="N93" s="122">
        <v>23.6</v>
      </c>
      <c r="O93" s="122">
        <v>32.1</v>
      </c>
      <c r="P93" s="122">
        <v>47.3</v>
      </c>
      <c r="Q93" s="122">
        <v>40.200000000000003</v>
      </c>
      <c r="R93" s="129">
        <v>44.2</v>
      </c>
      <c r="S93" s="129">
        <v>35.5</v>
      </c>
      <c r="T93" s="134">
        <v>36.6</v>
      </c>
      <c r="U93" s="131">
        <v>41.6</v>
      </c>
      <c r="V93" s="134">
        <v>57.1</v>
      </c>
      <c r="W93" s="131">
        <v>62.861986986199327</v>
      </c>
      <c r="X93" s="131">
        <v>70.049347931753218</v>
      </c>
      <c r="Y93" s="131">
        <v>51.291788628972455</v>
      </c>
      <c r="Z93" s="131">
        <v>53.505940011905587</v>
      </c>
    </row>
    <row r="94" spans="1:26" ht="18" x14ac:dyDescent="0.25">
      <c r="A94" s="8" t="s">
        <v>91</v>
      </c>
      <c r="B94" s="124">
        <v>45.498130213826826</v>
      </c>
      <c r="C94" s="124">
        <v>43.147251987556167</v>
      </c>
      <c r="D94" s="124">
        <v>44.673205788093618</v>
      </c>
      <c r="E94" s="124">
        <v>42.205254067812021</v>
      </c>
      <c r="F94" s="124">
        <v>37.6479604870987</v>
      </c>
      <c r="G94" s="124">
        <v>39.277812895069538</v>
      </c>
      <c r="H94" s="124">
        <v>36.273784710549315</v>
      </c>
      <c r="I94" s="124">
        <v>40.537992235163614</v>
      </c>
      <c r="J94" s="124">
        <v>37.959983913130905</v>
      </c>
      <c r="K94" s="124">
        <v>40.027523837609358</v>
      </c>
      <c r="L94" s="124">
        <v>35.16974253816359</v>
      </c>
      <c r="M94" s="124">
        <v>36.459368170077489</v>
      </c>
      <c r="N94" s="124">
        <v>38.10373633049818</v>
      </c>
      <c r="O94" s="124">
        <v>40.216246577266027</v>
      </c>
      <c r="P94" s="124">
        <v>40.496022461394475</v>
      </c>
      <c r="Q94" s="124">
        <v>39.394255874673625</v>
      </c>
      <c r="R94" s="123">
        <v>44.195779393509483</v>
      </c>
      <c r="S94" s="123">
        <v>42.687684101584281</v>
      </c>
      <c r="T94" s="120">
        <v>43.8</v>
      </c>
      <c r="U94" s="123">
        <v>51.6</v>
      </c>
      <c r="V94" s="120">
        <v>47.3</v>
      </c>
      <c r="W94" s="123">
        <v>51.519369964475423</v>
      </c>
      <c r="X94" s="123">
        <v>55.681491360998095</v>
      </c>
      <c r="Y94" s="123">
        <v>51.135823310969187</v>
      </c>
      <c r="Z94" s="123">
        <v>54.220293280592216</v>
      </c>
    </row>
    <row r="95" spans="1:26" x14ac:dyDescent="0.25">
      <c r="A95" s="9" t="s">
        <v>67</v>
      </c>
      <c r="B95" s="122">
        <v>76.277157956547271</v>
      </c>
      <c r="C95" s="122">
        <v>76.633986928104576</v>
      </c>
      <c r="D95" s="122">
        <v>80.962682531097883</v>
      </c>
      <c r="E95" s="122">
        <v>81.304347826086953</v>
      </c>
      <c r="F95" s="122">
        <v>66.92073170731706</v>
      </c>
      <c r="G95" s="122">
        <v>62.723658051689867</v>
      </c>
      <c r="H95" s="122">
        <v>63.155473781048762</v>
      </c>
      <c r="I95" s="122">
        <v>73.577235772357724</v>
      </c>
      <c r="J95" s="122">
        <v>62.662760416666671</v>
      </c>
      <c r="K95" s="122">
        <v>68.722289399435709</v>
      </c>
      <c r="L95" s="122">
        <v>73.400000000000006</v>
      </c>
      <c r="M95" s="122">
        <v>70.5</v>
      </c>
      <c r="N95" s="122">
        <v>70</v>
      </c>
      <c r="O95" s="122">
        <v>69</v>
      </c>
      <c r="P95" s="122">
        <v>53.4</v>
      </c>
      <c r="Q95" s="122">
        <v>45.2</v>
      </c>
      <c r="R95" s="129">
        <v>52.4</v>
      </c>
      <c r="S95" s="129">
        <v>52.1</v>
      </c>
      <c r="T95" s="134">
        <v>52.7</v>
      </c>
      <c r="U95" s="131">
        <v>79.400000000000006</v>
      </c>
      <c r="V95" s="134">
        <v>69.099999999999994</v>
      </c>
      <c r="W95" s="131">
        <v>73.357127259319185</v>
      </c>
      <c r="X95" s="131">
        <v>85.814168694519651</v>
      </c>
      <c r="Y95" s="131">
        <v>64.476077686281357</v>
      </c>
      <c r="Z95" s="131">
        <v>72.987532014297372</v>
      </c>
    </row>
    <row r="96" spans="1:26" x14ac:dyDescent="0.25">
      <c r="A96" s="9" t="s">
        <v>78</v>
      </c>
      <c r="B96" s="122">
        <v>65.533980582524279</v>
      </c>
      <c r="C96" s="122">
        <v>50.787401574803148</v>
      </c>
      <c r="D96" s="122">
        <v>44.070512820512818</v>
      </c>
      <c r="E96" s="122">
        <v>39.458635150590929</v>
      </c>
      <c r="F96" s="122">
        <v>36.363636363636367</v>
      </c>
      <c r="G96" s="122">
        <v>51.861804222648757</v>
      </c>
      <c r="H96" s="122">
        <v>43.411927877947299</v>
      </c>
      <c r="I96" s="122">
        <v>44.097439100562148</v>
      </c>
      <c r="J96" s="122">
        <v>46.442076314884837</v>
      </c>
      <c r="K96" s="122">
        <v>44.308111792774376</v>
      </c>
      <c r="L96" s="122">
        <v>45.3</v>
      </c>
      <c r="M96" s="122">
        <v>57.2</v>
      </c>
      <c r="N96" s="122">
        <v>51.8</v>
      </c>
      <c r="O96" s="122">
        <v>47.7</v>
      </c>
      <c r="P96" s="122">
        <v>47</v>
      </c>
      <c r="Q96" s="122">
        <v>41.5</v>
      </c>
      <c r="R96" s="129">
        <v>39.1</v>
      </c>
      <c r="S96" s="129">
        <v>32.200000000000003</v>
      </c>
      <c r="T96" s="134">
        <v>38.799999999999997</v>
      </c>
      <c r="U96" s="131">
        <v>44</v>
      </c>
      <c r="V96" s="134">
        <v>44.3</v>
      </c>
      <c r="W96" s="131">
        <v>59.812380856827531</v>
      </c>
      <c r="X96" s="131">
        <v>66.049820357640712</v>
      </c>
      <c r="Y96" s="131">
        <v>55.260321530275355</v>
      </c>
      <c r="Z96" s="131">
        <v>55.960588383063055</v>
      </c>
    </row>
    <row r="97" spans="1:26" x14ac:dyDescent="0.25">
      <c r="A97" s="9" t="s">
        <v>71</v>
      </c>
      <c r="B97" s="122">
        <v>40.508021390374331</v>
      </c>
      <c r="C97" s="122">
        <v>30.45356371490281</v>
      </c>
      <c r="D97" s="122">
        <v>33.415233415233416</v>
      </c>
      <c r="E97" s="122">
        <v>32.809430255402752</v>
      </c>
      <c r="F97" s="122">
        <v>20.258327668252889</v>
      </c>
      <c r="G97" s="122">
        <v>29.138062547673538</v>
      </c>
      <c r="H97" s="122">
        <v>25.3072625698324</v>
      </c>
      <c r="I97" s="122">
        <v>24.666953158573271</v>
      </c>
      <c r="J97" s="122">
        <v>24.980665119876253</v>
      </c>
      <c r="K97" s="122">
        <v>29.58008175399479</v>
      </c>
      <c r="L97" s="122">
        <v>27.9</v>
      </c>
      <c r="M97" s="122">
        <v>37.1</v>
      </c>
      <c r="N97" s="122">
        <v>28.9</v>
      </c>
      <c r="O97" s="122">
        <v>37.700000000000003</v>
      </c>
      <c r="P97" s="122">
        <v>44.2</v>
      </c>
      <c r="Q97" s="122">
        <v>33.799999999999997</v>
      </c>
      <c r="R97" s="129">
        <v>76.099999999999994</v>
      </c>
      <c r="S97" s="129">
        <v>57.3</v>
      </c>
      <c r="T97" s="134">
        <v>66.2</v>
      </c>
      <c r="U97" s="131">
        <v>77.900000000000006</v>
      </c>
      <c r="V97" s="134">
        <v>77.099999999999994</v>
      </c>
      <c r="W97" s="131">
        <v>71.865310314471557</v>
      </c>
      <c r="X97" s="131">
        <v>79.341754990502693</v>
      </c>
      <c r="Y97" s="131">
        <v>73.782692737577094</v>
      </c>
      <c r="Z97" s="131">
        <v>69.366256697756398</v>
      </c>
    </row>
    <row r="98" spans="1:26" x14ac:dyDescent="0.25">
      <c r="A98" s="9" t="s">
        <v>79</v>
      </c>
      <c r="B98" s="122">
        <v>36.000000000000007</v>
      </c>
      <c r="C98" s="122">
        <v>16.504854368932037</v>
      </c>
      <c r="D98" s="122">
        <v>57.04225352112676</v>
      </c>
      <c r="E98" s="122">
        <v>47.2</v>
      </c>
      <c r="F98" s="122">
        <v>71.084337349397586</v>
      </c>
      <c r="G98" s="122">
        <v>23.846153846153847</v>
      </c>
      <c r="H98" s="122">
        <v>23.809523809523807</v>
      </c>
      <c r="I98" s="122">
        <v>4.2857142857142856</v>
      </c>
      <c r="J98" s="122">
        <v>1.8927444794952681</v>
      </c>
      <c r="K98" s="122">
        <v>3.9494470774091628</v>
      </c>
      <c r="L98" s="122">
        <v>4</v>
      </c>
      <c r="M98" s="122">
        <v>2.8</v>
      </c>
      <c r="N98" s="122">
        <v>32.9</v>
      </c>
      <c r="O98" s="122">
        <v>19.899999999999999</v>
      </c>
      <c r="P98" s="122">
        <v>29.8</v>
      </c>
      <c r="Q98" s="122">
        <v>47.3</v>
      </c>
      <c r="R98" s="129">
        <v>43.2</v>
      </c>
      <c r="S98" s="129">
        <v>44.3</v>
      </c>
      <c r="T98" s="134">
        <v>79.3</v>
      </c>
      <c r="U98" s="131">
        <v>52.3</v>
      </c>
      <c r="V98" s="134">
        <v>51.1</v>
      </c>
      <c r="W98" s="131">
        <v>68.503963231865711</v>
      </c>
      <c r="X98" s="131">
        <v>74.631894555601733</v>
      </c>
      <c r="Y98" s="131">
        <v>62.50071833300769</v>
      </c>
      <c r="Z98" s="131">
        <v>73.171507962738545</v>
      </c>
    </row>
    <row r="99" spans="1:26" x14ac:dyDescent="0.25">
      <c r="A99" s="9" t="s">
        <v>80</v>
      </c>
      <c r="B99" s="122">
        <v>34.796238244514107</v>
      </c>
      <c r="C99" s="122">
        <v>31.068840579710137</v>
      </c>
      <c r="D99" s="122">
        <v>47.548460661345501</v>
      </c>
      <c r="E99" s="122">
        <v>43.738404452690169</v>
      </c>
      <c r="F99" s="122">
        <v>46.561338289962826</v>
      </c>
      <c r="G99" s="122">
        <v>44.507498986623432</v>
      </c>
      <c r="H99" s="122">
        <v>40</v>
      </c>
      <c r="I99" s="122">
        <v>52.249795473138803</v>
      </c>
      <c r="J99" s="122">
        <v>54.821523708044765</v>
      </c>
      <c r="K99" s="122">
        <v>57.719298245614034</v>
      </c>
      <c r="L99" s="122">
        <v>34.5</v>
      </c>
      <c r="M99" s="122">
        <v>32.1</v>
      </c>
      <c r="N99" s="122">
        <v>33.299999999999997</v>
      </c>
      <c r="O99" s="122">
        <v>39.299999999999997</v>
      </c>
      <c r="P99" s="122">
        <v>57.1</v>
      </c>
      <c r="Q99" s="122">
        <v>51</v>
      </c>
      <c r="R99" s="129">
        <v>41.7</v>
      </c>
      <c r="S99" s="129">
        <v>49.4</v>
      </c>
      <c r="T99" s="134">
        <v>40.6</v>
      </c>
      <c r="U99" s="131">
        <v>50.1</v>
      </c>
      <c r="V99" s="134">
        <v>39.5</v>
      </c>
      <c r="W99" s="131">
        <v>39.517039935301106</v>
      </c>
      <c r="X99" s="131">
        <v>44.911943564178124</v>
      </c>
      <c r="Y99" s="131">
        <v>46.53659908280023</v>
      </c>
      <c r="Z99" s="131">
        <v>49.364129998048419</v>
      </c>
    </row>
    <row r="100" spans="1:26" x14ac:dyDescent="0.25">
      <c r="A100" s="9" t="s">
        <v>81</v>
      </c>
      <c r="B100" s="122">
        <v>16.666666666666664</v>
      </c>
      <c r="C100" s="122">
        <v>15.357142857142858</v>
      </c>
      <c r="D100" s="122">
        <v>21.071953010279003</v>
      </c>
      <c r="E100" s="122">
        <v>16.571428571428569</v>
      </c>
      <c r="F100" s="122">
        <v>17.311946902654867</v>
      </c>
      <c r="G100" s="122">
        <v>15.938303341902312</v>
      </c>
      <c r="H100" s="122">
        <v>15.992198927352511</v>
      </c>
      <c r="I100" s="122">
        <v>20.993227990970652</v>
      </c>
      <c r="J100" s="122">
        <v>17.308325106943077</v>
      </c>
      <c r="K100" s="122">
        <v>18.469656992084431</v>
      </c>
      <c r="L100" s="122">
        <v>15.9</v>
      </c>
      <c r="M100" s="122">
        <v>19.899999999999999</v>
      </c>
      <c r="N100" s="122">
        <v>28.3</v>
      </c>
      <c r="O100" s="122">
        <v>28.3</v>
      </c>
      <c r="P100" s="122">
        <v>21.3</v>
      </c>
      <c r="Q100" s="122">
        <v>34.700000000000003</v>
      </c>
      <c r="R100" s="129">
        <v>42.7</v>
      </c>
      <c r="S100" s="129">
        <v>47.8</v>
      </c>
      <c r="T100" s="134">
        <v>44.2</v>
      </c>
      <c r="U100" s="131">
        <v>40</v>
      </c>
      <c r="V100" s="134">
        <v>50.6</v>
      </c>
      <c r="W100" s="131">
        <v>45.337677335200176</v>
      </c>
      <c r="X100" s="131">
        <v>52.56121388040274</v>
      </c>
      <c r="Y100" s="131">
        <v>47.312118269911402</v>
      </c>
      <c r="Z100" s="131">
        <v>39.824468599445993</v>
      </c>
    </row>
    <row r="101" spans="1:26" x14ac:dyDescent="0.25">
      <c r="A101" s="9" t="s">
        <v>82</v>
      </c>
      <c r="B101" s="122">
        <v>28.31275720164609</v>
      </c>
      <c r="C101" s="122">
        <v>30.096153846153843</v>
      </c>
      <c r="D101" s="122">
        <v>24.647887323943664</v>
      </c>
      <c r="E101" s="122">
        <v>27.115384615384613</v>
      </c>
      <c r="F101" s="122">
        <v>29.463171036204749</v>
      </c>
      <c r="G101" s="122">
        <v>20.430965682362331</v>
      </c>
      <c r="H101" s="122">
        <v>22.799422799422803</v>
      </c>
      <c r="I101" s="122">
        <v>21.834319526627219</v>
      </c>
      <c r="J101" s="122">
        <v>19.524067063277446</v>
      </c>
      <c r="K101" s="122">
        <v>23.796791443850267</v>
      </c>
      <c r="L101" s="122">
        <v>21.9</v>
      </c>
      <c r="M101" s="122">
        <v>25.9</v>
      </c>
      <c r="N101" s="122">
        <v>19.8</v>
      </c>
      <c r="O101" s="122">
        <v>17.399999999999999</v>
      </c>
      <c r="P101" s="122">
        <v>15.7</v>
      </c>
      <c r="Q101" s="122">
        <v>18.3</v>
      </c>
      <c r="R101" s="129">
        <v>15.8</v>
      </c>
      <c r="S101" s="129">
        <v>17.600000000000001</v>
      </c>
      <c r="T101" s="117">
        <v>23.1</v>
      </c>
      <c r="U101" s="131">
        <v>29.6</v>
      </c>
      <c r="V101" s="134">
        <v>43.8</v>
      </c>
      <c r="W101" s="131">
        <v>50.0075120856201</v>
      </c>
      <c r="X101" s="131">
        <v>42.831184814847092</v>
      </c>
      <c r="Y101" s="131">
        <v>41.934651745354223</v>
      </c>
      <c r="Z101" s="131">
        <v>42.238483069549666</v>
      </c>
    </row>
    <row r="102" spans="1:26" x14ac:dyDescent="0.25">
      <c r="A102" s="9" t="s">
        <v>83</v>
      </c>
      <c r="B102" s="122">
        <v>11.29032258064516</v>
      </c>
      <c r="C102" s="122">
        <v>14.084507042253522</v>
      </c>
      <c r="D102" s="122">
        <v>24</v>
      </c>
      <c r="E102" s="122">
        <v>8.4507042253521121</v>
      </c>
      <c r="F102" s="122">
        <v>13.157894736842104</v>
      </c>
      <c r="G102" s="122">
        <v>4.4444444444444446</v>
      </c>
      <c r="H102" s="122">
        <v>2.1739130434782608</v>
      </c>
      <c r="I102" s="122">
        <v>8.7837837837837842</v>
      </c>
      <c r="J102" s="122">
        <v>16</v>
      </c>
      <c r="K102" s="122">
        <v>24.358974358974358</v>
      </c>
      <c r="L102" s="122">
        <v>37.700000000000003</v>
      </c>
      <c r="M102" s="122">
        <v>40.1</v>
      </c>
      <c r="N102" s="122">
        <v>7.5</v>
      </c>
      <c r="O102" s="122">
        <v>9.1999999999999993</v>
      </c>
      <c r="P102" s="122">
        <v>13.1</v>
      </c>
      <c r="Q102" s="122">
        <v>8</v>
      </c>
      <c r="R102" s="129">
        <v>42.7</v>
      </c>
      <c r="S102" s="129">
        <v>74.8</v>
      </c>
      <c r="T102" s="131">
        <v>100</v>
      </c>
      <c r="U102" s="131">
        <v>45.9</v>
      </c>
      <c r="V102" s="134">
        <v>50.9</v>
      </c>
      <c r="W102" s="131">
        <v>33.114938225383753</v>
      </c>
      <c r="X102" s="131">
        <v>34.750911300121508</v>
      </c>
      <c r="Y102" s="131">
        <v>48.57477221432751</v>
      </c>
      <c r="Z102" s="131">
        <v>50.378628523348759</v>
      </c>
    </row>
    <row r="103" spans="1:26" x14ac:dyDescent="0.25">
      <c r="A103" s="9" t="s">
        <v>84</v>
      </c>
      <c r="B103" s="122">
        <v>30.87349397590361</v>
      </c>
      <c r="C103" s="122">
        <v>52.336448598130836</v>
      </c>
      <c r="D103" s="122">
        <v>40.375586854460089</v>
      </c>
      <c r="E103" s="122">
        <v>47.897196261682247</v>
      </c>
      <c r="F103" s="122">
        <v>34.752981260647353</v>
      </c>
      <c r="G103" s="122">
        <v>48.198198198198192</v>
      </c>
      <c r="H103" s="122">
        <v>36.474164133738604</v>
      </c>
      <c r="I103" s="122">
        <v>36.363636363636367</v>
      </c>
      <c r="J103" s="122">
        <v>37.407656145063797</v>
      </c>
      <c r="K103" s="122">
        <v>48.02671523982999</v>
      </c>
      <c r="L103" s="122">
        <v>33.700000000000003</v>
      </c>
      <c r="M103" s="122">
        <v>26.7</v>
      </c>
      <c r="N103" s="122">
        <v>42.1</v>
      </c>
      <c r="O103" s="122">
        <v>39.4</v>
      </c>
      <c r="P103" s="122">
        <v>33.799999999999997</v>
      </c>
      <c r="Q103" s="122">
        <v>34.6</v>
      </c>
      <c r="R103" s="129">
        <v>42.9</v>
      </c>
      <c r="S103" s="129">
        <v>44.7</v>
      </c>
      <c r="T103" s="134">
        <v>39.4</v>
      </c>
      <c r="U103" s="131">
        <v>47.9</v>
      </c>
      <c r="V103" s="134">
        <v>34.200000000000003</v>
      </c>
      <c r="W103" s="131">
        <v>43.510789022400708</v>
      </c>
      <c r="X103" s="131">
        <v>43.442426214029403</v>
      </c>
      <c r="Y103" s="131">
        <v>37.549524255186398</v>
      </c>
      <c r="Z103" s="131">
        <v>53.779158910392901</v>
      </c>
    </row>
    <row r="104" spans="1:26" ht="19.5" x14ac:dyDescent="0.25">
      <c r="A104" s="72" t="s">
        <v>85</v>
      </c>
      <c r="B104" s="122">
        <v>32.5</v>
      </c>
      <c r="C104" s="122">
        <v>31.428571428571427</v>
      </c>
      <c r="D104" s="122">
        <v>42.514970059880241</v>
      </c>
      <c r="E104" s="122">
        <v>48.571428571428562</v>
      </c>
      <c r="F104" s="122">
        <v>52.830188679245282</v>
      </c>
      <c r="G104" s="129">
        <v>38.888888888888893</v>
      </c>
      <c r="H104" s="129">
        <v>35.545023696682456</v>
      </c>
      <c r="I104" s="129">
        <v>27.666666666666668</v>
      </c>
      <c r="J104" s="129">
        <v>23.096446700507613</v>
      </c>
      <c r="K104" s="129">
        <v>26.639344262295083</v>
      </c>
      <c r="L104" s="129">
        <v>20.5</v>
      </c>
      <c r="M104" s="129">
        <v>23.6</v>
      </c>
      <c r="N104" s="129">
        <v>27.2</v>
      </c>
      <c r="O104" s="129">
        <v>68.8</v>
      </c>
      <c r="P104" s="129">
        <v>37</v>
      </c>
      <c r="Q104" s="129">
        <v>60.9</v>
      </c>
      <c r="R104" s="129">
        <v>41.1</v>
      </c>
      <c r="S104" s="129">
        <v>38</v>
      </c>
      <c r="T104" s="134">
        <v>76.2</v>
      </c>
      <c r="U104" s="131">
        <v>100</v>
      </c>
      <c r="V104" s="131">
        <v>100</v>
      </c>
      <c r="W104" s="131">
        <v>95.436640405928699</v>
      </c>
      <c r="X104" s="131">
        <v>95.029655990510079</v>
      </c>
      <c r="Y104" s="131">
        <v>84.007782101167322</v>
      </c>
      <c r="Z104" s="131">
        <v>71.91821237076374</v>
      </c>
    </row>
    <row r="105" spans="1:26" ht="20.25" thickBot="1" x14ac:dyDescent="0.3">
      <c r="A105" s="71" t="s">
        <v>86</v>
      </c>
      <c r="B105" s="128" t="s">
        <v>96</v>
      </c>
      <c r="C105" s="128" t="s">
        <v>96</v>
      </c>
      <c r="D105" s="128" t="s">
        <v>96</v>
      </c>
      <c r="E105" s="128" t="s">
        <v>96</v>
      </c>
      <c r="F105" s="128" t="s">
        <v>96</v>
      </c>
      <c r="G105" s="127" t="s">
        <v>96</v>
      </c>
      <c r="H105" s="127" t="s">
        <v>96</v>
      </c>
      <c r="I105" s="127" t="s">
        <v>96</v>
      </c>
      <c r="J105" s="127" t="s">
        <v>96</v>
      </c>
      <c r="K105" s="127" t="s">
        <v>96</v>
      </c>
      <c r="L105" s="127" t="s">
        <v>96</v>
      </c>
      <c r="M105" s="127" t="s">
        <v>96</v>
      </c>
      <c r="N105" s="127" t="s">
        <v>96</v>
      </c>
      <c r="O105" s="127" t="s">
        <v>96</v>
      </c>
      <c r="P105" s="127" t="s">
        <v>96</v>
      </c>
      <c r="Q105" s="127" t="s">
        <v>96</v>
      </c>
      <c r="R105" s="127" t="s">
        <v>96</v>
      </c>
      <c r="S105" s="128">
        <v>2.6</v>
      </c>
      <c r="T105" s="135" t="s">
        <v>96</v>
      </c>
      <c r="U105" s="132">
        <v>0</v>
      </c>
      <c r="V105" s="89" t="s">
        <v>96</v>
      </c>
      <c r="W105" s="132">
        <v>8.9646046973205422</v>
      </c>
      <c r="X105" s="132">
        <v>17.807441067878443</v>
      </c>
      <c r="Y105" s="132">
        <v>5.8122685557881182</v>
      </c>
      <c r="Z105" s="132">
        <v>21.691236027863276</v>
      </c>
    </row>
  </sheetData>
  <mergeCells count="4">
    <mergeCell ref="A5:S5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6">
    <tabColor rgb="FFC7E6A4"/>
  </sheetPr>
  <dimension ref="A1:Z169"/>
  <sheetViews>
    <sheetView zoomScale="80" zoomScaleNormal="80" workbookViewId="0">
      <pane ySplit="8" topLeftCell="A9" activePane="bottomLeft" state="frozen"/>
      <selection sqref="A1:T1"/>
      <selection pane="bottomLeft" activeCell="Z8" sqref="Z8"/>
    </sheetView>
  </sheetViews>
  <sheetFormatPr defaultColWidth="9.140625" defaultRowHeight="12" x14ac:dyDescent="0.2"/>
  <cols>
    <col min="1" max="1" width="18.140625" style="51" customWidth="1"/>
    <col min="2" max="16" width="9.140625" style="51" customWidth="1"/>
    <col min="17" max="17" width="9.140625" style="51"/>
    <col min="18" max="20" width="9.140625" style="51" customWidth="1"/>
    <col min="21" max="24" width="9.140625" style="51"/>
    <col min="25" max="25" width="9.140625" style="52"/>
    <col min="26" max="16384" width="9.140625" style="51"/>
  </cols>
  <sheetData>
    <row r="1" spans="1:26" ht="30.75" customHeight="1" x14ac:dyDescent="0.2"/>
    <row r="2" spans="1:26" x14ac:dyDescent="0.2">
      <c r="A2" s="211" t="s">
        <v>180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 spans="1:26" ht="12" customHeight="1" x14ac:dyDescent="0.2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ht="12.75" x14ac:dyDescent="0.2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">
      <c r="A5" s="11" t="s">
        <v>239</v>
      </c>
      <c r="B5" s="11"/>
      <c r="C5" s="11"/>
      <c r="D5" s="11"/>
      <c r="E5" s="188"/>
      <c r="F5" s="11"/>
      <c r="G5" s="54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Z5" s="52"/>
    </row>
    <row r="6" spans="1:26" x14ac:dyDescent="0.2">
      <c r="A6" s="11" t="s">
        <v>238</v>
      </c>
      <c r="B6" s="11"/>
      <c r="C6" s="11"/>
      <c r="D6" s="11"/>
      <c r="E6" s="11"/>
      <c r="F6" s="11"/>
      <c r="G6" s="34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Z6" s="52"/>
    </row>
    <row r="7" spans="1:26" ht="12.75" thickBot="1" x14ac:dyDescent="0.25">
      <c r="A7" s="24" t="s">
        <v>164</v>
      </c>
      <c r="B7" s="24"/>
      <c r="C7" s="24"/>
      <c r="D7" s="24"/>
      <c r="E7" s="24"/>
      <c r="F7" s="24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52"/>
      <c r="U7" s="52"/>
      <c r="V7" s="52"/>
      <c r="W7" s="52"/>
      <c r="X7" s="52"/>
      <c r="Z7" s="52"/>
    </row>
    <row r="8" spans="1:26" ht="17.25" customHeight="1" thickBot="1" x14ac:dyDescent="0.25">
      <c r="A8" s="6"/>
      <c r="B8" s="2">
        <v>2000</v>
      </c>
      <c r="C8" s="168">
        <v>2001</v>
      </c>
      <c r="D8" s="168">
        <v>2002</v>
      </c>
      <c r="E8" s="168">
        <v>2003</v>
      </c>
      <c r="F8" s="168">
        <v>2004</v>
      </c>
      <c r="G8" s="168">
        <v>2005</v>
      </c>
      <c r="H8" s="168">
        <v>2006</v>
      </c>
      <c r="I8" s="168">
        <v>2007</v>
      </c>
      <c r="J8" s="168">
        <v>2008</v>
      </c>
      <c r="K8" s="168">
        <v>2009</v>
      </c>
      <c r="L8" s="168">
        <v>2010</v>
      </c>
      <c r="M8" s="168">
        <v>2011</v>
      </c>
      <c r="N8" s="168">
        <v>2012</v>
      </c>
      <c r="O8" s="168">
        <v>2013</v>
      </c>
      <c r="P8" s="168">
        <v>2014</v>
      </c>
      <c r="Q8" s="168">
        <v>2015</v>
      </c>
      <c r="R8" s="168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ht="16.5" customHeight="1" x14ac:dyDescent="0.2">
      <c r="A9" s="48" t="s">
        <v>0</v>
      </c>
      <c r="B9" s="126">
        <v>133837</v>
      </c>
      <c r="C9" s="120">
        <v>117489</v>
      </c>
      <c r="D9" s="120">
        <v>82189</v>
      </c>
      <c r="E9" s="120">
        <v>88530</v>
      </c>
      <c r="F9" s="120">
        <v>70070</v>
      </c>
      <c r="G9" s="120">
        <v>72965</v>
      </c>
      <c r="H9" s="120">
        <v>73369</v>
      </c>
      <c r="I9" s="120">
        <v>88342</v>
      </c>
      <c r="J9" s="120">
        <v>67566</v>
      </c>
      <c r="K9" s="65">
        <v>77156</v>
      </c>
      <c r="L9" s="120">
        <v>67846</v>
      </c>
      <c r="M9" s="27">
        <v>60485</v>
      </c>
      <c r="N9" s="120">
        <v>48784</v>
      </c>
      <c r="O9" s="120">
        <v>69983</v>
      </c>
      <c r="P9" s="120">
        <v>55651</v>
      </c>
      <c r="Q9" s="120">
        <v>66309</v>
      </c>
      <c r="R9" s="120">
        <v>90289</v>
      </c>
      <c r="S9" s="126">
        <v>108371</v>
      </c>
      <c r="T9" s="133">
        <v>102092</v>
      </c>
      <c r="U9" s="120">
        <v>152523</v>
      </c>
      <c r="V9" s="120">
        <v>138692</v>
      </c>
      <c r="W9" s="120">
        <v>151309</v>
      </c>
      <c r="X9" s="22">
        <v>187652</v>
      </c>
      <c r="Y9" s="22">
        <v>251790</v>
      </c>
      <c r="Z9" s="22">
        <v>252091</v>
      </c>
    </row>
    <row r="10" spans="1:26" ht="18" x14ac:dyDescent="0.2">
      <c r="A10" s="8" t="s">
        <v>131</v>
      </c>
      <c r="B10" s="120">
        <v>24750</v>
      </c>
      <c r="C10" s="120">
        <v>24699</v>
      </c>
      <c r="D10" s="120">
        <v>24455</v>
      </c>
      <c r="E10" s="120">
        <v>28771</v>
      </c>
      <c r="F10" s="120">
        <v>24033</v>
      </c>
      <c r="G10" s="120">
        <v>20081</v>
      </c>
      <c r="H10" s="120">
        <v>27503</v>
      </c>
      <c r="I10" s="120">
        <v>29142</v>
      </c>
      <c r="J10" s="120">
        <v>23148</v>
      </c>
      <c r="K10" s="65">
        <v>17465</v>
      </c>
      <c r="L10" s="120">
        <v>14266</v>
      </c>
      <c r="M10" s="22">
        <v>13989</v>
      </c>
      <c r="N10" s="120">
        <v>18678</v>
      </c>
      <c r="O10" s="120">
        <v>20168</v>
      </c>
      <c r="P10" s="120">
        <v>23463</v>
      </c>
      <c r="Q10" s="120">
        <v>17860</v>
      </c>
      <c r="R10" s="120">
        <v>35912</v>
      </c>
      <c r="S10" s="120">
        <v>35420</v>
      </c>
      <c r="T10" s="133">
        <v>22558</v>
      </c>
      <c r="U10" s="120">
        <v>39479</v>
      </c>
      <c r="V10" s="120">
        <v>34924</v>
      </c>
      <c r="W10" s="120">
        <v>53555</v>
      </c>
      <c r="X10" s="22">
        <v>46867</v>
      </c>
      <c r="Y10" s="22">
        <v>68172</v>
      </c>
      <c r="Z10" s="22">
        <v>74022</v>
      </c>
    </row>
    <row r="11" spans="1:26" x14ac:dyDescent="0.2">
      <c r="A11" s="9" t="s">
        <v>1</v>
      </c>
      <c r="B11" s="118">
        <v>880</v>
      </c>
      <c r="C11" s="118">
        <v>754</v>
      </c>
      <c r="D11" s="118">
        <v>1562</v>
      </c>
      <c r="E11" s="118">
        <v>3210</v>
      </c>
      <c r="F11" s="118">
        <v>726</v>
      </c>
      <c r="G11" s="118">
        <v>54</v>
      </c>
      <c r="H11" s="118">
        <v>1142</v>
      </c>
      <c r="I11" s="118">
        <v>1120</v>
      </c>
      <c r="J11" s="118">
        <v>407</v>
      </c>
      <c r="K11" s="118" t="s">
        <v>96</v>
      </c>
      <c r="L11" s="118">
        <v>1848</v>
      </c>
      <c r="M11" s="21">
        <v>564</v>
      </c>
      <c r="N11" s="118">
        <v>180</v>
      </c>
      <c r="O11" s="118">
        <v>486</v>
      </c>
      <c r="P11" s="118">
        <v>80</v>
      </c>
      <c r="Q11" s="118">
        <v>100</v>
      </c>
      <c r="R11" s="118">
        <v>1132</v>
      </c>
      <c r="S11" s="118">
        <v>2844</v>
      </c>
      <c r="T11" s="134">
        <v>898</v>
      </c>
      <c r="U11" s="118">
        <v>1830</v>
      </c>
      <c r="V11" s="118">
        <v>500</v>
      </c>
      <c r="W11" s="118">
        <v>1725</v>
      </c>
      <c r="X11" s="21">
        <v>2400</v>
      </c>
      <c r="Y11" s="21">
        <v>300</v>
      </c>
      <c r="Z11" s="21">
        <v>1000</v>
      </c>
    </row>
    <row r="12" spans="1:26" x14ac:dyDescent="0.2">
      <c r="A12" s="9" t="s">
        <v>2</v>
      </c>
      <c r="B12" s="118">
        <v>1848</v>
      </c>
      <c r="C12" s="118">
        <v>697</v>
      </c>
      <c r="D12" s="118">
        <v>587</v>
      </c>
      <c r="E12" s="118">
        <v>987</v>
      </c>
      <c r="F12" s="118">
        <v>1267</v>
      </c>
      <c r="G12" s="118">
        <v>1486</v>
      </c>
      <c r="H12" s="118">
        <v>220</v>
      </c>
      <c r="I12" s="118" t="s">
        <v>96</v>
      </c>
      <c r="J12" s="118">
        <v>645</v>
      </c>
      <c r="K12" s="66">
        <v>1392</v>
      </c>
      <c r="L12" s="118" t="s">
        <v>96</v>
      </c>
      <c r="M12" s="21" t="s">
        <v>96</v>
      </c>
      <c r="N12" s="118">
        <v>360</v>
      </c>
      <c r="O12" s="118" t="s">
        <v>96</v>
      </c>
      <c r="P12" s="118">
        <v>242</v>
      </c>
      <c r="Q12" s="118">
        <v>216</v>
      </c>
      <c r="R12" s="118">
        <v>1250</v>
      </c>
      <c r="S12" s="118">
        <v>1160</v>
      </c>
      <c r="T12" s="134" t="s">
        <v>96</v>
      </c>
      <c r="U12" s="118">
        <v>418</v>
      </c>
      <c r="V12" s="118">
        <v>1225</v>
      </c>
      <c r="W12" s="118">
        <v>102</v>
      </c>
      <c r="X12" s="21">
        <v>1459</v>
      </c>
      <c r="Y12" s="21" t="s">
        <v>96</v>
      </c>
      <c r="Z12" s="21">
        <v>1225</v>
      </c>
    </row>
    <row r="13" spans="1:26" x14ac:dyDescent="0.2">
      <c r="A13" s="9" t="s">
        <v>3</v>
      </c>
      <c r="B13" s="118">
        <v>488</v>
      </c>
      <c r="C13" s="118">
        <v>108</v>
      </c>
      <c r="D13" s="118">
        <v>1296</v>
      </c>
      <c r="E13" s="118">
        <v>36</v>
      </c>
      <c r="F13" s="118" t="s">
        <v>96</v>
      </c>
      <c r="G13" s="118" t="s">
        <v>96</v>
      </c>
      <c r="H13" s="118">
        <v>288</v>
      </c>
      <c r="I13" s="118" t="s">
        <v>96</v>
      </c>
      <c r="J13" s="118" t="s">
        <v>96</v>
      </c>
      <c r="K13" s="118" t="s">
        <v>96</v>
      </c>
      <c r="L13" s="118" t="s">
        <v>96</v>
      </c>
      <c r="M13" s="21">
        <v>264</v>
      </c>
      <c r="N13" s="118">
        <v>825</v>
      </c>
      <c r="O13" s="118" t="s">
        <v>96</v>
      </c>
      <c r="P13" s="118" t="s">
        <v>96</v>
      </c>
      <c r="Q13" s="118" t="s">
        <v>96</v>
      </c>
      <c r="R13" s="118" t="s">
        <v>96</v>
      </c>
      <c r="S13" s="118">
        <v>300</v>
      </c>
      <c r="T13" s="134">
        <v>1365</v>
      </c>
      <c r="U13" s="118">
        <v>1550</v>
      </c>
      <c r="V13" s="118">
        <v>132</v>
      </c>
      <c r="W13" s="118">
        <v>2050</v>
      </c>
      <c r="X13" s="21" t="s">
        <v>96</v>
      </c>
      <c r="Y13" s="21">
        <v>900</v>
      </c>
      <c r="Z13" s="21">
        <v>2425</v>
      </c>
    </row>
    <row r="14" spans="1:26" x14ac:dyDescent="0.2">
      <c r="A14" s="9" t="s">
        <v>4</v>
      </c>
      <c r="B14" s="118">
        <v>576</v>
      </c>
      <c r="C14" s="118">
        <v>434</v>
      </c>
      <c r="D14" s="118">
        <v>624</v>
      </c>
      <c r="E14" s="118">
        <v>737</v>
      </c>
      <c r="F14" s="118">
        <v>140</v>
      </c>
      <c r="G14" s="118">
        <v>492</v>
      </c>
      <c r="H14" s="118">
        <v>1112</v>
      </c>
      <c r="I14" s="118">
        <v>1270</v>
      </c>
      <c r="J14" s="118">
        <v>440</v>
      </c>
      <c r="K14" s="66">
        <v>1440</v>
      </c>
      <c r="L14" s="118">
        <v>1505</v>
      </c>
      <c r="M14" s="21">
        <v>1875</v>
      </c>
      <c r="N14" s="118">
        <v>160</v>
      </c>
      <c r="O14" s="118">
        <v>500</v>
      </c>
      <c r="P14" s="118">
        <v>957</v>
      </c>
      <c r="Q14" s="118">
        <v>500</v>
      </c>
      <c r="R14" s="118">
        <v>1669</v>
      </c>
      <c r="S14" s="118">
        <v>1854</v>
      </c>
      <c r="T14" s="134">
        <v>1224</v>
      </c>
      <c r="U14" s="118">
        <v>6764</v>
      </c>
      <c r="V14" s="118">
        <v>2140</v>
      </c>
      <c r="W14" s="118">
        <v>2324</v>
      </c>
      <c r="X14" s="21">
        <v>3493</v>
      </c>
      <c r="Y14" s="21">
        <v>6642</v>
      </c>
      <c r="Z14" s="21">
        <v>3396</v>
      </c>
    </row>
    <row r="15" spans="1:26" x14ac:dyDescent="0.2">
      <c r="A15" s="9" t="s">
        <v>5</v>
      </c>
      <c r="B15" s="118" t="s">
        <v>96</v>
      </c>
      <c r="C15" s="118" t="s">
        <v>96</v>
      </c>
      <c r="D15" s="118" t="s">
        <v>96</v>
      </c>
      <c r="E15" s="118" t="s">
        <v>96</v>
      </c>
      <c r="F15" s="118">
        <v>340</v>
      </c>
      <c r="G15" s="118">
        <v>345</v>
      </c>
      <c r="H15" s="118" t="s">
        <v>96</v>
      </c>
      <c r="I15" s="118" t="s">
        <v>96</v>
      </c>
      <c r="J15" s="118" t="s">
        <v>96</v>
      </c>
      <c r="K15" s="66">
        <v>825</v>
      </c>
      <c r="L15" s="118" t="s">
        <v>96</v>
      </c>
      <c r="M15" s="21" t="s">
        <v>96</v>
      </c>
      <c r="N15" s="118" t="s">
        <v>96</v>
      </c>
      <c r="O15" s="118" t="s">
        <v>96</v>
      </c>
      <c r="P15" s="118" t="s">
        <v>96</v>
      </c>
      <c r="Q15" s="118" t="s">
        <v>96</v>
      </c>
      <c r="R15" s="118" t="s">
        <v>96</v>
      </c>
      <c r="S15" s="118" t="s">
        <v>96</v>
      </c>
      <c r="T15" s="134" t="s">
        <v>96</v>
      </c>
      <c r="U15" s="118">
        <v>700</v>
      </c>
      <c r="V15" s="118">
        <v>150</v>
      </c>
      <c r="W15" s="118">
        <v>350</v>
      </c>
      <c r="X15" s="21">
        <v>350</v>
      </c>
      <c r="Y15" s="21">
        <v>350</v>
      </c>
      <c r="Z15" s="21">
        <v>550</v>
      </c>
    </row>
    <row r="16" spans="1:26" x14ac:dyDescent="0.2">
      <c r="A16" s="9" t="s">
        <v>6</v>
      </c>
      <c r="B16" s="118">
        <v>1444</v>
      </c>
      <c r="C16" s="118">
        <v>158</v>
      </c>
      <c r="D16" s="118">
        <v>380</v>
      </c>
      <c r="E16" s="118">
        <v>162</v>
      </c>
      <c r="F16" s="118">
        <v>50</v>
      </c>
      <c r="G16" s="118">
        <v>132</v>
      </c>
      <c r="H16" s="118" t="s">
        <v>96</v>
      </c>
      <c r="I16" s="118">
        <v>1250</v>
      </c>
      <c r="J16" s="118" t="s">
        <v>96</v>
      </c>
      <c r="K16" s="66">
        <v>180</v>
      </c>
      <c r="L16" s="118" t="s">
        <v>96</v>
      </c>
      <c r="M16" s="21">
        <v>880</v>
      </c>
      <c r="N16" s="118">
        <v>142</v>
      </c>
      <c r="O16" s="118" t="s">
        <v>96</v>
      </c>
      <c r="P16" s="118">
        <v>90</v>
      </c>
      <c r="Q16" s="118" t="s">
        <v>96</v>
      </c>
      <c r="R16" s="118">
        <v>1360</v>
      </c>
      <c r="S16" s="118" t="s">
        <v>96</v>
      </c>
      <c r="T16" s="134">
        <v>1309</v>
      </c>
      <c r="U16" s="118">
        <v>2400</v>
      </c>
      <c r="V16" s="118">
        <v>2000</v>
      </c>
      <c r="W16" s="118">
        <v>1000</v>
      </c>
      <c r="X16" s="21">
        <v>2101</v>
      </c>
      <c r="Y16" s="21">
        <v>2444</v>
      </c>
      <c r="Z16" s="21">
        <v>1125</v>
      </c>
    </row>
    <row r="17" spans="1:26" x14ac:dyDescent="0.2">
      <c r="A17" s="9" t="s">
        <v>7</v>
      </c>
      <c r="B17" s="118">
        <v>278</v>
      </c>
      <c r="C17" s="118">
        <v>124</v>
      </c>
      <c r="D17" s="118">
        <v>108</v>
      </c>
      <c r="E17" s="118">
        <v>322</v>
      </c>
      <c r="F17" s="118" t="s">
        <v>96</v>
      </c>
      <c r="G17" s="118">
        <v>195</v>
      </c>
      <c r="H17" s="118">
        <v>340</v>
      </c>
      <c r="I17" s="118">
        <v>251</v>
      </c>
      <c r="J17" s="118">
        <v>80</v>
      </c>
      <c r="K17" s="66">
        <v>600</v>
      </c>
      <c r="L17" s="118">
        <v>18</v>
      </c>
      <c r="M17" s="21" t="s">
        <v>96</v>
      </c>
      <c r="N17" s="118" t="s">
        <v>96</v>
      </c>
      <c r="O17" s="118">
        <v>108</v>
      </c>
      <c r="P17" s="118" t="s">
        <v>96</v>
      </c>
      <c r="Q17" s="118" t="s">
        <v>96</v>
      </c>
      <c r="R17" s="118" t="s">
        <v>96</v>
      </c>
      <c r="S17" s="118" t="s">
        <v>96</v>
      </c>
      <c r="T17" s="134" t="s">
        <v>96</v>
      </c>
      <c r="U17" s="118">
        <v>1000</v>
      </c>
      <c r="V17" s="118" t="s">
        <v>96</v>
      </c>
      <c r="W17" s="118">
        <v>1000</v>
      </c>
      <c r="X17" s="21">
        <v>1020</v>
      </c>
      <c r="Y17" s="21">
        <v>825</v>
      </c>
      <c r="Z17" s="21">
        <v>1061</v>
      </c>
    </row>
    <row r="18" spans="1:26" x14ac:dyDescent="0.2">
      <c r="A18" s="9" t="s">
        <v>8</v>
      </c>
      <c r="B18" s="118">
        <v>170</v>
      </c>
      <c r="C18" s="118">
        <v>732</v>
      </c>
      <c r="D18" s="118">
        <v>157</v>
      </c>
      <c r="E18" s="118">
        <v>266</v>
      </c>
      <c r="F18" s="118">
        <v>781</v>
      </c>
      <c r="G18" s="118">
        <v>580</v>
      </c>
      <c r="H18" s="118">
        <v>869</v>
      </c>
      <c r="I18" s="118">
        <v>506</v>
      </c>
      <c r="J18" s="118">
        <v>192</v>
      </c>
      <c r="K18" s="66">
        <v>252</v>
      </c>
      <c r="L18" s="118">
        <v>48</v>
      </c>
      <c r="M18" s="21" t="s">
        <v>96</v>
      </c>
      <c r="N18" s="118">
        <v>400</v>
      </c>
      <c r="O18" s="118">
        <v>164</v>
      </c>
      <c r="P18" s="118" t="s">
        <v>96</v>
      </c>
      <c r="Q18" s="118" t="s">
        <v>96</v>
      </c>
      <c r="R18" s="118">
        <v>1002</v>
      </c>
      <c r="S18" s="118">
        <v>1650</v>
      </c>
      <c r="T18" s="134" t="s">
        <v>96</v>
      </c>
      <c r="U18" s="118">
        <v>1000</v>
      </c>
      <c r="V18" s="118">
        <v>1000</v>
      </c>
      <c r="W18" s="118">
        <v>1150</v>
      </c>
      <c r="X18" s="21">
        <v>1100</v>
      </c>
      <c r="Y18" s="21" t="s">
        <v>96</v>
      </c>
      <c r="Z18" s="21" t="s">
        <v>96</v>
      </c>
    </row>
    <row r="19" spans="1:26" x14ac:dyDescent="0.2">
      <c r="A19" s="9" t="s">
        <v>9</v>
      </c>
      <c r="B19" s="118">
        <v>2040</v>
      </c>
      <c r="C19" s="118">
        <v>1757</v>
      </c>
      <c r="D19" s="118">
        <v>343</v>
      </c>
      <c r="E19" s="118" t="s">
        <v>96</v>
      </c>
      <c r="F19" s="118">
        <v>451</v>
      </c>
      <c r="G19" s="118">
        <v>512</v>
      </c>
      <c r="H19" s="118">
        <v>1108</v>
      </c>
      <c r="I19" s="118">
        <v>858</v>
      </c>
      <c r="J19" s="118" t="s">
        <v>96</v>
      </c>
      <c r="K19" s="66">
        <v>250</v>
      </c>
      <c r="L19" s="118">
        <v>960</v>
      </c>
      <c r="M19" s="21">
        <v>951</v>
      </c>
      <c r="N19" s="118">
        <v>960</v>
      </c>
      <c r="O19" s="118">
        <v>916</v>
      </c>
      <c r="P19" s="118" t="s">
        <v>96</v>
      </c>
      <c r="Q19" s="118" t="s">
        <v>96</v>
      </c>
      <c r="R19" s="118">
        <v>977</v>
      </c>
      <c r="S19" s="118">
        <v>1600</v>
      </c>
      <c r="T19" s="134">
        <v>800</v>
      </c>
      <c r="U19" s="118" t="s">
        <v>96</v>
      </c>
      <c r="V19" s="118">
        <v>1705</v>
      </c>
      <c r="W19" s="118">
        <v>1364</v>
      </c>
      <c r="X19" s="21">
        <v>1550</v>
      </c>
      <c r="Y19" s="21" t="s">
        <v>96</v>
      </c>
      <c r="Z19" s="21">
        <v>1224</v>
      </c>
    </row>
    <row r="20" spans="1:26" x14ac:dyDescent="0.2">
      <c r="A20" s="9" t="s">
        <v>10</v>
      </c>
      <c r="B20" s="118">
        <v>2075</v>
      </c>
      <c r="C20" s="118">
        <v>2070</v>
      </c>
      <c r="D20" s="118">
        <v>2828</v>
      </c>
      <c r="E20" s="118">
        <v>4345</v>
      </c>
      <c r="F20" s="118">
        <v>4734</v>
      </c>
      <c r="G20" s="118">
        <v>1698</v>
      </c>
      <c r="H20" s="118">
        <v>5802</v>
      </c>
      <c r="I20" s="118">
        <v>9219</v>
      </c>
      <c r="J20" s="118">
        <v>5129</v>
      </c>
      <c r="K20" s="66">
        <v>2908</v>
      </c>
      <c r="L20" s="118">
        <v>3635</v>
      </c>
      <c r="M20" s="21">
        <v>5242</v>
      </c>
      <c r="N20" s="118">
        <v>7615</v>
      </c>
      <c r="O20" s="118">
        <v>10669</v>
      </c>
      <c r="P20" s="118">
        <v>15659</v>
      </c>
      <c r="Q20" s="118">
        <v>7670</v>
      </c>
      <c r="R20" s="118">
        <v>17955</v>
      </c>
      <c r="S20" s="118">
        <v>11428</v>
      </c>
      <c r="T20" s="134">
        <v>9730</v>
      </c>
      <c r="U20" s="118">
        <v>12616</v>
      </c>
      <c r="V20" s="118">
        <v>16364</v>
      </c>
      <c r="W20" s="118">
        <v>24415</v>
      </c>
      <c r="X20" s="21">
        <v>19934</v>
      </c>
      <c r="Y20" s="21">
        <v>24635</v>
      </c>
      <c r="Z20" s="21">
        <v>43306</v>
      </c>
    </row>
    <row r="21" spans="1:26" x14ac:dyDescent="0.2">
      <c r="A21" s="9" t="s">
        <v>11</v>
      </c>
      <c r="B21" s="118">
        <v>462</v>
      </c>
      <c r="C21" s="118">
        <v>928</v>
      </c>
      <c r="D21" s="118">
        <v>330</v>
      </c>
      <c r="E21" s="118">
        <v>321</v>
      </c>
      <c r="F21" s="118">
        <v>222</v>
      </c>
      <c r="G21" s="118">
        <v>88</v>
      </c>
      <c r="H21" s="118">
        <v>350</v>
      </c>
      <c r="I21" s="118">
        <v>168</v>
      </c>
      <c r="J21" s="118" t="s">
        <v>96</v>
      </c>
      <c r="K21" s="66">
        <v>88</v>
      </c>
      <c r="L21" s="118">
        <v>200</v>
      </c>
      <c r="M21" s="21">
        <v>938</v>
      </c>
      <c r="N21" s="118" t="s">
        <v>96</v>
      </c>
      <c r="O21" s="118">
        <v>350</v>
      </c>
      <c r="P21" s="118" t="s">
        <v>96</v>
      </c>
      <c r="Q21" s="118">
        <v>550</v>
      </c>
      <c r="R21" s="118">
        <v>550</v>
      </c>
      <c r="S21" s="118" t="s">
        <v>96</v>
      </c>
      <c r="T21" s="134">
        <v>332</v>
      </c>
      <c r="U21" s="118" t="s">
        <v>96</v>
      </c>
      <c r="V21" s="118" t="s">
        <v>96</v>
      </c>
      <c r="W21" s="138" t="s">
        <v>96</v>
      </c>
      <c r="X21" s="21" t="s">
        <v>96</v>
      </c>
      <c r="Y21" s="21">
        <v>450</v>
      </c>
      <c r="Z21" s="21">
        <v>1775</v>
      </c>
    </row>
    <row r="22" spans="1:26" x14ac:dyDescent="0.2">
      <c r="A22" s="9" t="s">
        <v>12</v>
      </c>
      <c r="B22" s="118">
        <v>480</v>
      </c>
      <c r="C22" s="118">
        <v>288</v>
      </c>
      <c r="D22" s="118">
        <v>276</v>
      </c>
      <c r="E22" s="118">
        <v>235</v>
      </c>
      <c r="F22" s="118">
        <v>216</v>
      </c>
      <c r="G22" s="118">
        <v>384</v>
      </c>
      <c r="H22" s="118">
        <v>416</v>
      </c>
      <c r="I22" s="118">
        <v>704</v>
      </c>
      <c r="J22" s="118">
        <v>224</v>
      </c>
      <c r="K22" s="66">
        <v>198</v>
      </c>
      <c r="L22" s="118">
        <v>264</v>
      </c>
      <c r="M22" s="21" t="s">
        <v>96</v>
      </c>
      <c r="N22" s="118">
        <v>2002</v>
      </c>
      <c r="O22" s="118" t="s">
        <v>96</v>
      </c>
      <c r="P22" s="118">
        <v>160</v>
      </c>
      <c r="Q22" s="118" t="s">
        <v>96</v>
      </c>
      <c r="R22" s="118">
        <v>1650</v>
      </c>
      <c r="S22" s="118">
        <v>1482</v>
      </c>
      <c r="T22" s="134">
        <v>382</v>
      </c>
      <c r="U22" s="118">
        <v>217</v>
      </c>
      <c r="V22" s="118">
        <v>1852</v>
      </c>
      <c r="W22" s="138" t="s">
        <v>96</v>
      </c>
      <c r="X22" s="21">
        <v>1232</v>
      </c>
      <c r="Y22" s="21">
        <v>120</v>
      </c>
      <c r="Z22" s="21">
        <v>307</v>
      </c>
    </row>
    <row r="23" spans="1:26" x14ac:dyDescent="0.2">
      <c r="A23" s="9" t="s">
        <v>13</v>
      </c>
      <c r="B23" s="118">
        <v>365</v>
      </c>
      <c r="C23" s="118" t="s">
        <v>96</v>
      </c>
      <c r="D23" s="118" t="s">
        <v>96</v>
      </c>
      <c r="E23" s="118">
        <v>80</v>
      </c>
      <c r="F23" s="118" t="s">
        <v>96</v>
      </c>
      <c r="G23" s="118" t="s">
        <v>96</v>
      </c>
      <c r="H23" s="118" t="s">
        <v>96</v>
      </c>
      <c r="I23" s="118" t="s">
        <v>96</v>
      </c>
      <c r="J23" s="118" t="s">
        <v>96</v>
      </c>
      <c r="K23" s="118" t="s">
        <v>96</v>
      </c>
      <c r="L23" s="118" t="s">
        <v>96</v>
      </c>
      <c r="M23" s="21" t="s">
        <v>96</v>
      </c>
      <c r="N23" s="118" t="s">
        <v>96</v>
      </c>
      <c r="O23" s="118" t="s">
        <v>96</v>
      </c>
      <c r="P23" s="118" t="s">
        <v>96</v>
      </c>
      <c r="Q23" s="118" t="s">
        <v>96</v>
      </c>
      <c r="R23" s="118">
        <v>660</v>
      </c>
      <c r="S23" s="118" t="s">
        <v>96</v>
      </c>
      <c r="T23" s="134" t="s">
        <v>96</v>
      </c>
      <c r="U23" s="118" t="s">
        <v>96</v>
      </c>
      <c r="V23" s="118">
        <v>575</v>
      </c>
      <c r="W23" s="138" t="s">
        <v>96</v>
      </c>
      <c r="X23" s="21" t="s">
        <v>96</v>
      </c>
      <c r="Y23" s="21">
        <v>1148</v>
      </c>
      <c r="Z23" s="21">
        <v>1000</v>
      </c>
    </row>
    <row r="24" spans="1:26" x14ac:dyDescent="0.2">
      <c r="A24" s="9" t="s">
        <v>14</v>
      </c>
      <c r="B24" s="118">
        <v>858</v>
      </c>
      <c r="C24" s="118">
        <v>863</v>
      </c>
      <c r="D24" s="118">
        <v>900</v>
      </c>
      <c r="E24" s="118">
        <v>940</v>
      </c>
      <c r="F24" s="118">
        <v>944</v>
      </c>
      <c r="G24" s="118">
        <v>997</v>
      </c>
      <c r="H24" s="118">
        <v>1001</v>
      </c>
      <c r="I24" s="118">
        <v>1008</v>
      </c>
      <c r="J24" s="118">
        <v>1070</v>
      </c>
      <c r="K24" s="66">
        <v>1082</v>
      </c>
      <c r="L24" s="118">
        <v>513</v>
      </c>
      <c r="M24" s="21">
        <v>600</v>
      </c>
      <c r="N24" s="118">
        <v>500</v>
      </c>
      <c r="O24" s="118">
        <v>500</v>
      </c>
      <c r="P24" s="118" t="s">
        <v>96</v>
      </c>
      <c r="Q24" s="118" t="s">
        <v>96</v>
      </c>
      <c r="R24" s="118">
        <v>232</v>
      </c>
      <c r="S24" s="118">
        <v>2425</v>
      </c>
      <c r="T24" s="134" t="s">
        <v>96</v>
      </c>
      <c r="U24" s="118">
        <v>2175</v>
      </c>
      <c r="V24" s="118" t="s">
        <v>96</v>
      </c>
      <c r="W24" s="118">
        <v>825</v>
      </c>
      <c r="X24" s="21">
        <v>548</v>
      </c>
      <c r="Y24" s="21">
        <v>4850</v>
      </c>
      <c r="Z24" s="21" t="s">
        <v>96</v>
      </c>
    </row>
    <row r="25" spans="1:26" x14ac:dyDescent="0.2">
      <c r="A25" s="9" t="s">
        <v>15</v>
      </c>
      <c r="B25" s="118">
        <v>230</v>
      </c>
      <c r="C25" s="118">
        <v>1288</v>
      </c>
      <c r="D25" s="118">
        <v>604</v>
      </c>
      <c r="E25" s="118">
        <v>1008</v>
      </c>
      <c r="F25" s="118">
        <v>90</v>
      </c>
      <c r="G25" s="118">
        <v>508</v>
      </c>
      <c r="H25" s="118">
        <v>365</v>
      </c>
      <c r="I25" s="118">
        <v>530</v>
      </c>
      <c r="J25" s="118">
        <v>736</v>
      </c>
      <c r="K25" s="66">
        <v>375</v>
      </c>
      <c r="L25" s="118" t="s">
        <v>96</v>
      </c>
      <c r="M25" s="21" t="s">
        <v>96</v>
      </c>
      <c r="N25" s="118">
        <v>108</v>
      </c>
      <c r="O25" s="118" t="s">
        <v>96</v>
      </c>
      <c r="P25" s="118" t="s">
        <v>96</v>
      </c>
      <c r="Q25" s="118" t="s">
        <v>96</v>
      </c>
      <c r="R25" s="118" t="s">
        <v>96</v>
      </c>
      <c r="S25" s="118" t="s">
        <v>96</v>
      </c>
      <c r="T25" s="134">
        <v>150</v>
      </c>
      <c r="U25" s="118">
        <v>1784</v>
      </c>
      <c r="V25" s="118" t="s">
        <v>96</v>
      </c>
      <c r="W25" s="138" t="s">
        <v>96</v>
      </c>
      <c r="X25" s="21" t="s">
        <v>96</v>
      </c>
      <c r="Y25" s="21">
        <v>2448</v>
      </c>
      <c r="Z25" s="21" t="s">
        <v>96</v>
      </c>
    </row>
    <row r="26" spans="1:26" x14ac:dyDescent="0.2">
      <c r="A26" s="9" t="s">
        <v>16</v>
      </c>
      <c r="B26" s="118" t="s">
        <v>96</v>
      </c>
      <c r="C26" s="118">
        <v>620</v>
      </c>
      <c r="D26" s="118" t="s">
        <v>96</v>
      </c>
      <c r="E26" s="118">
        <v>192</v>
      </c>
      <c r="F26" s="118" t="s">
        <v>96</v>
      </c>
      <c r="G26" s="118" t="s">
        <v>96</v>
      </c>
      <c r="H26" s="118" t="s">
        <v>96</v>
      </c>
      <c r="I26" s="118">
        <v>98</v>
      </c>
      <c r="J26" s="118">
        <v>420</v>
      </c>
      <c r="K26" s="118" t="s">
        <v>96</v>
      </c>
      <c r="L26" s="118" t="s">
        <v>96</v>
      </c>
      <c r="M26" s="21" t="s">
        <v>96</v>
      </c>
      <c r="N26" s="118" t="s">
        <v>96</v>
      </c>
      <c r="O26" s="118" t="s">
        <v>96</v>
      </c>
      <c r="P26" s="118" t="s">
        <v>96</v>
      </c>
      <c r="Q26" s="118" t="s">
        <v>96</v>
      </c>
      <c r="R26" s="118" t="s">
        <v>96</v>
      </c>
      <c r="S26" s="118">
        <v>600</v>
      </c>
      <c r="T26" s="134" t="s">
        <v>96</v>
      </c>
      <c r="U26" s="118">
        <v>100</v>
      </c>
      <c r="V26" s="118" t="s">
        <v>96</v>
      </c>
      <c r="W26" s="118">
        <v>600</v>
      </c>
      <c r="X26" s="21" t="s">
        <v>96</v>
      </c>
      <c r="Y26" s="21">
        <v>2900</v>
      </c>
      <c r="Z26" s="21">
        <v>1700</v>
      </c>
    </row>
    <row r="27" spans="1:26" x14ac:dyDescent="0.2">
      <c r="A27" s="9" t="s">
        <v>17</v>
      </c>
      <c r="B27" s="118">
        <v>216</v>
      </c>
      <c r="C27" s="118">
        <v>108</v>
      </c>
      <c r="D27" s="118">
        <v>280</v>
      </c>
      <c r="E27" s="118">
        <v>666</v>
      </c>
      <c r="F27" s="118">
        <v>222</v>
      </c>
      <c r="G27" s="118" t="s">
        <v>96</v>
      </c>
      <c r="H27" s="118">
        <v>80</v>
      </c>
      <c r="I27" s="118">
        <v>120</v>
      </c>
      <c r="J27" s="118" t="s">
        <v>96</v>
      </c>
      <c r="K27" s="118" t="s">
        <v>96</v>
      </c>
      <c r="L27" s="118" t="s">
        <v>96</v>
      </c>
      <c r="M27" s="21" t="s">
        <v>96</v>
      </c>
      <c r="N27" s="118">
        <v>500</v>
      </c>
      <c r="O27" s="118">
        <v>175</v>
      </c>
      <c r="P27" s="118" t="s">
        <v>96</v>
      </c>
      <c r="Q27" s="118" t="s">
        <v>96</v>
      </c>
      <c r="R27" s="118" t="s">
        <v>96</v>
      </c>
      <c r="S27" s="118">
        <v>499</v>
      </c>
      <c r="T27" s="134">
        <v>189</v>
      </c>
      <c r="U27" s="118" t="s">
        <v>96</v>
      </c>
      <c r="V27" s="118">
        <v>786</v>
      </c>
      <c r="W27" s="118">
        <v>750</v>
      </c>
      <c r="X27" s="21" t="s">
        <v>96</v>
      </c>
      <c r="Y27" s="21">
        <v>1535</v>
      </c>
      <c r="Z27" s="21">
        <v>800</v>
      </c>
    </row>
    <row r="28" spans="1:26" x14ac:dyDescent="0.2">
      <c r="A28" s="9" t="s">
        <v>18</v>
      </c>
      <c r="B28" s="118">
        <v>12340</v>
      </c>
      <c r="C28" s="118">
        <v>13770</v>
      </c>
      <c r="D28" s="118">
        <v>14180</v>
      </c>
      <c r="E28" s="118">
        <v>15264</v>
      </c>
      <c r="F28" s="118">
        <v>13850</v>
      </c>
      <c r="G28" s="118">
        <v>12610</v>
      </c>
      <c r="H28" s="118">
        <v>14410</v>
      </c>
      <c r="I28" s="118">
        <v>12040</v>
      </c>
      <c r="J28" s="118">
        <v>13805</v>
      </c>
      <c r="K28" s="66">
        <v>7875</v>
      </c>
      <c r="L28" s="118">
        <v>5275</v>
      </c>
      <c r="M28" s="21">
        <v>2675</v>
      </c>
      <c r="N28" s="118">
        <v>4926</v>
      </c>
      <c r="O28" s="118">
        <v>6300</v>
      </c>
      <c r="P28" s="118">
        <v>6275</v>
      </c>
      <c r="Q28" s="118">
        <v>8824</v>
      </c>
      <c r="R28" s="118">
        <v>7475</v>
      </c>
      <c r="S28" s="118">
        <v>9578</v>
      </c>
      <c r="T28" s="134">
        <v>6179</v>
      </c>
      <c r="U28" s="118">
        <v>6925</v>
      </c>
      <c r="V28" s="118">
        <v>6495</v>
      </c>
      <c r="W28" s="118">
        <v>15900</v>
      </c>
      <c r="X28" s="21">
        <v>11680</v>
      </c>
      <c r="Y28" s="21">
        <v>18625</v>
      </c>
      <c r="Z28" s="21">
        <v>13128</v>
      </c>
    </row>
    <row r="29" spans="1:26" ht="18" x14ac:dyDescent="0.2">
      <c r="A29" s="8" t="s">
        <v>113</v>
      </c>
      <c r="B29" s="120">
        <v>7850</v>
      </c>
      <c r="C29" s="120">
        <v>5606</v>
      </c>
      <c r="D29" s="120">
        <v>3430</v>
      </c>
      <c r="E29" s="120">
        <v>2779</v>
      </c>
      <c r="F29" s="120">
        <v>3355</v>
      </c>
      <c r="G29" s="120">
        <v>1383</v>
      </c>
      <c r="H29" s="120">
        <v>2798</v>
      </c>
      <c r="I29" s="120">
        <v>5293</v>
      </c>
      <c r="J29" s="120">
        <v>2678</v>
      </c>
      <c r="K29" s="65">
        <v>4319</v>
      </c>
      <c r="L29" s="120">
        <v>7924</v>
      </c>
      <c r="M29" s="22">
        <v>8935</v>
      </c>
      <c r="N29" s="120">
        <v>5835</v>
      </c>
      <c r="O29" s="120">
        <v>7134</v>
      </c>
      <c r="P29" s="120">
        <v>5772</v>
      </c>
      <c r="Q29" s="120">
        <v>6257</v>
      </c>
      <c r="R29" s="120">
        <v>6689</v>
      </c>
      <c r="S29" s="120">
        <v>5705</v>
      </c>
      <c r="T29" s="133">
        <v>10419</v>
      </c>
      <c r="U29" s="120">
        <v>13565</v>
      </c>
      <c r="V29" s="120">
        <v>15049</v>
      </c>
      <c r="W29" s="120">
        <v>14880</v>
      </c>
      <c r="X29" s="22">
        <v>22162</v>
      </c>
      <c r="Y29" s="22">
        <v>23284</v>
      </c>
      <c r="Z29" s="22">
        <v>40291</v>
      </c>
    </row>
    <row r="30" spans="1:26" x14ac:dyDescent="0.2">
      <c r="A30" s="9" t="s">
        <v>19</v>
      </c>
      <c r="B30" s="118">
        <v>120</v>
      </c>
      <c r="C30" s="118">
        <v>192</v>
      </c>
      <c r="D30" s="118">
        <v>688</v>
      </c>
      <c r="E30" s="118" t="s">
        <v>96</v>
      </c>
      <c r="F30" s="118">
        <v>102</v>
      </c>
      <c r="G30" s="118">
        <v>117</v>
      </c>
      <c r="H30" s="118" t="s">
        <v>96</v>
      </c>
      <c r="I30" s="118" t="s">
        <v>96</v>
      </c>
      <c r="J30" s="118" t="s">
        <v>96</v>
      </c>
      <c r="K30" s="66">
        <v>150</v>
      </c>
      <c r="L30" s="118">
        <v>150</v>
      </c>
      <c r="M30" s="21" t="s">
        <v>96</v>
      </c>
      <c r="N30" s="118" t="s">
        <v>96</v>
      </c>
      <c r="O30" s="118" t="s">
        <v>96</v>
      </c>
      <c r="P30" s="118" t="s">
        <v>96</v>
      </c>
      <c r="Q30" s="118" t="s">
        <v>96</v>
      </c>
      <c r="R30" s="118" t="s">
        <v>96</v>
      </c>
      <c r="S30" s="118">
        <v>330</v>
      </c>
      <c r="T30" s="134" t="s">
        <v>96</v>
      </c>
      <c r="U30" s="118" t="s">
        <v>96</v>
      </c>
      <c r="V30" s="118" t="s">
        <v>96</v>
      </c>
      <c r="W30" s="118">
        <v>1350</v>
      </c>
      <c r="X30" s="21" t="s">
        <v>96</v>
      </c>
      <c r="Y30" s="21">
        <v>2500</v>
      </c>
      <c r="Z30" s="21">
        <v>330</v>
      </c>
    </row>
    <row r="31" spans="1:26" x14ac:dyDescent="0.2">
      <c r="A31" s="9" t="s">
        <v>20</v>
      </c>
      <c r="B31" s="118">
        <v>755</v>
      </c>
      <c r="C31" s="118">
        <v>1323</v>
      </c>
      <c r="D31" s="118">
        <v>1548</v>
      </c>
      <c r="E31" s="118">
        <v>442</v>
      </c>
      <c r="F31" s="118" t="s">
        <v>96</v>
      </c>
      <c r="G31" s="118" t="s">
        <v>96</v>
      </c>
      <c r="H31" s="118" t="s">
        <v>96</v>
      </c>
      <c r="I31" s="118">
        <v>108</v>
      </c>
      <c r="J31" s="118">
        <v>70</v>
      </c>
      <c r="K31" s="66">
        <v>300</v>
      </c>
      <c r="L31" s="118">
        <v>444</v>
      </c>
      <c r="M31" s="21">
        <v>389</v>
      </c>
      <c r="N31" s="118">
        <v>182</v>
      </c>
      <c r="O31" s="118">
        <v>20</v>
      </c>
      <c r="P31" s="118">
        <v>200</v>
      </c>
      <c r="Q31" s="118">
        <v>623</v>
      </c>
      <c r="R31" s="118" t="s">
        <v>96</v>
      </c>
      <c r="S31" s="118" t="s">
        <v>96</v>
      </c>
      <c r="T31" s="134">
        <v>250</v>
      </c>
      <c r="U31" s="118" t="s">
        <v>96</v>
      </c>
      <c r="V31" s="118">
        <v>2471</v>
      </c>
      <c r="W31" s="138" t="s">
        <v>96</v>
      </c>
      <c r="X31" s="21">
        <v>400</v>
      </c>
      <c r="Y31" s="21">
        <v>690</v>
      </c>
      <c r="Z31" s="21">
        <v>825</v>
      </c>
    </row>
    <row r="32" spans="1:26" x14ac:dyDescent="0.2">
      <c r="A32" s="9" t="s">
        <v>21</v>
      </c>
      <c r="B32" s="118">
        <v>1296</v>
      </c>
      <c r="C32" s="118" t="s">
        <v>96</v>
      </c>
      <c r="D32" s="118">
        <v>111</v>
      </c>
      <c r="E32" s="118">
        <v>392</v>
      </c>
      <c r="F32" s="118" t="s">
        <v>96</v>
      </c>
      <c r="G32" s="118">
        <v>162</v>
      </c>
      <c r="H32" s="118">
        <v>1044</v>
      </c>
      <c r="I32" s="118">
        <v>250</v>
      </c>
      <c r="J32" s="118">
        <v>1409</v>
      </c>
      <c r="K32" s="66">
        <v>630</v>
      </c>
      <c r="L32" s="118">
        <v>1180</v>
      </c>
      <c r="M32" s="21">
        <v>376</v>
      </c>
      <c r="N32" s="118">
        <v>150</v>
      </c>
      <c r="O32" s="118">
        <v>680</v>
      </c>
      <c r="P32" s="118">
        <v>492</v>
      </c>
      <c r="Q32" s="118">
        <v>950</v>
      </c>
      <c r="R32" s="118">
        <v>950</v>
      </c>
      <c r="S32" s="118">
        <v>610</v>
      </c>
      <c r="T32" s="134">
        <v>320</v>
      </c>
      <c r="U32" s="118">
        <v>240</v>
      </c>
      <c r="V32" s="118">
        <v>700</v>
      </c>
      <c r="W32" s="118">
        <v>860</v>
      </c>
      <c r="X32" s="21">
        <v>2812</v>
      </c>
      <c r="Y32" s="21">
        <v>320</v>
      </c>
      <c r="Z32" s="21">
        <v>320</v>
      </c>
    </row>
    <row r="33" spans="1:26" x14ac:dyDescent="0.2">
      <c r="A33" s="4" t="s">
        <v>63</v>
      </c>
      <c r="B33" s="118"/>
      <c r="C33" s="118"/>
      <c r="D33" s="118"/>
      <c r="E33" s="118"/>
      <c r="F33" s="118"/>
      <c r="G33" s="120"/>
      <c r="H33" s="118"/>
      <c r="I33" s="118"/>
      <c r="J33" s="118"/>
      <c r="K33" s="118"/>
      <c r="L33" s="120"/>
      <c r="M33" s="120"/>
      <c r="N33" s="120"/>
      <c r="O33" s="120"/>
      <c r="P33" s="120"/>
      <c r="Q33" s="120"/>
      <c r="R33" s="120"/>
      <c r="S33" s="118"/>
      <c r="T33" s="134"/>
      <c r="U33" s="118"/>
      <c r="V33" s="118"/>
      <c r="W33" s="118"/>
      <c r="X33" s="21"/>
      <c r="Y33" s="21"/>
      <c r="Z33" s="21"/>
    </row>
    <row r="34" spans="1:26" ht="19.5" x14ac:dyDescent="0.2">
      <c r="A34" s="14" t="s">
        <v>152</v>
      </c>
      <c r="B34" s="118">
        <v>1296</v>
      </c>
      <c r="C34" s="118" t="s">
        <v>96</v>
      </c>
      <c r="D34" s="118" t="s">
        <v>96</v>
      </c>
      <c r="E34" s="118" t="s">
        <v>96</v>
      </c>
      <c r="F34" s="118" t="s">
        <v>96</v>
      </c>
      <c r="G34" s="118" t="s">
        <v>96</v>
      </c>
      <c r="H34" s="118" t="s">
        <v>96</v>
      </c>
      <c r="I34" s="118">
        <v>150</v>
      </c>
      <c r="J34" s="118">
        <v>225</v>
      </c>
      <c r="K34" s="66">
        <v>190</v>
      </c>
      <c r="L34" s="118">
        <v>1180</v>
      </c>
      <c r="M34" s="21" t="s">
        <v>96</v>
      </c>
      <c r="N34" s="118">
        <v>150</v>
      </c>
      <c r="O34" s="118" t="s">
        <v>96</v>
      </c>
      <c r="P34" s="118" t="s">
        <v>96</v>
      </c>
      <c r="Q34" s="118" t="s">
        <v>96</v>
      </c>
      <c r="R34" s="118" t="s">
        <v>96</v>
      </c>
      <c r="S34" s="118">
        <v>510</v>
      </c>
      <c r="T34" s="134" t="s">
        <v>96</v>
      </c>
      <c r="U34" s="118" t="s">
        <v>96</v>
      </c>
      <c r="V34" s="118">
        <v>700</v>
      </c>
      <c r="W34" s="138" t="s">
        <v>96</v>
      </c>
      <c r="X34" s="21" t="s">
        <v>96</v>
      </c>
      <c r="Y34" s="21" t="s">
        <v>96</v>
      </c>
      <c r="Z34" s="21" t="s">
        <v>96</v>
      </c>
    </row>
    <row r="35" spans="1:26" ht="19.5" x14ac:dyDescent="0.2">
      <c r="A35" s="14" t="s">
        <v>93</v>
      </c>
      <c r="B35" s="118" t="s">
        <v>96</v>
      </c>
      <c r="C35" s="118" t="s">
        <v>96</v>
      </c>
      <c r="D35" s="118">
        <v>111</v>
      </c>
      <c r="E35" s="118">
        <v>392</v>
      </c>
      <c r="F35" s="118" t="s">
        <v>96</v>
      </c>
      <c r="G35" s="118">
        <v>162</v>
      </c>
      <c r="H35" s="118">
        <v>1044</v>
      </c>
      <c r="I35" s="118">
        <v>100</v>
      </c>
      <c r="J35" s="118">
        <v>1184</v>
      </c>
      <c r="K35" s="118">
        <v>440</v>
      </c>
      <c r="L35" s="118" t="s">
        <v>96</v>
      </c>
      <c r="M35" s="21">
        <v>376</v>
      </c>
      <c r="N35" s="118" t="s">
        <v>96</v>
      </c>
      <c r="O35" s="118">
        <v>680</v>
      </c>
      <c r="P35" s="118">
        <v>492</v>
      </c>
      <c r="Q35" s="118">
        <v>950</v>
      </c>
      <c r="R35" s="118">
        <v>950</v>
      </c>
      <c r="S35" s="118">
        <v>100</v>
      </c>
      <c r="T35" s="134">
        <v>320</v>
      </c>
      <c r="U35" s="118">
        <v>240</v>
      </c>
      <c r="V35" s="118" t="s">
        <v>96</v>
      </c>
      <c r="W35" s="118">
        <v>860</v>
      </c>
      <c r="X35" s="21">
        <v>2812</v>
      </c>
      <c r="Y35" s="21">
        <v>320</v>
      </c>
      <c r="Z35" s="21">
        <v>320</v>
      </c>
    </row>
    <row r="36" spans="1:26" x14ac:dyDescent="0.2">
      <c r="A36" s="9" t="s">
        <v>24</v>
      </c>
      <c r="B36" s="118">
        <v>2259</v>
      </c>
      <c r="C36" s="118">
        <v>80</v>
      </c>
      <c r="D36" s="118" t="s">
        <v>96</v>
      </c>
      <c r="E36" s="118" t="s">
        <v>96</v>
      </c>
      <c r="F36" s="118">
        <v>444</v>
      </c>
      <c r="G36" s="118">
        <v>192</v>
      </c>
      <c r="H36" s="118">
        <v>150</v>
      </c>
      <c r="I36" s="118">
        <v>90</v>
      </c>
      <c r="J36" s="118">
        <v>370</v>
      </c>
      <c r="K36" s="66">
        <v>1545</v>
      </c>
      <c r="L36" s="118">
        <v>220</v>
      </c>
      <c r="M36" s="21">
        <v>20</v>
      </c>
      <c r="N36" s="118">
        <v>320</v>
      </c>
      <c r="O36" s="118">
        <v>144</v>
      </c>
      <c r="P36" s="118" t="s">
        <v>96</v>
      </c>
      <c r="Q36" s="118" t="s">
        <v>96</v>
      </c>
      <c r="R36" s="118">
        <v>240</v>
      </c>
      <c r="S36" s="118">
        <v>140</v>
      </c>
      <c r="T36" s="134">
        <v>1374</v>
      </c>
      <c r="U36" s="118">
        <v>1500</v>
      </c>
      <c r="V36" s="118">
        <v>828</v>
      </c>
      <c r="W36" s="138" t="s">
        <v>96</v>
      </c>
      <c r="X36" s="21">
        <v>1000</v>
      </c>
      <c r="Y36" s="21">
        <v>1304</v>
      </c>
      <c r="Z36" s="21">
        <v>150</v>
      </c>
    </row>
    <row r="37" spans="1:26" x14ac:dyDescent="0.2">
      <c r="A37" s="9" t="s">
        <v>25</v>
      </c>
      <c r="B37" s="118" t="s">
        <v>96</v>
      </c>
      <c r="C37" s="118" t="s">
        <v>96</v>
      </c>
      <c r="D37" s="118">
        <v>160</v>
      </c>
      <c r="E37" s="118">
        <v>200</v>
      </c>
      <c r="F37" s="118" t="s">
        <v>96</v>
      </c>
      <c r="G37" s="118" t="s">
        <v>96</v>
      </c>
      <c r="H37" s="118" t="s">
        <v>96</v>
      </c>
      <c r="I37" s="118">
        <v>1300</v>
      </c>
      <c r="J37" s="118" t="s">
        <v>96</v>
      </c>
      <c r="K37" s="118" t="s">
        <v>96</v>
      </c>
      <c r="L37" s="118">
        <v>1180</v>
      </c>
      <c r="M37" s="21" t="s">
        <v>96</v>
      </c>
      <c r="N37" s="118">
        <v>2000</v>
      </c>
      <c r="O37" s="118">
        <v>2500</v>
      </c>
      <c r="P37" s="118">
        <v>1000</v>
      </c>
      <c r="Q37" s="118">
        <v>1000</v>
      </c>
      <c r="R37" s="118" t="s">
        <v>96</v>
      </c>
      <c r="S37" s="118" t="s">
        <v>96</v>
      </c>
      <c r="T37" s="134" t="s">
        <v>96</v>
      </c>
      <c r="U37" s="118">
        <v>1700</v>
      </c>
      <c r="V37" s="118">
        <v>1100</v>
      </c>
      <c r="W37" s="118">
        <v>550</v>
      </c>
      <c r="X37" s="21">
        <v>1750</v>
      </c>
      <c r="Y37" s="21" t="s">
        <v>96</v>
      </c>
      <c r="Z37" s="21">
        <v>1500</v>
      </c>
    </row>
    <row r="38" spans="1:26" x14ac:dyDescent="0.2">
      <c r="A38" s="9" t="s">
        <v>26</v>
      </c>
      <c r="B38" s="118" t="s">
        <v>96</v>
      </c>
      <c r="C38" s="118">
        <v>2504</v>
      </c>
      <c r="D38" s="118">
        <v>436</v>
      </c>
      <c r="E38" s="118">
        <v>800</v>
      </c>
      <c r="F38" s="118">
        <v>1350</v>
      </c>
      <c r="G38" s="118">
        <v>410</v>
      </c>
      <c r="H38" s="118" t="s">
        <v>96</v>
      </c>
      <c r="I38" s="118">
        <v>220</v>
      </c>
      <c r="J38" s="118" t="s">
        <v>96</v>
      </c>
      <c r="K38" s="66">
        <v>1000</v>
      </c>
      <c r="L38" s="118">
        <v>800</v>
      </c>
      <c r="M38" s="21">
        <v>800</v>
      </c>
      <c r="N38" s="118" t="s">
        <v>96</v>
      </c>
      <c r="O38" s="118">
        <v>350</v>
      </c>
      <c r="P38" s="118" t="s">
        <v>96</v>
      </c>
      <c r="Q38" s="118">
        <v>2550</v>
      </c>
      <c r="R38" s="118">
        <v>1824</v>
      </c>
      <c r="S38" s="118">
        <v>275</v>
      </c>
      <c r="T38" s="134">
        <v>1875</v>
      </c>
      <c r="U38" s="118">
        <v>1600</v>
      </c>
      <c r="V38" s="118">
        <v>4175</v>
      </c>
      <c r="W38" s="118">
        <v>3370</v>
      </c>
      <c r="X38" s="21">
        <v>3730</v>
      </c>
      <c r="Y38" s="21">
        <v>3000</v>
      </c>
      <c r="Z38" s="21">
        <v>2375</v>
      </c>
    </row>
    <row r="39" spans="1:26" x14ac:dyDescent="0.2">
      <c r="A39" s="9" t="s">
        <v>27</v>
      </c>
      <c r="B39" s="118" t="s">
        <v>96</v>
      </c>
      <c r="C39" s="118" t="s">
        <v>96</v>
      </c>
      <c r="D39" s="118" t="s">
        <v>96</v>
      </c>
      <c r="E39" s="118" t="s">
        <v>96</v>
      </c>
      <c r="F39" s="118">
        <v>489</v>
      </c>
      <c r="G39" s="118">
        <v>340</v>
      </c>
      <c r="H39" s="118" t="s">
        <v>96</v>
      </c>
      <c r="I39" s="118">
        <v>600</v>
      </c>
      <c r="J39" s="118">
        <v>4</v>
      </c>
      <c r="K39" s="118" t="s">
        <v>96</v>
      </c>
      <c r="L39" s="118" t="s">
        <v>96</v>
      </c>
      <c r="M39" s="21" t="s">
        <v>96</v>
      </c>
      <c r="N39" s="118" t="s">
        <v>96</v>
      </c>
      <c r="O39" s="118" t="s">
        <v>96</v>
      </c>
      <c r="P39" s="118" t="s">
        <v>96</v>
      </c>
      <c r="Q39" s="118" t="s">
        <v>96</v>
      </c>
      <c r="R39" s="118" t="s">
        <v>96</v>
      </c>
      <c r="S39" s="118" t="s">
        <v>96</v>
      </c>
      <c r="T39" s="134" t="s">
        <v>96</v>
      </c>
      <c r="U39" s="118" t="s">
        <v>96</v>
      </c>
      <c r="V39" s="118" t="s">
        <v>96</v>
      </c>
      <c r="W39" s="118">
        <v>1200</v>
      </c>
      <c r="X39" s="21" t="s">
        <v>96</v>
      </c>
      <c r="Y39" s="21" t="s">
        <v>96</v>
      </c>
      <c r="Z39" s="21">
        <v>500</v>
      </c>
    </row>
    <row r="40" spans="1:26" x14ac:dyDescent="0.2">
      <c r="A40" s="9" t="s">
        <v>28</v>
      </c>
      <c r="B40" s="118">
        <v>1582</v>
      </c>
      <c r="C40" s="118" t="s">
        <v>96</v>
      </c>
      <c r="D40" s="118">
        <v>200</v>
      </c>
      <c r="E40" s="118" t="s">
        <v>96</v>
      </c>
      <c r="F40" s="118">
        <v>870</v>
      </c>
      <c r="G40" s="118">
        <v>162</v>
      </c>
      <c r="H40" s="118">
        <v>250</v>
      </c>
      <c r="I40" s="118">
        <v>250</v>
      </c>
      <c r="J40" s="118" t="s">
        <v>96</v>
      </c>
      <c r="K40" s="118" t="s">
        <v>96</v>
      </c>
      <c r="L40" s="118" t="s">
        <v>96</v>
      </c>
      <c r="M40" s="21" t="s">
        <v>96</v>
      </c>
      <c r="N40" s="118" t="s">
        <v>96</v>
      </c>
      <c r="O40" s="118" t="s">
        <v>96</v>
      </c>
      <c r="P40" s="118" t="s">
        <v>96</v>
      </c>
      <c r="Q40" s="118" t="s">
        <v>96</v>
      </c>
      <c r="R40" s="118" t="s">
        <v>96</v>
      </c>
      <c r="S40" s="118">
        <v>1350</v>
      </c>
      <c r="T40" s="134">
        <v>1350</v>
      </c>
      <c r="U40" s="118">
        <v>150</v>
      </c>
      <c r="V40" s="118" t="s">
        <v>96</v>
      </c>
      <c r="W40" s="138" t="s">
        <v>96</v>
      </c>
      <c r="X40" s="21" t="s">
        <v>96</v>
      </c>
      <c r="Y40" s="21">
        <v>1510</v>
      </c>
      <c r="Z40" s="21" t="s">
        <v>96</v>
      </c>
    </row>
    <row r="41" spans="1:26" x14ac:dyDescent="0.2">
      <c r="A41" s="9" t="s">
        <v>29</v>
      </c>
      <c r="B41" s="118">
        <v>328</v>
      </c>
      <c r="C41" s="118">
        <v>682</v>
      </c>
      <c r="D41" s="118">
        <v>287</v>
      </c>
      <c r="E41" s="118">
        <v>120</v>
      </c>
      <c r="F41" s="118">
        <v>100</v>
      </c>
      <c r="G41" s="118" t="s">
        <v>96</v>
      </c>
      <c r="H41" s="118">
        <v>864</v>
      </c>
      <c r="I41" s="118" t="s">
        <v>96</v>
      </c>
      <c r="J41" s="118" t="s">
        <v>96</v>
      </c>
      <c r="K41" s="66">
        <v>40</v>
      </c>
      <c r="L41" s="118" t="s">
        <v>96</v>
      </c>
      <c r="M41" s="21" t="s">
        <v>96</v>
      </c>
      <c r="N41" s="118">
        <v>55</v>
      </c>
      <c r="O41" s="118" t="s">
        <v>96</v>
      </c>
      <c r="P41" s="118">
        <v>80</v>
      </c>
      <c r="Q41" s="118">
        <v>9</v>
      </c>
      <c r="R41" s="118" t="s">
        <v>96</v>
      </c>
      <c r="S41" s="118">
        <v>1350</v>
      </c>
      <c r="T41" s="134">
        <v>825</v>
      </c>
      <c r="U41" s="118">
        <v>500</v>
      </c>
      <c r="V41" s="118" t="s">
        <v>96</v>
      </c>
      <c r="W41" s="138" t="s">
        <v>96</v>
      </c>
      <c r="X41" s="21">
        <v>1625</v>
      </c>
      <c r="Y41" s="21" t="s">
        <v>96</v>
      </c>
      <c r="Z41" s="21" t="s">
        <v>96</v>
      </c>
    </row>
    <row r="42" spans="1:26" x14ac:dyDescent="0.2">
      <c r="A42" s="9" t="s">
        <v>30</v>
      </c>
      <c r="B42" s="118">
        <v>1510</v>
      </c>
      <c r="C42" s="118">
        <v>825</v>
      </c>
      <c r="D42" s="118" t="s">
        <v>96</v>
      </c>
      <c r="E42" s="118">
        <v>825</v>
      </c>
      <c r="F42" s="118" t="s">
        <v>96</v>
      </c>
      <c r="G42" s="118" t="s">
        <v>96</v>
      </c>
      <c r="H42" s="118">
        <v>490</v>
      </c>
      <c r="I42" s="118">
        <v>2475</v>
      </c>
      <c r="J42" s="118">
        <v>825</v>
      </c>
      <c r="K42" s="66">
        <v>654</v>
      </c>
      <c r="L42" s="118">
        <v>3950</v>
      </c>
      <c r="M42" s="21">
        <v>7350</v>
      </c>
      <c r="N42" s="118">
        <v>3128</v>
      </c>
      <c r="O42" s="118">
        <v>3440</v>
      </c>
      <c r="P42" s="118">
        <v>4000</v>
      </c>
      <c r="Q42" s="118">
        <v>1125</v>
      </c>
      <c r="R42" s="118">
        <v>3675</v>
      </c>
      <c r="S42" s="118">
        <v>1650</v>
      </c>
      <c r="T42" s="134">
        <v>4425</v>
      </c>
      <c r="U42" s="118">
        <v>7875</v>
      </c>
      <c r="V42" s="118">
        <v>5775</v>
      </c>
      <c r="W42" s="118">
        <v>7550</v>
      </c>
      <c r="X42" s="21">
        <v>10845</v>
      </c>
      <c r="Y42" s="21">
        <v>13960</v>
      </c>
      <c r="Z42" s="21">
        <v>34291</v>
      </c>
    </row>
    <row r="43" spans="1:26" ht="18" x14ac:dyDescent="0.2">
      <c r="A43" s="8" t="s">
        <v>220</v>
      </c>
      <c r="B43" s="120">
        <v>6908</v>
      </c>
      <c r="C43" s="120">
        <v>8381</v>
      </c>
      <c r="D43" s="120">
        <v>2432</v>
      </c>
      <c r="E43" s="120">
        <v>3941</v>
      </c>
      <c r="F43" s="120">
        <v>2537</v>
      </c>
      <c r="G43" s="120">
        <v>2744</v>
      </c>
      <c r="H43" s="120">
        <v>2462</v>
      </c>
      <c r="I43" s="120">
        <v>2513</v>
      </c>
      <c r="J43" s="120">
        <v>4330</v>
      </c>
      <c r="K43" s="120">
        <v>3036</v>
      </c>
      <c r="L43" s="120">
        <v>2816</v>
      </c>
      <c r="M43" s="22">
        <v>2004</v>
      </c>
      <c r="N43" s="120">
        <v>1200</v>
      </c>
      <c r="O43" s="120">
        <v>2200</v>
      </c>
      <c r="P43" s="120">
        <v>1419</v>
      </c>
      <c r="Q43" s="120">
        <v>996</v>
      </c>
      <c r="R43" s="120">
        <v>3725</v>
      </c>
      <c r="S43" s="120">
        <v>4130</v>
      </c>
      <c r="T43" s="133">
        <v>7740</v>
      </c>
      <c r="U43" s="120">
        <v>17500</v>
      </c>
      <c r="V43" s="120">
        <v>10515</v>
      </c>
      <c r="W43" s="120">
        <v>16903</v>
      </c>
      <c r="X43" s="22">
        <v>16168</v>
      </c>
      <c r="Y43" s="22">
        <v>30091</v>
      </c>
      <c r="Z43" s="22">
        <v>24930</v>
      </c>
    </row>
    <row r="44" spans="1:26" x14ac:dyDescent="0.2">
      <c r="A44" s="9" t="s">
        <v>31</v>
      </c>
      <c r="B44" s="118">
        <v>730</v>
      </c>
      <c r="C44" s="118">
        <v>1628</v>
      </c>
      <c r="D44" s="118">
        <v>70</v>
      </c>
      <c r="E44" s="118">
        <v>450</v>
      </c>
      <c r="F44" s="118" t="s">
        <v>96</v>
      </c>
      <c r="G44" s="118">
        <v>610</v>
      </c>
      <c r="H44" s="118" t="s">
        <v>96</v>
      </c>
      <c r="I44" s="118" t="s">
        <v>96</v>
      </c>
      <c r="J44" s="118">
        <v>292</v>
      </c>
      <c r="K44" s="66">
        <v>806</v>
      </c>
      <c r="L44" s="118" t="s">
        <v>96</v>
      </c>
      <c r="M44" s="21" t="s">
        <v>96</v>
      </c>
      <c r="N44" s="118" t="s">
        <v>96</v>
      </c>
      <c r="O44" s="118">
        <v>1325</v>
      </c>
      <c r="P44" s="118">
        <v>360</v>
      </c>
      <c r="Q44" s="118" t="s">
        <v>96</v>
      </c>
      <c r="R44" s="118" t="s">
        <v>96</v>
      </c>
      <c r="S44" s="118">
        <v>990</v>
      </c>
      <c r="T44" s="134">
        <v>100</v>
      </c>
      <c r="U44" s="118">
        <v>1100</v>
      </c>
      <c r="V44" s="118">
        <v>250</v>
      </c>
      <c r="W44" s="118">
        <v>1100</v>
      </c>
      <c r="X44" s="21" t="s">
        <v>96</v>
      </c>
      <c r="Y44" s="21">
        <v>250</v>
      </c>
      <c r="Z44" s="21">
        <v>2450</v>
      </c>
    </row>
    <row r="45" spans="1:26" x14ac:dyDescent="0.2">
      <c r="A45" s="9" t="s">
        <v>32</v>
      </c>
      <c r="B45" s="118" t="s">
        <v>96</v>
      </c>
      <c r="C45" s="118" t="s">
        <v>96</v>
      </c>
      <c r="D45" s="118" t="s">
        <v>96</v>
      </c>
      <c r="E45" s="118" t="s">
        <v>96</v>
      </c>
      <c r="F45" s="118" t="s">
        <v>96</v>
      </c>
      <c r="G45" s="118">
        <v>75</v>
      </c>
      <c r="H45" s="118" t="s">
        <v>96</v>
      </c>
      <c r="I45" s="118" t="s">
        <v>96</v>
      </c>
      <c r="J45" s="118">
        <v>704</v>
      </c>
      <c r="K45" s="66">
        <v>60</v>
      </c>
      <c r="L45" s="118" t="s">
        <v>96</v>
      </c>
      <c r="M45" s="21" t="s">
        <v>96</v>
      </c>
      <c r="N45" s="118" t="s">
        <v>96</v>
      </c>
      <c r="O45" s="118" t="s">
        <v>96</v>
      </c>
      <c r="P45" s="118">
        <v>348</v>
      </c>
      <c r="Q45" s="118">
        <v>104</v>
      </c>
      <c r="R45" s="118" t="s">
        <v>96</v>
      </c>
      <c r="S45" s="118">
        <v>1140</v>
      </c>
      <c r="T45" s="134">
        <v>120</v>
      </c>
      <c r="U45" s="118" t="s">
        <v>96</v>
      </c>
      <c r="V45" s="118" t="s">
        <v>96</v>
      </c>
      <c r="W45" s="118">
        <v>1163</v>
      </c>
      <c r="X45" s="21">
        <v>864</v>
      </c>
      <c r="Y45" s="21">
        <v>225</v>
      </c>
      <c r="Z45" s="21" t="s">
        <v>96</v>
      </c>
    </row>
    <row r="46" spans="1:26" x14ac:dyDescent="0.2">
      <c r="A46" s="9" t="s">
        <v>150</v>
      </c>
      <c r="B46" s="118"/>
      <c r="C46" s="118"/>
      <c r="D46" s="118"/>
      <c r="E46" s="118"/>
      <c r="F46" s="118"/>
      <c r="G46" s="118"/>
      <c r="H46" s="118"/>
      <c r="I46" s="118"/>
      <c r="J46" s="118"/>
      <c r="K46" s="66"/>
      <c r="L46" s="118"/>
      <c r="M46" s="21"/>
      <c r="N46" s="118"/>
      <c r="O46" s="118"/>
      <c r="P46" s="118" t="s">
        <v>96</v>
      </c>
      <c r="Q46" s="118" t="s">
        <v>96</v>
      </c>
      <c r="R46" s="118">
        <v>825</v>
      </c>
      <c r="S46" s="118" t="s">
        <v>96</v>
      </c>
      <c r="T46" s="134" t="s">
        <v>96</v>
      </c>
      <c r="U46" s="118">
        <v>2725</v>
      </c>
      <c r="V46" s="118">
        <v>250</v>
      </c>
      <c r="W46" s="118">
        <v>800</v>
      </c>
      <c r="X46" s="21" t="s">
        <v>96</v>
      </c>
      <c r="Y46" s="21">
        <v>960</v>
      </c>
      <c r="Z46" s="21">
        <v>480</v>
      </c>
    </row>
    <row r="47" spans="1:26" x14ac:dyDescent="0.2">
      <c r="A47" s="9" t="s">
        <v>34</v>
      </c>
      <c r="B47" s="118">
        <v>2096</v>
      </c>
      <c r="C47" s="118">
        <v>2354</v>
      </c>
      <c r="D47" s="118">
        <v>350</v>
      </c>
      <c r="E47" s="118">
        <v>25</v>
      </c>
      <c r="F47" s="118">
        <v>312</v>
      </c>
      <c r="G47" s="118">
        <v>745</v>
      </c>
      <c r="H47" s="118">
        <v>1550</v>
      </c>
      <c r="I47" s="118">
        <v>1488</v>
      </c>
      <c r="J47" s="118">
        <v>1946</v>
      </c>
      <c r="K47" s="66">
        <v>1832</v>
      </c>
      <c r="L47" s="118">
        <v>1628</v>
      </c>
      <c r="M47" s="21">
        <v>1500</v>
      </c>
      <c r="N47" s="118" t="s">
        <v>96</v>
      </c>
      <c r="O47" s="118">
        <v>875</v>
      </c>
      <c r="P47" s="118" t="s">
        <v>96</v>
      </c>
      <c r="Q47" s="118">
        <v>564</v>
      </c>
      <c r="R47" s="118">
        <v>1000</v>
      </c>
      <c r="S47" s="118">
        <v>1400</v>
      </c>
      <c r="T47" s="134">
        <v>5920</v>
      </c>
      <c r="U47" s="118">
        <v>7610</v>
      </c>
      <c r="V47" s="118">
        <v>6750</v>
      </c>
      <c r="W47" s="118">
        <v>8338</v>
      </c>
      <c r="X47" s="21">
        <v>12500</v>
      </c>
      <c r="Y47" s="21">
        <v>16166</v>
      </c>
      <c r="Z47" s="21">
        <v>15876</v>
      </c>
    </row>
    <row r="48" spans="1:26" x14ac:dyDescent="0.2">
      <c r="A48" s="9" t="s">
        <v>35</v>
      </c>
      <c r="B48" s="118">
        <v>1230</v>
      </c>
      <c r="C48" s="118">
        <v>120</v>
      </c>
      <c r="D48" s="118">
        <v>132</v>
      </c>
      <c r="E48" s="118">
        <v>523</v>
      </c>
      <c r="F48" s="118" t="s">
        <v>96</v>
      </c>
      <c r="G48" s="118">
        <v>282</v>
      </c>
      <c r="H48" s="118" t="s">
        <v>96</v>
      </c>
      <c r="I48" s="118">
        <v>200</v>
      </c>
      <c r="J48" s="118">
        <v>400</v>
      </c>
      <c r="K48" s="66">
        <v>198</v>
      </c>
      <c r="L48" s="118">
        <v>864</v>
      </c>
      <c r="M48" s="21">
        <v>504</v>
      </c>
      <c r="N48" s="118" t="s">
        <v>96</v>
      </c>
      <c r="O48" s="118" t="s">
        <v>96</v>
      </c>
      <c r="P48" s="118">
        <v>675</v>
      </c>
      <c r="Q48" s="118" t="s">
        <v>96</v>
      </c>
      <c r="R48" s="118" t="s">
        <v>96</v>
      </c>
      <c r="S48" s="118" t="s">
        <v>96</v>
      </c>
      <c r="T48" s="134" t="s">
        <v>96</v>
      </c>
      <c r="U48" s="118">
        <v>190</v>
      </c>
      <c r="V48" s="118" t="s">
        <v>96</v>
      </c>
      <c r="W48" s="118">
        <v>1220</v>
      </c>
      <c r="X48" s="21" t="s">
        <v>96</v>
      </c>
      <c r="Y48" s="21">
        <v>895</v>
      </c>
      <c r="Z48" s="21">
        <v>1220</v>
      </c>
    </row>
    <row r="49" spans="1:26" x14ac:dyDescent="0.2">
      <c r="A49" s="9" t="s">
        <v>36</v>
      </c>
      <c r="B49" s="118">
        <v>679</v>
      </c>
      <c r="C49" s="118">
        <v>1020</v>
      </c>
      <c r="D49" s="118">
        <v>220</v>
      </c>
      <c r="E49" s="118" t="s">
        <v>96</v>
      </c>
      <c r="F49" s="118">
        <v>976</v>
      </c>
      <c r="G49" s="118" t="s">
        <v>96</v>
      </c>
      <c r="H49" s="118">
        <v>162</v>
      </c>
      <c r="I49" s="118" t="s">
        <v>96</v>
      </c>
      <c r="J49" s="118">
        <v>796</v>
      </c>
      <c r="K49" s="66">
        <v>140</v>
      </c>
      <c r="L49" s="118">
        <v>60</v>
      </c>
      <c r="M49" s="21" t="s">
        <v>96</v>
      </c>
      <c r="N49" s="118">
        <v>650</v>
      </c>
      <c r="O49" s="118" t="s">
        <v>96</v>
      </c>
      <c r="P49" s="118">
        <v>36</v>
      </c>
      <c r="Q49" s="118">
        <v>328</v>
      </c>
      <c r="R49" s="118">
        <v>500</v>
      </c>
      <c r="S49" s="118" t="s">
        <v>96</v>
      </c>
      <c r="T49" s="134">
        <v>1000</v>
      </c>
      <c r="U49" s="118">
        <v>1340</v>
      </c>
      <c r="V49" s="118">
        <v>500</v>
      </c>
      <c r="W49" s="118">
        <v>800</v>
      </c>
      <c r="X49" s="21">
        <v>1000</v>
      </c>
      <c r="Y49" s="21">
        <v>4530</v>
      </c>
      <c r="Z49" s="21">
        <v>2024</v>
      </c>
    </row>
    <row r="50" spans="1:26" x14ac:dyDescent="0.2">
      <c r="A50" s="9" t="s">
        <v>37</v>
      </c>
      <c r="B50" s="118">
        <v>2173</v>
      </c>
      <c r="C50" s="118">
        <v>3259</v>
      </c>
      <c r="D50" s="118">
        <v>1660</v>
      </c>
      <c r="E50" s="118">
        <v>2943</v>
      </c>
      <c r="F50" s="118">
        <v>1249</v>
      </c>
      <c r="G50" s="118">
        <v>1032</v>
      </c>
      <c r="H50" s="118">
        <v>750</v>
      </c>
      <c r="I50" s="118">
        <v>825</v>
      </c>
      <c r="J50" s="118">
        <v>192</v>
      </c>
      <c r="K50" s="118" t="s">
        <v>96</v>
      </c>
      <c r="L50" s="118">
        <v>264</v>
      </c>
      <c r="M50" s="21" t="s">
        <v>96</v>
      </c>
      <c r="N50" s="118">
        <v>550</v>
      </c>
      <c r="O50" s="118" t="s">
        <v>96</v>
      </c>
      <c r="P50" s="118" t="s">
        <v>96</v>
      </c>
      <c r="Q50" s="118" t="s">
        <v>96</v>
      </c>
      <c r="R50" s="118">
        <v>1400</v>
      </c>
      <c r="S50" s="118" t="s">
        <v>96</v>
      </c>
      <c r="T50" s="134">
        <v>600</v>
      </c>
      <c r="U50" s="118">
        <v>3415</v>
      </c>
      <c r="V50" s="118">
        <v>1340</v>
      </c>
      <c r="W50" s="118">
        <v>3482</v>
      </c>
      <c r="X50" s="21">
        <v>1100</v>
      </c>
      <c r="Y50" s="21">
        <v>6825</v>
      </c>
      <c r="Z50" s="21">
        <v>2880</v>
      </c>
    </row>
    <row r="51" spans="1:26" x14ac:dyDescent="0.2">
      <c r="A51" s="9" t="s">
        <v>38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21"/>
      <c r="N51" s="118"/>
      <c r="O51" s="118"/>
      <c r="P51" s="118" t="s">
        <v>96</v>
      </c>
      <c r="Q51" s="118" t="s">
        <v>96</v>
      </c>
      <c r="R51" s="118" t="s">
        <v>96</v>
      </c>
      <c r="S51" s="118">
        <v>600</v>
      </c>
      <c r="T51" s="134" t="s">
        <v>96</v>
      </c>
      <c r="U51" s="118">
        <v>1120</v>
      </c>
      <c r="V51" s="118">
        <v>1425</v>
      </c>
      <c r="W51" s="138" t="s">
        <v>96</v>
      </c>
      <c r="X51" s="21">
        <v>704</v>
      </c>
      <c r="Y51" s="21">
        <v>240</v>
      </c>
      <c r="Z51" s="21" t="s">
        <v>96</v>
      </c>
    </row>
    <row r="52" spans="1:26" ht="18" x14ac:dyDescent="0.2">
      <c r="A52" s="8" t="s">
        <v>89</v>
      </c>
      <c r="B52" s="120">
        <v>9428</v>
      </c>
      <c r="C52" s="120">
        <v>14581</v>
      </c>
      <c r="D52" s="120">
        <v>8354</v>
      </c>
      <c r="E52" s="120">
        <v>7581</v>
      </c>
      <c r="F52" s="120">
        <v>4008</v>
      </c>
      <c r="G52" s="120">
        <v>4748</v>
      </c>
      <c r="H52" s="120">
        <v>3683</v>
      </c>
      <c r="I52" s="120">
        <v>14938</v>
      </c>
      <c r="J52" s="120">
        <v>7101</v>
      </c>
      <c r="K52" s="120">
        <v>19766</v>
      </c>
      <c r="L52" s="120">
        <v>17219</v>
      </c>
      <c r="M52" s="22">
        <v>14570</v>
      </c>
      <c r="N52" s="120">
        <v>9302</v>
      </c>
      <c r="O52" s="120">
        <v>9844</v>
      </c>
      <c r="P52" s="120">
        <v>7278</v>
      </c>
      <c r="Q52" s="120">
        <v>23728</v>
      </c>
      <c r="R52" s="120">
        <v>17167</v>
      </c>
      <c r="S52" s="120">
        <v>19354</v>
      </c>
      <c r="T52" s="133">
        <v>18443</v>
      </c>
      <c r="U52" s="120">
        <v>15940</v>
      </c>
      <c r="V52" s="120">
        <v>13402</v>
      </c>
      <c r="W52" s="120">
        <v>21768</v>
      </c>
      <c r="X52" s="22">
        <v>33420</v>
      </c>
      <c r="Y52" s="22">
        <v>41920</v>
      </c>
      <c r="Z52" s="22">
        <v>31901</v>
      </c>
    </row>
    <row r="53" spans="1:26" x14ac:dyDescent="0.2">
      <c r="A53" s="9" t="s">
        <v>39</v>
      </c>
      <c r="B53" s="118">
        <v>3542</v>
      </c>
      <c r="C53" s="118">
        <v>8000</v>
      </c>
      <c r="D53" s="118">
        <v>4064</v>
      </c>
      <c r="E53" s="118">
        <v>3810</v>
      </c>
      <c r="F53" s="118">
        <v>2376</v>
      </c>
      <c r="G53" s="118">
        <v>2244</v>
      </c>
      <c r="H53" s="118">
        <v>1263</v>
      </c>
      <c r="I53" s="118">
        <v>3818</v>
      </c>
      <c r="J53" s="118">
        <v>4194</v>
      </c>
      <c r="K53" s="118">
        <v>5944</v>
      </c>
      <c r="L53" s="118">
        <v>3082</v>
      </c>
      <c r="M53" s="21">
        <v>2186</v>
      </c>
      <c r="N53" s="118">
        <v>5032</v>
      </c>
      <c r="O53" s="118">
        <v>4236</v>
      </c>
      <c r="P53" s="118">
        <v>930</v>
      </c>
      <c r="Q53" s="118">
        <v>2874</v>
      </c>
      <c r="R53" s="118">
        <v>3488</v>
      </c>
      <c r="S53" s="118">
        <v>7154</v>
      </c>
      <c r="T53" s="134">
        <v>3004</v>
      </c>
      <c r="U53" s="118">
        <v>740</v>
      </c>
      <c r="V53" s="118">
        <v>2360</v>
      </c>
      <c r="W53" s="118">
        <v>1766</v>
      </c>
      <c r="X53" s="21">
        <v>3474</v>
      </c>
      <c r="Y53" s="21">
        <v>6650</v>
      </c>
      <c r="Z53" s="21">
        <v>9584</v>
      </c>
    </row>
    <row r="54" spans="1:26" x14ac:dyDescent="0.2">
      <c r="A54" s="9" t="s">
        <v>99</v>
      </c>
      <c r="B54" s="118">
        <v>714</v>
      </c>
      <c r="C54" s="118">
        <v>2864</v>
      </c>
      <c r="D54" s="118">
        <v>744</v>
      </c>
      <c r="E54" s="118" t="s">
        <v>96</v>
      </c>
      <c r="F54" s="118" t="s">
        <v>96</v>
      </c>
      <c r="G54" s="118">
        <v>704</v>
      </c>
      <c r="H54" s="118" t="s">
        <v>96</v>
      </c>
      <c r="I54" s="118">
        <v>4585</v>
      </c>
      <c r="J54" s="118" t="s">
        <v>96</v>
      </c>
      <c r="K54" s="118">
        <v>1884</v>
      </c>
      <c r="L54" s="118">
        <v>540</v>
      </c>
      <c r="M54" s="21" t="s">
        <v>96</v>
      </c>
      <c r="N54" s="118">
        <v>1244</v>
      </c>
      <c r="O54" s="118">
        <v>2112</v>
      </c>
      <c r="P54" s="118">
        <v>3674</v>
      </c>
      <c r="Q54" s="118">
        <v>1920</v>
      </c>
      <c r="R54" s="118">
        <v>4860</v>
      </c>
      <c r="S54" s="118">
        <v>4012</v>
      </c>
      <c r="T54" s="134">
        <v>3968</v>
      </c>
      <c r="U54" s="118">
        <v>1424</v>
      </c>
      <c r="V54" s="118">
        <v>3670</v>
      </c>
      <c r="W54" s="118">
        <v>720</v>
      </c>
      <c r="X54" s="21">
        <v>7990</v>
      </c>
      <c r="Y54" s="21">
        <v>9406</v>
      </c>
      <c r="Z54" s="21">
        <v>3774</v>
      </c>
    </row>
    <row r="55" spans="1:26" ht="19.5" x14ac:dyDescent="0.2">
      <c r="A55" s="9" t="s">
        <v>41</v>
      </c>
      <c r="B55" s="118">
        <v>2886</v>
      </c>
      <c r="C55" s="118">
        <v>1602</v>
      </c>
      <c r="D55" s="118">
        <v>1860</v>
      </c>
      <c r="E55" s="118">
        <v>955</v>
      </c>
      <c r="F55" s="118">
        <v>336</v>
      </c>
      <c r="G55" s="118" t="s">
        <v>96</v>
      </c>
      <c r="H55" s="118">
        <v>780</v>
      </c>
      <c r="I55" s="118">
        <v>3510</v>
      </c>
      <c r="J55" s="118">
        <v>2161</v>
      </c>
      <c r="K55" s="118">
        <v>1234</v>
      </c>
      <c r="L55" s="118" t="s">
        <v>96</v>
      </c>
      <c r="M55" s="21">
        <v>660</v>
      </c>
      <c r="N55" s="118">
        <v>264</v>
      </c>
      <c r="O55" s="118">
        <v>420</v>
      </c>
      <c r="P55" s="118">
        <v>660</v>
      </c>
      <c r="Q55" s="118">
        <v>750</v>
      </c>
      <c r="R55" s="118">
        <v>320</v>
      </c>
      <c r="S55" s="118">
        <v>320</v>
      </c>
      <c r="T55" s="134">
        <v>921</v>
      </c>
      <c r="U55" s="118">
        <v>1224</v>
      </c>
      <c r="V55" s="118" t="s">
        <v>96</v>
      </c>
      <c r="W55" s="118">
        <v>1190</v>
      </c>
      <c r="X55" s="21">
        <v>1000</v>
      </c>
      <c r="Y55" s="21">
        <v>4824</v>
      </c>
      <c r="Z55" s="21">
        <v>1500</v>
      </c>
    </row>
    <row r="56" spans="1:26" ht="19.5" x14ac:dyDescent="0.2">
      <c r="A56" s="9" t="s">
        <v>154</v>
      </c>
      <c r="B56" s="118" t="s">
        <v>96</v>
      </c>
      <c r="C56" s="118">
        <v>192</v>
      </c>
      <c r="D56" s="118" t="s">
        <v>96</v>
      </c>
      <c r="E56" s="118" t="s">
        <v>96</v>
      </c>
      <c r="F56" s="118" t="s">
        <v>96</v>
      </c>
      <c r="G56" s="118">
        <v>340</v>
      </c>
      <c r="H56" s="118">
        <v>120</v>
      </c>
      <c r="I56" s="118">
        <v>436</v>
      </c>
      <c r="J56" s="118" t="s">
        <v>96</v>
      </c>
      <c r="K56" s="118" t="s">
        <v>96</v>
      </c>
      <c r="L56" s="118">
        <v>190</v>
      </c>
      <c r="M56" s="21" t="s">
        <v>96</v>
      </c>
      <c r="N56" s="118">
        <v>264</v>
      </c>
      <c r="O56" s="118" t="s">
        <v>96</v>
      </c>
      <c r="P56" s="118">
        <v>480</v>
      </c>
      <c r="Q56" s="118">
        <v>2004</v>
      </c>
      <c r="R56" s="118">
        <v>2928</v>
      </c>
      <c r="S56" s="118">
        <v>384</v>
      </c>
      <c r="T56" s="134">
        <v>260</v>
      </c>
      <c r="U56" s="118">
        <v>400</v>
      </c>
      <c r="V56" s="118" t="s">
        <v>96</v>
      </c>
      <c r="W56" s="118">
        <v>400</v>
      </c>
      <c r="X56" s="21">
        <v>245</v>
      </c>
      <c r="Y56" s="21">
        <v>1760</v>
      </c>
      <c r="Z56" s="21">
        <v>1010</v>
      </c>
    </row>
    <row r="57" spans="1:26" ht="19.5" x14ac:dyDescent="0.2">
      <c r="A57" s="9" t="s">
        <v>43</v>
      </c>
      <c r="B57" s="118">
        <v>834</v>
      </c>
      <c r="C57" s="118">
        <v>1827</v>
      </c>
      <c r="D57" s="118">
        <v>522</v>
      </c>
      <c r="E57" s="118">
        <v>390</v>
      </c>
      <c r="F57" s="118">
        <v>500</v>
      </c>
      <c r="G57" s="118">
        <v>1200</v>
      </c>
      <c r="H57" s="118">
        <v>320</v>
      </c>
      <c r="I57" s="118">
        <v>162</v>
      </c>
      <c r="J57" s="118" t="s">
        <v>96</v>
      </c>
      <c r="K57" s="118">
        <v>720</v>
      </c>
      <c r="L57" s="118" t="s">
        <v>96</v>
      </c>
      <c r="M57" s="21" t="s">
        <v>96</v>
      </c>
      <c r="N57" s="118" t="s">
        <v>96</v>
      </c>
      <c r="O57" s="118">
        <v>500</v>
      </c>
      <c r="P57" s="118" t="s">
        <v>96</v>
      </c>
      <c r="Q57" s="118">
        <v>320</v>
      </c>
      <c r="R57" s="118">
        <v>700</v>
      </c>
      <c r="S57" s="118">
        <v>360</v>
      </c>
      <c r="T57" s="134">
        <v>360</v>
      </c>
      <c r="U57" s="118">
        <v>500</v>
      </c>
      <c r="V57" s="118">
        <v>2650</v>
      </c>
      <c r="W57" s="118">
        <v>200</v>
      </c>
      <c r="X57" s="21">
        <v>910</v>
      </c>
      <c r="Y57" s="21">
        <v>1250</v>
      </c>
      <c r="Z57" s="21">
        <v>750</v>
      </c>
    </row>
    <row r="58" spans="1:26" x14ac:dyDescent="0.2">
      <c r="A58" s="9" t="s">
        <v>97</v>
      </c>
      <c r="B58" s="118" t="s">
        <v>96</v>
      </c>
      <c r="C58" s="118" t="s">
        <v>96</v>
      </c>
      <c r="D58" s="118" t="s">
        <v>96</v>
      </c>
      <c r="E58" s="118" t="s">
        <v>96</v>
      </c>
      <c r="F58" s="118" t="s">
        <v>96</v>
      </c>
      <c r="G58" s="118" t="s">
        <v>96</v>
      </c>
      <c r="H58" s="118">
        <v>1200</v>
      </c>
      <c r="I58" s="118" t="s">
        <v>96</v>
      </c>
      <c r="J58" s="118" t="s">
        <v>96</v>
      </c>
      <c r="K58" s="118">
        <v>9204</v>
      </c>
      <c r="L58" s="118">
        <v>12639</v>
      </c>
      <c r="M58" s="21">
        <v>10734</v>
      </c>
      <c r="N58" s="118">
        <v>2124</v>
      </c>
      <c r="O58" s="118">
        <v>560</v>
      </c>
      <c r="P58" s="118">
        <v>1534</v>
      </c>
      <c r="Q58" s="118">
        <v>14870</v>
      </c>
      <c r="R58" s="118">
        <v>3964</v>
      </c>
      <c r="S58" s="118">
        <v>5620</v>
      </c>
      <c r="T58" s="134">
        <v>9430</v>
      </c>
      <c r="U58" s="118">
        <v>8600</v>
      </c>
      <c r="V58" s="118">
        <v>4230</v>
      </c>
      <c r="W58" s="118">
        <v>17492</v>
      </c>
      <c r="X58" s="21">
        <v>17229</v>
      </c>
      <c r="Y58" s="21">
        <v>14964</v>
      </c>
      <c r="Z58" s="21">
        <v>9804</v>
      </c>
    </row>
    <row r="59" spans="1:26" x14ac:dyDescent="0.2">
      <c r="A59" s="9" t="s">
        <v>45</v>
      </c>
      <c r="B59" s="118">
        <v>1452</v>
      </c>
      <c r="C59" s="118">
        <v>96</v>
      </c>
      <c r="D59" s="118">
        <v>1164</v>
      </c>
      <c r="E59" s="118">
        <v>2426</v>
      </c>
      <c r="F59" s="118">
        <v>796</v>
      </c>
      <c r="G59" s="118">
        <v>260</v>
      </c>
      <c r="H59" s="118" t="s">
        <v>96</v>
      </c>
      <c r="I59" s="118">
        <v>2427</v>
      </c>
      <c r="J59" s="118">
        <v>746</v>
      </c>
      <c r="K59" s="118">
        <v>780</v>
      </c>
      <c r="L59" s="118">
        <v>768</v>
      </c>
      <c r="M59" s="21">
        <v>990</v>
      </c>
      <c r="N59" s="118">
        <v>374</v>
      </c>
      <c r="O59" s="118">
        <v>2016</v>
      </c>
      <c r="P59" s="118" t="s">
        <v>96</v>
      </c>
      <c r="Q59" s="118">
        <v>990</v>
      </c>
      <c r="R59" s="118">
        <v>907</v>
      </c>
      <c r="S59" s="118">
        <v>1504</v>
      </c>
      <c r="T59" s="134">
        <v>500</v>
      </c>
      <c r="U59" s="118">
        <v>3052</v>
      </c>
      <c r="V59" s="118">
        <v>492</v>
      </c>
      <c r="W59" s="138" t="s">
        <v>96</v>
      </c>
      <c r="X59" s="21">
        <v>2572</v>
      </c>
      <c r="Y59" s="21">
        <v>3066</v>
      </c>
      <c r="Z59" s="21">
        <v>5479</v>
      </c>
    </row>
    <row r="60" spans="1:26" s="53" customFormat="1" ht="18" x14ac:dyDescent="0.2">
      <c r="A60" s="8" t="s">
        <v>134</v>
      </c>
      <c r="B60" s="120">
        <v>41251</v>
      </c>
      <c r="C60" s="120">
        <v>33785</v>
      </c>
      <c r="D60" s="120">
        <v>21626</v>
      </c>
      <c r="E60" s="120">
        <v>18072</v>
      </c>
      <c r="F60" s="120">
        <v>16780</v>
      </c>
      <c r="G60" s="120">
        <v>17593</v>
      </c>
      <c r="H60" s="120">
        <v>18502</v>
      </c>
      <c r="I60" s="120">
        <v>13204</v>
      </c>
      <c r="J60" s="120">
        <v>12021</v>
      </c>
      <c r="K60" s="65">
        <v>14938</v>
      </c>
      <c r="L60" s="120">
        <v>10029</v>
      </c>
      <c r="M60" s="22">
        <v>5071</v>
      </c>
      <c r="N60" s="120">
        <v>6659</v>
      </c>
      <c r="O60" s="120">
        <v>9838</v>
      </c>
      <c r="P60" s="120">
        <v>5470</v>
      </c>
      <c r="Q60" s="120">
        <v>5653</v>
      </c>
      <c r="R60" s="120">
        <v>14736</v>
      </c>
      <c r="S60" s="120">
        <v>23923</v>
      </c>
      <c r="T60" s="133">
        <v>23527</v>
      </c>
      <c r="U60" s="120">
        <v>27811</v>
      </c>
      <c r="V60" s="120">
        <v>24984</v>
      </c>
      <c r="W60" s="120">
        <v>18817</v>
      </c>
      <c r="X60" s="22">
        <v>29317</v>
      </c>
      <c r="Y60" s="22">
        <v>46490</v>
      </c>
      <c r="Z60" s="22">
        <v>45573</v>
      </c>
    </row>
    <row r="61" spans="1:26" x14ac:dyDescent="0.2">
      <c r="A61" s="9" t="s">
        <v>46</v>
      </c>
      <c r="B61" s="118">
        <v>9679</v>
      </c>
      <c r="C61" s="118">
        <v>8475</v>
      </c>
      <c r="D61" s="118">
        <v>2660</v>
      </c>
      <c r="E61" s="118">
        <v>2496</v>
      </c>
      <c r="F61" s="118">
        <v>3094</v>
      </c>
      <c r="G61" s="118">
        <v>4484</v>
      </c>
      <c r="H61" s="118">
        <v>7363</v>
      </c>
      <c r="I61" s="118">
        <v>2733</v>
      </c>
      <c r="J61" s="118">
        <v>2072</v>
      </c>
      <c r="K61" s="66">
        <v>1255</v>
      </c>
      <c r="L61" s="118">
        <v>3640</v>
      </c>
      <c r="M61" s="21">
        <v>1228</v>
      </c>
      <c r="N61" s="118">
        <v>781</v>
      </c>
      <c r="O61" s="118">
        <v>2028</v>
      </c>
      <c r="P61" s="118">
        <v>395</v>
      </c>
      <c r="Q61" s="118">
        <v>572</v>
      </c>
      <c r="R61" s="118">
        <v>1587</v>
      </c>
      <c r="S61" s="118">
        <v>1875</v>
      </c>
      <c r="T61" s="134">
        <v>2528</v>
      </c>
      <c r="U61" s="118">
        <v>6156</v>
      </c>
      <c r="V61" s="118">
        <v>1345</v>
      </c>
      <c r="W61" s="118">
        <v>1100</v>
      </c>
      <c r="X61" s="21">
        <v>5445</v>
      </c>
      <c r="Y61" s="21">
        <v>3973</v>
      </c>
      <c r="Z61" s="21">
        <v>1345</v>
      </c>
    </row>
    <row r="62" spans="1:26" x14ac:dyDescent="0.2">
      <c r="A62" s="9" t="s">
        <v>47</v>
      </c>
      <c r="B62" s="118">
        <v>1134</v>
      </c>
      <c r="C62" s="118">
        <v>724</v>
      </c>
      <c r="D62" s="118">
        <v>365</v>
      </c>
      <c r="E62" s="118">
        <v>78</v>
      </c>
      <c r="F62" s="118">
        <v>32</v>
      </c>
      <c r="G62" s="118">
        <v>454</v>
      </c>
      <c r="H62" s="118">
        <v>80</v>
      </c>
      <c r="I62" s="118">
        <v>710</v>
      </c>
      <c r="J62" s="118" t="s">
        <v>96</v>
      </c>
      <c r="K62" s="66">
        <v>380</v>
      </c>
      <c r="L62" s="118">
        <v>60</v>
      </c>
      <c r="M62" s="21" t="s">
        <v>96</v>
      </c>
      <c r="N62" s="118">
        <v>478</v>
      </c>
      <c r="O62" s="118">
        <v>316</v>
      </c>
      <c r="P62" s="118">
        <v>180</v>
      </c>
      <c r="Q62" s="118" t="s">
        <v>96</v>
      </c>
      <c r="R62" s="118">
        <v>359</v>
      </c>
      <c r="S62" s="118">
        <v>151</v>
      </c>
      <c r="T62" s="134">
        <v>120</v>
      </c>
      <c r="U62" s="118" t="s">
        <v>96</v>
      </c>
      <c r="V62" s="118">
        <v>1161</v>
      </c>
      <c r="W62" s="118">
        <v>885</v>
      </c>
      <c r="X62" s="21" t="s">
        <v>96</v>
      </c>
      <c r="Y62" s="21" t="s">
        <v>96</v>
      </c>
      <c r="Z62" s="21">
        <v>1825</v>
      </c>
    </row>
    <row r="63" spans="1:26" x14ac:dyDescent="0.2">
      <c r="A63" s="9" t="s">
        <v>48</v>
      </c>
      <c r="B63" s="118">
        <v>1002</v>
      </c>
      <c r="C63" s="118">
        <v>1214</v>
      </c>
      <c r="D63" s="118">
        <v>1143</v>
      </c>
      <c r="E63" s="118">
        <v>1088</v>
      </c>
      <c r="F63" s="118">
        <v>454</v>
      </c>
      <c r="G63" s="118">
        <v>562</v>
      </c>
      <c r="H63" s="118">
        <v>270</v>
      </c>
      <c r="I63" s="118">
        <v>640</v>
      </c>
      <c r="J63" s="118">
        <v>250</v>
      </c>
      <c r="K63" s="66">
        <v>180</v>
      </c>
      <c r="L63" s="118">
        <v>120</v>
      </c>
      <c r="M63" s="21">
        <v>200</v>
      </c>
      <c r="N63" s="118">
        <v>98</v>
      </c>
      <c r="O63" s="118" t="s">
        <v>96</v>
      </c>
      <c r="P63" s="118" t="s">
        <v>96</v>
      </c>
      <c r="Q63" s="118">
        <v>950</v>
      </c>
      <c r="R63" s="118">
        <v>150</v>
      </c>
      <c r="S63" s="118">
        <v>2290</v>
      </c>
      <c r="T63" s="134">
        <v>715</v>
      </c>
      <c r="U63" s="118">
        <v>450</v>
      </c>
      <c r="V63" s="118">
        <v>305</v>
      </c>
      <c r="W63" s="138" t="s">
        <v>96</v>
      </c>
      <c r="X63" s="21" t="s">
        <v>96</v>
      </c>
      <c r="Y63" s="21">
        <v>1450</v>
      </c>
      <c r="Z63" s="21">
        <v>945</v>
      </c>
    </row>
    <row r="64" spans="1:26" x14ac:dyDescent="0.2">
      <c r="A64" s="9" t="s">
        <v>49</v>
      </c>
      <c r="B64" s="118">
        <v>11416</v>
      </c>
      <c r="C64" s="118">
        <v>9946</v>
      </c>
      <c r="D64" s="118">
        <v>5058</v>
      </c>
      <c r="E64" s="118">
        <v>8232</v>
      </c>
      <c r="F64" s="118">
        <v>3918</v>
      </c>
      <c r="G64" s="118">
        <v>3944</v>
      </c>
      <c r="H64" s="118">
        <v>5194</v>
      </c>
      <c r="I64" s="118">
        <v>1704</v>
      </c>
      <c r="J64" s="118">
        <v>3228</v>
      </c>
      <c r="K64" s="66">
        <v>1883</v>
      </c>
      <c r="L64" s="118">
        <v>1871</v>
      </c>
      <c r="M64" s="21">
        <v>1360</v>
      </c>
      <c r="N64" s="118">
        <v>1639</v>
      </c>
      <c r="O64" s="118">
        <v>3104</v>
      </c>
      <c r="P64" s="118">
        <v>2529</v>
      </c>
      <c r="Q64" s="118">
        <v>2570</v>
      </c>
      <c r="R64" s="118">
        <v>2023</v>
      </c>
      <c r="S64" s="118">
        <v>5581</v>
      </c>
      <c r="T64" s="134">
        <v>5885</v>
      </c>
      <c r="U64" s="118">
        <v>6135</v>
      </c>
      <c r="V64" s="118">
        <v>7253</v>
      </c>
      <c r="W64" s="118">
        <v>7442</v>
      </c>
      <c r="X64" s="21">
        <v>7480</v>
      </c>
      <c r="Y64" s="21">
        <v>10139</v>
      </c>
      <c r="Z64" s="21">
        <v>9776</v>
      </c>
    </row>
    <row r="65" spans="1:26" x14ac:dyDescent="0.2">
      <c r="A65" s="9" t="s">
        <v>50</v>
      </c>
      <c r="B65" s="118">
        <v>3323</v>
      </c>
      <c r="C65" s="118">
        <v>2652</v>
      </c>
      <c r="D65" s="118">
        <v>1184</v>
      </c>
      <c r="E65" s="118">
        <v>1370</v>
      </c>
      <c r="F65" s="118">
        <v>1228</v>
      </c>
      <c r="G65" s="118">
        <v>472</v>
      </c>
      <c r="H65" s="118">
        <v>756</v>
      </c>
      <c r="I65" s="118">
        <v>935</v>
      </c>
      <c r="J65" s="118">
        <v>618</v>
      </c>
      <c r="K65" s="66">
        <v>536</v>
      </c>
      <c r="L65" s="118">
        <v>254</v>
      </c>
      <c r="M65" s="21">
        <v>742</v>
      </c>
      <c r="N65" s="118">
        <v>618</v>
      </c>
      <c r="O65" s="118">
        <v>862</v>
      </c>
      <c r="P65" s="118">
        <v>118</v>
      </c>
      <c r="Q65" s="118">
        <v>200</v>
      </c>
      <c r="R65" s="118">
        <v>112</v>
      </c>
      <c r="S65" s="118">
        <v>1650</v>
      </c>
      <c r="T65" s="134">
        <v>1565</v>
      </c>
      <c r="U65" s="118">
        <v>1001</v>
      </c>
      <c r="V65" s="118">
        <v>825</v>
      </c>
      <c r="W65" s="118">
        <v>1044</v>
      </c>
      <c r="X65" s="21">
        <v>2049</v>
      </c>
      <c r="Y65" s="21">
        <v>825</v>
      </c>
      <c r="Z65" s="21">
        <v>2260</v>
      </c>
    </row>
    <row r="66" spans="1:26" x14ac:dyDescent="0.2">
      <c r="A66" s="9" t="s">
        <v>51</v>
      </c>
      <c r="B66" s="118">
        <v>1302</v>
      </c>
      <c r="C66" s="118">
        <v>3017</v>
      </c>
      <c r="D66" s="118">
        <v>3188</v>
      </c>
      <c r="E66" s="118">
        <v>1426</v>
      </c>
      <c r="F66" s="118">
        <v>686</v>
      </c>
      <c r="G66" s="118">
        <v>216</v>
      </c>
      <c r="H66" s="118">
        <v>1387</v>
      </c>
      <c r="I66" s="118">
        <v>1460</v>
      </c>
      <c r="J66" s="118">
        <v>410</v>
      </c>
      <c r="K66" s="66">
        <v>690</v>
      </c>
      <c r="L66" s="118" t="s">
        <v>96</v>
      </c>
      <c r="M66" s="21">
        <v>140</v>
      </c>
      <c r="N66" s="118">
        <v>660</v>
      </c>
      <c r="O66" s="118">
        <v>1060</v>
      </c>
      <c r="P66" s="118" t="s">
        <v>96</v>
      </c>
      <c r="Q66" s="118">
        <v>205</v>
      </c>
      <c r="R66" s="118">
        <v>165</v>
      </c>
      <c r="S66" s="118">
        <v>1100</v>
      </c>
      <c r="T66" s="134">
        <v>1629</v>
      </c>
      <c r="U66" s="118">
        <v>1400</v>
      </c>
      <c r="V66" s="118">
        <v>1765</v>
      </c>
      <c r="W66" s="118">
        <v>228</v>
      </c>
      <c r="X66" s="21" t="s">
        <v>96</v>
      </c>
      <c r="Y66" s="21">
        <v>375</v>
      </c>
      <c r="Z66" s="21">
        <v>3690</v>
      </c>
    </row>
    <row r="67" spans="1:26" x14ac:dyDescent="0.2">
      <c r="A67" s="9" t="s">
        <v>52</v>
      </c>
      <c r="B67" s="118">
        <v>3729</v>
      </c>
      <c r="C67" s="118">
        <v>378</v>
      </c>
      <c r="D67" s="118">
        <v>664</v>
      </c>
      <c r="E67" s="118">
        <v>986</v>
      </c>
      <c r="F67" s="118">
        <v>1264</v>
      </c>
      <c r="G67" s="118">
        <v>1817</v>
      </c>
      <c r="H67" s="118">
        <v>752</v>
      </c>
      <c r="I67" s="118">
        <v>972</v>
      </c>
      <c r="J67" s="118">
        <v>976</v>
      </c>
      <c r="K67" s="66">
        <v>108</v>
      </c>
      <c r="L67" s="118">
        <v>1280</v>
      </c>
      <c r="M67" s="21">
        <v>502</v>
      </c>
      <c r="N67" s="118">
        <v>1160</v>
      </c>
      <c r="O67" s="118">
        <v>224</v>
      </c>
      <c r="P67" s="118">
        <v>140</v>
      </c>
      <c r="Q67" s="118">
        <v>880</v>
      </c>
      <c r="R67" s="118">
        <v>1200</v>
      </c>
      <c r="S67" s="118">
        <v>1625</v>
      </c>
      <c r="T67" s="134">
        <v>2726</v>
      </c>
      <c r="U67" s="118">
        <v>2245</v>
      </c>
      <c r="V67" s="118">
        <v>2275</v>
      </c>
      <c r="W67" s="118">
        <v>3674</v>
      </c>
      <c r="X67" s="21">
        <v>3885</v>
      </c>
      <c r="Y67" s="21">
        <v>6966</v>
      </c>
      <c r="Z67" s="21">
        <v>5615</v>
      </c>
    </row>
    <row r="68" spans="1:26" x14ac:dyDescent="0.2">
      <c r="A68" s="9" t="s">
        <v>53</v>
      </c>
      <c r="B68" s="118">
        <v>568</v>
      </c>
      <c r="C68" s="118">
        <v>252</v>
      </c>
      <c r="D68" s="118">
        <v>1755</v>
      </c>
      <c r="E68" s="118">
        <v>182</v>
      </c>
      <c r="F68" s="118">
        <v>162</v>
      </c>
      <c r="G68" s="118">
        <v>516</v>
      </c>
      <c r="H68" s="118">
        <v>268</v>
      </c>
      <c r="I68" s="118">
        <v>162</v>
      </c>
      <c r="J68" s="118">
        <v>328</v>
      </c>
      <c r="K68" s="66">
        <v>1045</v>
      </c>
      <c r="L68" s="118">
        <v>160</v>
      </c>
      <c r="M68" s="21">
        <v>199</v>
      </c>
      <c r="N68" s="118" t="s">
        <v>96</v>
      </c>
      <c r="O68" s="118" t="s">
        <v>96</v>
      </c>
      <c r="P68" s="118">
        <v>213</v>
      </c>
      <c r="Q68" s="118" t="s">
        <v>96</v>
      </c>
      <c r="R68" s="118">
        <v>1070</v>
      </c>
      <c r="S68" s="118">
        <v>1000</v>
      </c>
      <c r="T68" s="134">
        <v>865</v>
      </c>
      <c r="U68" s="118">
        <v>1000</v>
      </c>
      <c r="V68" s="118" t="s">
        <v>96</v>
      </c>
      <c r="W68" s="138" t="s">
        <v>96</v>
      </c>
      <c r="X68" s="21">
        <v>1000</v>
      </c>
      <c r="Y68" s="21">
        <v>672</v>
      </c>
      <c r="Z68" s="21">
        <v>2600</v>
      </c>
    </row>
    <row r="69" spans="1:26" x14ac:dyDescent="0.2">
      <c r="A69" s="9" t="s">
        <v>54</v>
      </c>
      <c r="B69" s="118">
        <v>1761</v>
      </c>
      <c r="C69" s="118">
        <v>1103</v>
      </c>
      <c r="D69" s="118">
        <v>162</v>
      </c>
      <c r="E69" s="118">
        <v>514</v>
      </c>
      <c r="F69" s="118">
        <v>2399</v>
      </c>
      <c r="G69" s="118">
        <v>1246</v>
      </c>
      <c r="H69" s="118">
        <v>626</v>
      </c>
      <c r="I69" s="118">
        <v>2130</v>
      </c>
      <c r="J69" s="118">
        <v>1394</v>
      </c>
      <c r="K69" s="66">
        <v>2920</v>
      </c>
      <c r="L69" s="118">
        <v>1040</v>
      </c>
      <c r="M69" s="21">
        <v>110</v>
      </c>
      <c r="N69" s="118">
        <v>400</v>
      </c>
      <c r="O69" s="118" t="s">
        <v>96</v>
      </c>
      <c r="P69" s="118">
        <v>500</v>
      </c>
      <c r="Q69" s="118">
        <v>176</v>
      </c>
      <c r="R69" s="118">
        <v>550</v>
      </c>
      <c r="S69" s="118">
        <v>2050</v>
      </c>
      <c r="T69" s="134">
        <v>499</v>
      </c>
      <c r="U69" s="118">
        <v>2700</v>
      </c>
      <c r="V69" s="118">
        <v>2375</v>
      </c>
      <c r="W69" s="118">
        <v>1525</v>
      </c>
      <c r="X69" s="21">
        <v>4100</v>
      </c>
      <c r="Y69" s="21">
        <v>9559</v>
      </c>
      <c r="Z69" s="21">
        <v>10674</v>
      </c>
    </row>
    <row r="70" spans="1:26" x14ac:dyDescent="0.2">
      <c r="A70" s="9" t="s">
        <v>55</v>
      </c>
      <c r="B70" s="118">
        <v>2456</v>
      </c>
      <c r="C70" s="118">
        <v>2575</v>
      </c>
      <c r="D70" s="118">
        <v>1148</v>
      </c>
      <c r="E70" s="118">
        <v>180</v>
      </c>
      <c r="F70" s="118">
        <v>436</v>
      </c>
      <c r="G70" s="118">
        <v>1637</v>
      </c>
      <c r="H70" s="118">
        <v>566</v>
      </c>
      <c r="I70" s="118">
        <v>910</v>
      </c>
      <c r="J70" s="118">
        <v>1744</v>
      </c>
      <c r="K70" s="66">
        <v>625</v>
      </c>
      <c r="L70" s="118">
        <v>980</v>
      </c>
      <c r="M70" s="21">
        <v>75</v>
      </c>
      <c r="N70" s="118" t="s">
        <v>96</v>
      </c>
      <c r="O70" s="118">
        <v>460</v>
      </c>
      <c r="P70" s="118">
        <v>975</v>
      </c>
      <c r="Q70" s="118">
        <v>100</v>
      </c>
      <c r="R70" s="118">
        <v>2233</v>
      </c>
      <c r="S70" s="118">
        <v>2645</v>
      </c>
      <c r="T70" s="134">
        <v>1135</v>
      </c>
      <c r="U70" s="118">
        <v>814</v>
      </c>
      <c r="V70" s="118">
        <v>150</v>
      </c>
      <c r="W70" s="118">
        <v>1399</v>
      </c>
      <c r="X70" s="21">
        <v>1635</v>
      </c>
      <c r="Y70" s="21">
        <v>2270</v>
      </c>
      <c r="Z70" s="21">
        <v>2050</v>
      </c>
    </row>
    <row r="71" spans="1:26" x14ac:dyDescent="0.2">
      <c r="A71" s="9" t="s">
        <v>56</v>
      </c>
      <c r="B71" s="118">
        <v>318</v>
      </c>
      <c r="C71" s="118">
        <v>516</v>
      </c>
      <c r="D71" s="118">
        <v>480</v>
      </c>
      <c r="E71" s="118">
        <v>228</v>
      </c>
      <c r="F71" s="118">
        <v>1346</v>
      </c>
      <c r="G71" s="118" t="s">
        <v>96</v>
      </c>
      <c r="H71" s="118">
        <v>360</v>
      </c>
      <c r="I71" s="118">
        <v>50</v>
      </c>
      <c r="J71" s="118" t="s">
        <v>96</v>
      </c>
      <c r="K71" s="66">
        <v>60</v>
      </c>
      <c r="L71" s="118" t="s">
        <v>96</v>
      </c>
      <c r="M71" s="21">
        <v>275</v>
      </c>
      <c r="N71" s="118" t="s">
        <v>96</v>
      </c>
      <c r="O71" s="118">
        <v>700</v>
      </c>
      <c r="P71" s="118">
        <v>40</v>
      </c>
      <c r="Q71" s="118" t="s">
        <v>96</v>
      </c>
      <c r="R71" s="118">
        <v>1100</v>
      </c>
      <c r="S71" s="118">
        <v>1275</v>
      </c>
      <c r="T71" s="134">
        <v>660</v>
      </c>
      <c r="U71" s="118">
        <v>800</v>
      </c>
      <c r="V71" s="118">
        <v>1100</v>
      </c>
      <c r="W71" s="138" t="s">
        <v>96</v>
      </c>
      <c r="X71" s="21">
        <v>900</v>
      </c>
      <c r="Y71" s="21">
        <v>3885</v>
      </c>
      <c r="Z71" s="21">
        <v>1650</v>
      </c>
    </row>
    <row r="72" spans="1:26" x14ac:dyDescent="0.2">
      <c r="A72" s="9" t="s">
        <v>57</v>
      </c>
      <c r="B72" s="118">
        <v>3248</v>
      </c>
      <c r="C72" s="118">
        <v>1095</v>
      </c>
      <c r="D72" s="118">
        <v>2415</v>
      </c>
      <c r="E72" s="118" t="s">
        <v>96</v>
      </c>
      <c r="F72" s="118">
        <v>1121</v>
      </c>
      <c r="G72" s="118">
        <v>1169</v>
      </c>
      <c r="H72" s="118">
        <v>180</v>
      </c>
      <c r="I72" s="118" t="s">
        <v>96</v>
      </c>
      <c r="J72" s="118">
        <v>180</v>
      </c>
      <c r="K72" s="66">
        <v>3080</v>
      </c>
      <c r="L72" s="118" t="s">
        <v>96</v>
      </c>
      <c r="M72" s="21" t="s">
        <v>96</v>
      </c>
      <c r="N72" s="118" t="s">
        <v>96</v>
      </c>
      <c r="O72" s="118">
        <v>448</v>
      </c>
      <c r="P72" s="118">
        <v>380</v>
      </c>
      <c r="Q72" s="118" t="s">
        <v>96</v>
      </c>
      <c r="R72" s="118">
        <v>3887</v>
      </c>
      <c r="S72" s="118">
        <v>1500</v>
      </c>
      <c r="T72" s="134">
        <v>2000</v>
      </c>
      <c r="U72" s="118">
        <v>2860</v>
      </c>
      <c r="V72" s="118">
        <v>2380</v>
      </c>
      <c r="W72" s="138" t="s">
        <v>96</v>
      </c>
      <c r="X72" s="21">
        <v>850</v>
      </c>
      <c r="Y72" s="21">
        <v>3550</v>
      </c>
      <c r="Z72" s="21">
        <v>1100</v>
      </c>
    </row>
    <row r="73" spans="1:26" x14ac:dyDescent="0.2">
      <c r="A73" s="9" t="s">
        <v>58</v>
      </c>
      <c r="B73" s="118">
        <v>389</v>
      </c>
      <c r="C73" s="118">
        <v>1838</v>
      </c>
      <c r="D73" s="118">
        <v>1404</v>
      </c>
      <c r="E73" s="118">
        <v>1292</v>
      </c>
      <c r="F73" s="118">
        <v>640</v>
      </c>
      <c r="G73" s="118">
        <v>1040</v>
      </c>
      <c r="H73" s="118">
        <v>700</v>
      </c>
      <c r="I73" s="118">
        <v>798</v>
      </c>
      <c r="J73" s="118">
        <v>575</v>
      </c>
      <c r="K73" s="66">
        <v>2176</v>
      </c>
      <c r="L73" s="118">
        <v>624</v>
      </c>
      <c r="M73" s="21">
        <v>96</v>
      </c>
      <c r="N73" s="118">
        <v>825</v>
      </c>
      <c r="O73" s="118">
        <v>412</v>
      </c>
      <c r="P73" s="118" t="s">
        <v>96</v>
      </c>
      <c r="Q73" s="118" t="s">
        <v>96</v>
      </c>
      <c r="R73" s="118" t="s">
        <v>96</v>
      </c>
      <c r="S73" s="118">
        <v>1181</v>
      </c>
      <c r="T73" s="134">
        <v>2200</v>
      </c>
      <c r="U73" s="118">
        <v>150</v>
      </c>
      <c r="V73" s="118">
        <v>3450</v>
      </c>
      <c r="W73" s="118">
        <v>1520</v>
      </c>
      <c r="X73" s="21">
        <v>1973</v>
      </c>
      <c r="Y73" s="21">
        <v>1715</v>
      </c>
      <c r="Z73" s="21">
        <v>1977</v>
      </c>
    </row>
    <row r="74" spans="1:26" x14ac:dyDescent="0.2">
      <c r="A74" s="9" t="s">
        <v>59</v>
      </c>
      <c r="B74" s="118">
        <v>926</v>
      </c>
      <c r="C74" s="118" t="s">
        <v>96</v>
      </c>
      <c r="D74" s="118" t="s">
        <v>96</v>
      </c>
      <c r="E74" s="118" t="s">
        <v>96</v>
      </c>
      <c r="F74" s="118" t="s">
        <v>96</v>
      </c>
      <c r="G74" s="118">
        <v>36</v>
      </c>
      <c r="H74" s="118" t="s">
        <v>96</v>
      </c>
      <c r="I74" s="118" t="s">
        <v>96</v>
      </c>
      <c r="J74" s="118">
        <v>246</v>
      </c>
      <c r="K74" s="118" t="s">
        <v>96</v>
      </c>
      <c r="L74" s="118" t="s">
        <v>96</v>
      </c>
      <c r="M74" s="21">
        <v>144</v>
      </c>
      <c r="N74" s="118" t="s">
        <v>96</v>
      </c>
      <c r="O74" s="118">
        <v>224</v>
      </c>
      <c r="P74" s="118" t="s">
        <v>96</v>
      </c>
      <c r="Q74" s="118" t="s">
        <v>96</v>
      </c>
      <c r="R74" s="118">
        <v>300</v>
      </c>
      <c r="S74" s="118" t="s">
        <v>96</v>
      </c>
      <c r="T74" s="134">
        <v>1000</v>
      </c>
      <c r="U74" s="118">
        <v>2100</v>
      </c>
      <c r="V74" s="118">
        <v>600</v>
      </c>
      <c r="W74" s="138" t="s">
        <v>96</v>
      </c>
      <c r="X74" s="21" t="s">
        <v>96</v>
      </c>
      <c r="Y74" s="21">
        <v>1111</v>
      </c>
      <c r="Z74" s="21">
        <v>66</v>
      </c>
    </row>
    <row r="75" spans="1:26" ht="18" x14ac:dyDescent="0.2">
      <c r="A75" s="8" t="s">
        <v>105</v>
      </c>
      <c r="B75" s="120">
        <v>19032</v>
      </c>
      <c r="C75" s="120">
        <v>12103</v>
      </c>
      <c r="D75" s="120">
        <v>7483</v>
      </c>
      <c r="E75" s="120">
        <v>6559</v>
      </c>
      <c r="F75" s="120">
        <v>6665</v>
      </c>
      <c r="G75" s="120">
        <v>11093</v>
      </c>
      <c r="H75" s="120">
        <v>6778</v>
      </c>
      <c r="I75" s="120">
        <v>9791</v>
      </c>
      <c r="J75" s="120">
        <v>7683</v>
      </c>
      <c r="K75" s="65">
        <v>7340</v>
      </c>
      <c r="L75" s="120">
        <v>4267</v>
      </c>
      <c r="M75" s="22">
        <v>4057</v>
      </c>
      <c r="N75" s="120">
        <v>2020</v>
      </c>
      <c r="O75" s="120">
        <v>8186</v>
      </c>
      <c r="P75" s="120">
        <v>3384</v>
      </c>
      <c r="Q75" s="120">
        <v>3711</v>
      </c>
      <c r="R75" s="120">
        <v>4625</v>
      </c>
      <c r="S75" s="120">
        <v>5554</v>
      </c>
      <c r="T75" s="133">
        <v>6735</v>
      </c>
      <c r="U75" s="120">
        <v>13390</v>
      </c>
      <c r="V75" s="120">
        <v>16490</v>
      </c>
      <c r="W75" s="120">
        <v>10924</v>
      </c>
      <c r="X75" s="22">
        <v>17432</v>
      </c>
      <c r="Y75" s="22">
        <v>18073</v>
      </c>
      <c r="Z75" s="22">
        <v>12446</v>
      </c>
    </row>
    <row r="76" spans="1:26" x14ac:dyDescent="0.2">
      <c r="A76" s="9" t="s">
        <v>60</v>
      </c>
      <c r="B76" s="118">
        <v>40</v>
      </c>
      <c r="C76" s="118">
        <v>294</v>
      </c>
      <c r="D76" s="118">
        <v>328</v>
      </c>
      <c r="E76" s="118">
        <v>236</v>
      </c>
      <c r="F76" s="118" t="s">
        <v>96</v>
      </c>
      <c r="G76" s="118" t="s">
        <v>96</v>
      </c>
      <c r="H76" s="118" t="s">
        <v>96</v>
      </c>
      <c r="I76" s="118" t="s">
        <v>96</v>
      </c>
      <c r="J76" s="118" t="s">
        <v>96</v>
      </c>
      <c r="K76" s="118" t="s">
        <v>96</v>
      </c>
      <c r="L76" s="118">
        <v>515</v>
      </c>
      <c r="M76" s="21" t="s">
        <v>96</v>
      </c>
      <c r="N76" s="118" t="s">
        <v>96</v>
      </c>
      <c r="O76" s="118" t="s">
        <v>96</v>
      </c>
      <c r="P76" s="118">
        <v>80</v>
      </c>
      <c r="Q76" s="118" t="s">
        <v>96</v>
      </c>
      <c r="R76" s="118">
        <v>275</v>
      </c>
      <c r="S76" s="118">
        <v>155</v>
      </c>
      <c r="T76" s="134" t="s">
        <v>96</v>
      </c>
      <c r="U76" s="118">
        <v>160</v>
      </c>
      <c r="V76" s="118">
        <v>1255</v>
      </c>
      <c r="W76" s="118">
        <v>25</v>
      </c>
      <c r="X76" s="21" t="s">
        <v>96</v>
      </c>
      <c r="Y76" s="21" t="s">
        <v>96</v>
      </c>
      <c r="Z76" s="21">
        <v>2800</v>
      </c>
    </row>
    <row r="77" spans="1:26" x14ac:dyDescent="0.2">
      <c r="A77" s="9" t="s">
        <v>61</v>
      </c>
      <c r="B77" s="118">
        <v>2212</v>
      </c>
      <c r="C77" s="118">
        <v>1163</v>
      </c>
      <c r="D77" s="118">
        <v>1734</v>
      </c>
      <c r="E77" s="118">
        <v>768</v>
      </c>
      <c r="F77" s="118">
        <v>750</v>
      </c>
      <c r="G77" s="118">
        <v>743</v>
      </c>
      <c r="H77" s="118">
        <v>960</v>
      </c>
      <c r="I77" s="118">
        <v>2491</v>
      </c>
      <c r="J77" s="118">
        <v>350</v>
      </c>
      <c r="K77" s="66">
        <v>2050</v>
      </c>
      <c r="L77" s="118">
        <v>275</v>
      </c>
      <c r="M77" s="21">
        <v>1474</v>
      </c>
      <c r="N77" s="118">
        <v>860</v>
      </c>
      <c r="O77" s="118">
        <v>1380</v>
      </c>
      <c r="P77" s="118">
        <v>694</v>
      </c>
      <c r="Q77" s="118">
        <v>550</v>
      </c>
      <c r="R77" s="118">
        <v>1550</v>
      </c>
      <c r="S77" s="118">
        <v>1805</v>
      </c>
      <c r="T77" s="134">
        <v>1398</v>
      </c>
      <c r="U77" s="118">
        <v>6300</v>
      </c>
      <c r="V77" s="118">
        <v>7120</v>
      </c>
      <c r="W77" s="118">
        <v>3750</v>
      </c>
      <c r="X77" s="21">
        <v>5430</v>
      </c>
      <c r="Y77" s="21">
        <v>5325</v>
      </c>
      <c r="Z77" s="21">
        <v>5925</v>
      </c>
    </row>
    <row r="78" spans="1:26" x14ac:dyDescent="0.2">
      <c r="A78" s="9" t="s">
        <v>62</v>
      </c>
      <c r="B78" s="118">
        <v>12897</v>
      </c>
      <c r="C78" s="118">
        <v>8986</v>
      </c>
      <c r="D78" s="118">
        <v>4981</v>
      </c>
      <c r="E78" s="118">
        <v>3543</v>
      </c>
      <c r="F78" s="118">
        <v>5520</v>
      </c>
      <c r="G78" s="118">
        <v>7964</v>
      </c>
      <c r="H78" s="118">
        <v>5293</v>
      </c>
      <c r="I78" s="118">
        <v>5930</v>
      </c>
      <c r="J78" s="118">
        <v>4683</v>
      </c>
      <c r="K78" s="66">
        <v>5190</v>
      </c>
      <c r="L78" s="118">
        <v>3477</v>
      </c>
      <c r="M78" s="21">
        <v>1344</v>
      </c>
      <c r="N78" s="118">
        <v>1160</v>
      </c>
      <c r="O78" s="118">
        <v>6806</v>
      </c>
      <c r="P78" s="118">
        <v>1610</v>
      </c>
      <c r="Q78" s="118">
        <v>3161</v>
      </c>
      <c r="R78" s="118">
        <v>1800</v>
      </c>
      <c r="S78" s="118">
        <v>2419</v>
      </c>
      <c r="T78" s="134">
        <v>2912</v>
      </c>
      <c r="U78" s="118">
        <v>4695</v>
      </c>
      <c r="V78" s="118">
        <v>5129</v>
      </c>
      <c r="W78" s="118">
        <v>6049</v>
      </c>
      <c r="X78" s="21">
        <v>7767</v>
      </c>
      <c r="Y78" s="21">
        <v>11398</v>
      </c>
      <c r="Z78" s="21">
        <v>3721</v>
      </c>
    </row>
    <row r="79" spans="1:26" x14ac:dyDescent="0.2">
      <c r="A79" s="4" t="s">
        <v>63</v>
      </c>
      <c r="B79" s="118"/>
      <c r="C79" s="118"/>
      <c r="D79" s="118"/>
      <c r="E79" s="118"/>
      <c r="F79" s="118"/>
      <c r="G79" s="120"/>
      <c r="H79" s="118"/>
      <c r="I79" s="118"/>
      <c r="J79" s="118"/>
      <c r="K79" s="118"/>
      <c r="L79" s="120"/>
      <c r="M79" s="21"/>
      <c r="N79" s="120"/>
      <c r="O79" s="120"/>
      <c r="P79" s="120"/>
      <c r="Q79" s="120"/>
      <c r="R79" s="120"/>
      <c r="S79" s="118"/>
      <c r="T79" s="134"/>
      <c r="U79" s="118"/>
      <c r="V79" s="118"/>
      <c r="W79" s="118"/>
      <c r="X79" s="21"/>
      <c r="Y79" s="21"/>
      <c r="Z79" s="21"/>
    </row>
    <row r="80" spans="1:26" ht="21.75" customHeight="1" x14ac:dyDescent="0.2">
      <c r="A80" s="14" t="s">
        <v>88</v>
      </c>
      <c r="B80" s="118">
        <v>6808</v>
      </c>
      <c r="C80" s="118">
        <v>5414</v>
      </c>
      <c r="D80" s="118">
        <v>1112</v>
      </c>
      <c r="E80" s="118">
        <v>2415</v>
      </c>
      <c r="F80" s="118">
        <v>3639</v>
      </c>
      <c r="G80" s="118">
        <v>3565</v>
      </c>
      <c r="H80" s="118">
        <v>2245</v>
      </c>
      <c r="I80" s="118">
        <v>1825</v>
      </c>
      <c r="J80" s="118">
        <v>1273</v>
      </c>
      <c r="K80" s="66">
        <v>1800</v>
      </c>
      <c r="L80" s="118">
        <v>1200</v>
      </c>
      <c r="M80" s="21">
        <v>640</v>
      </c>
      <c r="N80" s="118">
        <v>200</v>
      </c>
      <c r="O80" s="118">
        <v>2325</v>
      </c>
      <c r="P80" s="118">
        <v>1140</v>
      </c>
      <c r="Q80" s="118">
        <v>1841</v>
      </c>
      <c r="R80" s="118">
        <v>1072</v>
      </c>
      <c r="S80" s="118">
        <v>787</v>
      </c>
      <c r="T80" s="134">
        <v>610</v>
      </c>
      <c r="U80" s="118">
        <v>850</v>
      </c>
      <c r="V80" s="118">
        <v>2155</v>
      </c>
      <c r="W80" s="118">
        <v>2400</v>
      </c>
      <c r="X80" s="21">
        <v>3906</v>
      </c>
      <c r="Y80" s="21">
        <v>2625</v>
      </c>
      <c r="Z80" s="21">
        <v>1825</v>
      </c>
    </row>
    <row r="81" spans="1:26" ht="19.5" x14ac:dyDescent="0.2">
      <c r="A81" s="14" t="s">
        <v>64</v>
      </c>
      <c r="B81" s="118">
        <v>4634</v>
      </c>
      <c r="C81" s="118">
        <v>1593</v>
      </c>
      <c r="D81" s="118">
        <v>1355</v>
      </c>
      <c r="E81" s="118">
        <v>155</v>
      </c>
      <c r="F81" s="118">
        <v>1455</v>
      </c>
      <c r="G81" s="118">
        <v>2870</v>
      </c>
      <c r="H81" s="118">
        <v>1110</v>
      </c>
      <c r="I81" s="118">
        <v>1395</v>
      </c>
      <c r="J81" s="118">
        <v>1885</v>
      </c>
      <c r="K81" s="66">
        <v>3330</v>
      </c>
      <c r="L81" s="118">
        <v>1280</v>
      </c>
      <c r="M81" s="21" t="s">
        <v>96</v>
      </c>
      <c r="N81" s="118">
        <v>960</v>
      </c>
      <c r="O81" s="118">
        <v>1300</v>
      </c>
      <c r="P81" s="118">
        <v>350</v>
      </c>
      <c r="Q81" s="118">
        <v>220</v>
      </c>
      <c r="R81" s="118">
        <v>728</v>
      </c>
      <c r="S81" s="118" t="s">
        <v>96</v>
      </c>
      <c r="T81" s="134">
        <v>720</v>
      </c>
      <c r="U81" s="118">
        <v>545</v>
      </c>
      <c r="V81" s="118">
        <v>840</v>
      </c>
      <c r="W81" s="118">
        <v>800</v>
      </c>
      <c r="X81" s="21">
        <v>1040</v>
      </c>
      <c r="Y81" s="21">
        <v>4250</v>
      </c>
      <c r="Z81" s="21">
        <v>675</v>
      </c>
    </row>
    <row r="82" spans="1:26" ht="19.5" x14ac:dyDescent="0.2">
      <c r="A82" s="14" t="s">
        <v>153</v>
      </c>
      <c r="B82" s="118">
        <v>1455</v>
      </c>
      <c r="C82" s="118">
        <v>1979</v>
      </c>
      <c r="D82" s="118">
        <v>2514</v>
      </c>
      <c r="E82" s="118">
        <v>973</v>
      </c>
      <c r="F82" s="118">
        <v>426</v>
      </c>
      <c r="G82" s="118">
        <v>1529</v>
      </c>
      <c r="H82" s="118">
        <v>1938</v>
      </c>
      <c r="I82" s="118">
        <v>2710</v>
      </c>
      <c r="J82" s="118">
        <v>1525</v>
      </c>
      <c r="K82" s="118">
        <v>60</v>
      </c>
      <c r="L82" s="118">
        <v>997</v>
      </c>
      <c r="M82" s="21">
        <v>704</v>
      </c>
      <c r="N82" s="118" t="s">
        <v>96</v>
      </c>
      <c r="O82" s="118">
        <v>3181</v>
      </c>
      <c r="P82" s="118">
        <v>120</v>
      </c>
      <c r="Q82" s="118">
        <v>1100</v>
      </c>
      <c r="R82" s="118" t="s">
        <v>96</v>
      </c>
      <c r="S82" s="118">
        <v>1632</v>
      </c>
      <c r="T82" s="134">
        <v>1582</v>
      </c>
      <c r="U82" s="118">
        <v>3300</v>
      </c>
      <c r="V82" s="118">
        <v>2134</v>
      </c>
      <c r="W82" s="118">
        <v>2849</v>
      </c>
      <c r="X82" s="21">
        <v>2821</v>
      </c>
      <c r="Y82" s="21">
        <v>4523</v>
      </c>
      <c r="Z82" s="21">
        <v>1221</v>
      </c>
    </row>
    <row r="83" spans="1:26" x14ac:dyDescent="0.2">
      <c r="A83" s="9" t="s">
        <v>65</v>
      </c>
      <c r="B83" s="118">
        <v>3883</v>
      </c>
      <c r="C83" s="118">
        <v>1660</v>
      </c>
      <c r="D83" s="118">
        <v>440</v>
      </c>
      <c r="E83" s="118">
        <v>2012</v>
      </c>
      <c r="F83" s="118">
        <v>395</v>
      </c>
      <c r="G83" s="118">
        <v>2386</v>
      </c>
      <c r="H83" s="118">
        <v>525</v>
      </c>
      <c r="I83" s="118">
        <v>1370</v>
      </c>
      <c r="J83" s="118">
        <v>2650</v>
      </c>
      <c r="K83" s="66">
        <v>100</v>
      </c>
      <c r="L83" s="118" t="s">
        <v>96</v>
      </c>
      <c r="M83" s="21">
        <v>1239</v>
      </c>
      <c r="N83" s="118" t="s">
        <v>96</v>
      </c>
      <c r="O83" s="118" t="s">
        <v>96</v>
      </c>
      <c r="P83" s="118">
        <v>1000</v>
      </c>
      <c r="Q83" s="118" t="s">
        <v>96</v>
      </c>
      <c r="R83" s="118">
        <v>1000</v>
      </c>
      <c r="S83" s="118">
        <v>1175</v>
      </c>
      <c r="T83" s="134">
        <v>2425</v>
      </c>
      <c r="U83" s="118">
        <v>2235</v>
      </c>
      <c r="V83" s="118">
        <v>2986</v>
      </c>
      <c r="W83" s="118">
        <v>1100</v>
      </c>
      <c r="X83" s="21">
        <v>4235</v>
      </c>
      <c r="Y83" s="21">
        <v>1350</v>
      </c>
      <c r="Z83" s="21" t="s">
        <v>96</v>
      </c>
    </row>
    <row r="84" spans="1:26" ht="18.75" customHeight="1" x14ac:dyDescent="0.2">
      <c r="A84" s="8" t="s">
        <v>112</v>
      </c>
      <c r="B84" s="120">
        <v>16743</v>
      </c>
      <c r="C84" s="120">
        <v>10797</v>
      </c>
      <c r="D84" s="120">
        <v>10177</v>
      </c>
      <c r="E84" s="120">
        <v>11468</v>
      </c>
      <c r="F84" s="120">
        <v>5421</v>
      </c>
      <c r="G84" s="120">
        <v>9794</v>
      </c>
      <c r="H84" s="120">
        <v>5056</v>
      </c>
      <c r="I84" s="120">
        <v>5964</v>
      </c>
      <c r="J84" s="120">
        <v>6819</v>
      </c>
      <c r="K84" s="65">
        <v>4080</v>
      </c>
      <c r="L84" s="120">
        <v>5689</v>
      </c>
      <c r="M84" s="22">
        <v>7255</v>
      </c>
      <c r="N84" s="120">
        <v>3284</v>
      </c>
      <c r="O84" s="120">
        <v>7018</v>
      </c>
      <c r="P84" s="120">
        <v>4364</v>
      </c>
      <c r="Q84" s="120">
        <v>3842</v>
      </c>
      <c r="R84" s="120">
        <v>5694</v>
      </c>
      <c r="S84" s="120">
        <v>10821</v>
      </c>
      <c r="T84" s="133">
        <v>9306</v>
      </c>
      <c r="U84" s="120">
        <v>17315</v>
      </c>
      <c r="V84" s="120">
        <v>17880</v>
      </c>
      <c r="W84" s="120">
        <v>9084</v>
      </c>
      <c r="X84" s="22">
        <v>15286</v>
      </c>
      <c r="Y84" s="22">
        <v>12385</v>
      </c>
      <c r="Z84" s="22">
        <v>15734</v>
      </c>
    </row>
    <row r="85" spans="1:26" x14ac:dyDescent="0.2">
      <c r="A85" s="9" t="s">
        <v>66</v>
      </c>
      <c r="B85" s="118">
        <v>920</v>
      </c>
      <c r="C85" s="118">
        <v>427</v>
      </c>
      <c r="D85" s="118">
        <v>927</v>
      </c>
      <c r="E85" s="118">
        <v>314</v>
      </c>
      <c r="F85" s="118">
        <v>70</v>
      </c>
      <c r="G85" s="118">
        <v>504</v>
      </c>
      <c r="H85" s="118">
        <v>1134</v>
      </c>
      <c r="I85" s="118">
        <v>645</v>
      </c>
      <c r="J85" s="118">
        <v>312</v>
      </c>
      <c r="K85" s="118" t="s">
        <v>96</v>
      </c>
      <c r="L85" s="118">
        <v>1871</v>
      </c>
      <c r="M85" s="21">
        <v>400</v>
      </c>
      <c r="N85" s="118" t="s">
        <v>96</v>
      </c>
      <c r="O85" s="118">
        <v>100</v>
      </c>
      <c r="P85" s="118">
        <v>119</v>
      </c>
      <c r="Q85" s="118" t="s">
        <v>96</v>
      </c>
      <c r="R85" s="118">
        <v>216</v>
      </c>
      <c r="S85" s="118" t="s">
        <v>96</v>
      </c>
      <c r="T85" s="134">
        <v>640</v>
      </c>
      <c r="U85" s="118">
        <v>155</v>
      </c>
      <c r="V85" s="118">
        <v>138</v>
      </c>
      <c r="W85" s="118">
        <v>535</v>
      </c>
      <c r="X85" s="21" t="s">
        <v>96</v>
      </c>
      <c r="Y85" s="21">
        <v>275</v>
      </c>
      <c r="Z85" s="21">
        <v>750</v>
      </c>
    </row>
    <row r="86" spans="1:26" x14ac:dyDescent="0.2">
      <c r="A86" s="9" t="s">
        <v>68</v>
      </c>
      <c r="B86" s="118">
        <v>350</v>
      </c>
      <c r="C86" s="118">
        <v>1988</v>
      </c>
      <c r="D86" s="118">
        <v>1630</v>
      </c>
      <c r="E86" s="118">
        <v>1476</v>
      </c>
      <c r="F86" s="118" t="s">
        <v>96</v>
      </c>
      <c r="G86" s="118">
        <v>666</v>
      </c>
      <c r="H86" s="118" t="s">
        <v>96</v>
      </c>
      <c r="I86" s="118">
        <v>460</v>
      </c>
      <c r="J86" s="118">
        <v>834</v>
      </c>
      <c r="K86" s="118" t="s">
        <v>96</v>
      </c>
      <c r="L86" s="118" t="s">
        <v>96</v>
      </c>
      <c r="M86" s="21" t="s">
        <v>96</v>
      </c>
      <c r="N86" s="118" t="s">
        <v>96</v>
      </c>
      <c r="O86" s="118">
        <v>361</v>
      </c>
      <c r="P86" s="118" t="s">
        <v>96</v>
      </c>
      <c r="Q86" s="118" t="s">
        <v>96</v>
      </c>
      <c r="R86" s="118" t="s">
        <v>96</v>
      </c>
      <c r="S86" s="118">
        <v>825</v>
      </c>
      <c r="T86" s="134" t="s">
        <v>96</v>
      </c>
      <c r="U86" s="118">
        <v>1326</v>
      </c>
      <c r="V86" s="118">
        <v>176</v>
      </c>
      <c r="W86" s="118">
        <v>825</v>
      </c>
      <c r="X86" s="21" t="s">
        <v>96</v>
      </c>
      <c r="Y86" s="21">
        <v>1650</v>
      </c>
      <c r="Z86" s="21">
        <v>3916</v>
      </c>
    </row>
    <row r="87" spans="1:26" x14ac:dyDescent="0.2">
      <c r="A87" s="9" t="s">
        <v>69</v>
      </c>
      <c r="B87" s="118">
        <v>233</v>
      </c>
      <c r="C87" s="118" t="s">
        <v>96</v>
      </c>
      <c r="D87" s="118">
        <v>663</v>
      </c>
      <c r="E87" s="118" t="s">
        <v>96</v>
      </c>
      <c r="F87" s="118">
        <v>1335</v>
      </c>
      <c r="G87" s="118">
        <v>539</v>
      </c>
      <c r="H87" s="118" t="s">
        <v>96</v>
      </c>
      <c r="I87" s="118">
        <v>237</v>
      </c>
      <c r="J87" s="118">
        <v>50</v>
      </c>
      <c r="K87" s="118" t="s">
        <v>96</v>
      </c>
      <c r="L87" s="118" t="s">
        <v>96</v>
      </c>
      <c r="M87" s="21">
        <v>160</v>
      </c>
      <c r="N87" s="118">
        <v>110</v>
      </c>
      <c r="O87" s="118">
        <v>260</v>
      </c>
      <c r="P87" s="118" t="s">
        <v>96</v>
      </c>
      <c r="Q87" s="118" t="s">
        <v>96</v>
      </c>
      <c r="R87" s="118">
        <v>435</v>
      </c>
      <c r="S87" s="118" t="s">
        <v>96</v>
      </c>
      <c r="T87" s="134">
        <v>170</v>
      </c>
      <c r="U87" s="118">
        <v>70</v>
      </c>
      <c r="V87" s="118">
        <v>2020</v>
      </c>
      <c r="W87" s="118">
        <v>500</v>
      </c>
      <c r="X87" s="21">
        <v>500</v>
      </c>
      <c r="Y87" s="21" t="s">
        <v>96</v>
      </c>
      <c r="Z87" s="21">
        <v>1020</v>
      </c>
    </row>
    <row r="88" spans="1:26" x14ac:dyDescent="0.2">
      <c r="A88" s="9" t="s">
        <v>70</v>
      </c>
      <c r="B88" s="118">
        <v>3101</v>
      </c>
      <c r="C88" s="118">
        <v>2304</v>
      </c>
      <c r="D88" s="118">
        <v>1555</v>
      </c>
      <c r="E88" s="118">
        <v>1445</v>
      </c>
      <c r="F88" s="118">
        <v>204</v>
      </c>
      <c r="G88" s="118">
        <v>1910</v>
      </c>
      <c r="H88" s="118">
        <v>798</v>
      </c>
      <c r="I88" s="118">
        <v>2434</v>
      </c>
      <c r="J88" s="118">
        <v>834</v>
      </c>
      <c r="K88" s="66">
        <v>753</v>
      </c>
      <c r="L88" s="118">
        <v>552</v>
      </c>
      <c r="M88" s="21">
        <v>471</v>
      </c>
      <c r="N88" s="118">
        <v>865</v>
      </c>
      <c r="O88" s="118">
        <v>519</v>
      </c>
      <c r="P88" s="118">
        <v>716</v>
      </c>
      <c r="Q88" s="118">
        <v>140</v>
      </c>
      <c r="R88" s="118">
        <v>682</v>
      </c>
      <c r="S88" s="118">
        <v>842</v>
      </c>
      <c r="T88" s="134">
        <v>950</v>
      </c>
      <c r="U88" s="118">
        <v>952</v>
      </c>
      <c r="V88" s="118">
        <v>990</v>
      </c>
      <c r="W88" s="138" t="s">
        <v>96</v>
      </c>
      <c r="X88" s="21">
        <v>790</v>
      </c>
      <c r="Y88" s="21">
        <v>1500</v>
      </c>
      <c r="Z88" s="21">
        <v>910</v>
      </c>
    </row>
    <row r="89" spans="1:26" x14ac:dyDescent="0.2">
      <c r="A89" s="9" t="s">
        <v>72</v>
      </c>
      <c r="B89" s="118">
        <v>3441</v>
      </c>
      <c r="C89" s="118">
        <v>972</v>
      </c>
      <c r="D89" s="118">
        <v>572</v>
      </c>
      <c r="E89" s="118">
        <v>1614</v>
      </c>
      <c r="F89" s="118">
        <v>52</v>
      </c>
      <c r="G89" s="118">
        <v>2400</v>
      </c>
      <c r="H89" s="118">
        <v>2352</v>
      </c>
      <c r="I89" s="118">
        <v>180</v>
      </c>
      <c r="J89" s="118">
        <v>1873</v>
      </c>
      <c r="K89" s="66">
        <v>595</v>
      </c>
      <c r="L89" s="118">
        <v>875</v>
      </c>
      <c r="M89" s="21">
        <v>2714</v>
      </c>
      <c r="N89" s="118">
        <v>460</v>
      </c>
      <c r="O89" s="118">
        <v>2164</v>
      </c>
      <c r="P89" s="118">
        <v>824</v>
      </c>
      <c r="Q89" s="118">
        <v>1730</v>
      </c>
      <c r="R89" s="118">
        <v>181</v>
      </c>
      <c r="S89" s="118">
        <v>1500</v>
      </c>
      <c r="T89" s="134">
        <v>280</v>
      </c>
      <c r="U89" s="118">
        <v>4605</v>
      </c>
      <c r="V89" s="118">
        <v>1882</v>
      </c>
      <c r="W89" s="118">
        <v>581</v>
      </c>
      <c r="X89" s="21">
        <v>3420</v>
      </c>
      <c r="Y89" s="21">
        <v>1165</v>
      </c>
      <c r="Z89" s="21">
        <v>4096</v>
      </c>
    </row>
    <row r="90" spans="1:26" x14ac:dyDescent="0.2">
      <c r="A90" s="9" t="s">
        <v>73</v>
      </c>
      <c r="B90" s="118">
        <v>3420</v>
      </c>
      <c r="C90" s="118">
        <v>1712</v>
      </c>
      <c r="D90" s="118">
        <v>2595</v>
      </c>
      <c r="E90" s="118">
        <v>742</v>
      </c>
      <c r="F90" s="118">
        <v>1192</v>
      </c>
      <c r="G90" s="118">
        <v>974</v>
      </c>
      <c r="H90" s="118">
        <v>72</v>
      </c>
      <c r="I90" s="118">
        <v>312</v>
      </c>
      <c r="J90" s="118">
        <v>430</v>
      </c>
      <c r="K90" s="66">
        <v>20</v>
      </c>
      <c r="L90" s="118">
        <v>452</v>
      </c>
      <c r="M90" s="21">
        <v>630</v>
      </c>
      <c r="N90" s="118">
        <v>1055</v>
      </c>
      <c r="O90" s="118">
        <v>732</v>
      </c>
      <c r="P90" s="118">
        <v>180</v>
      </c>
      <c r="Q90" s="118" t="s">
        <v>96</v>
      </c>
      <c r="R90" s="118">
        <v>870</v>
      </c>
      <c r="S90" s="118">
        <v>3150</v>
      </c>
      <c r="T90" s="134">
        <v>2349</v>
      </c>
      <c r="U90" s="118">
        <v>2012</v>
      </c>
      <c r="V90" s="118">
        <v>4698</v>
      </c>
      <c r="W90" s="118">
        <v>725</v>
      </c>
      <c r="X90" s="21">
        <v>4419</v>
      </c>
      <c r="Y90" s="21">
        <v>1357</v>
      </c>
      <c r="Z90" s="21">
        <v>1270</v>
      </c>
    </row>
    <row r="91" spans="1:26" x14ac:dyDescent="0.2">
      <c r="A91" s="9" t="s">
        <v>74</v>
      </c>
      <c r="B91" s="118">
        <v>1140</v>
      </c>
      <c r="C91" s="118">
        <v>1163</v>
      </c>
      <c r="D91" s="118">
        <v>666</v>
      </c>
      <c r="E91" s="118">
        <v>1575</v>
      </c>
      <c r="F91" s="118">
        <v>855</v>
      </c>
      <c r="G91" s="118">
        <v>414</v>
      </c>
      <c r="H91" s="118" t="s">
        <v>96</v>
      </c>
      <c r="I91" s="118">
        <v>185</v>
      </c>
      <c r="J91" s="118">
        <v>998</v>
      </c>
      <c r="K91" s="66">
        <v>457</v>
      </c>
      <c r="L91" s="118">
        <v>480</v>
      </c>
      <c r="M91" s="21">
        <v>1650</v>
      </c>
      <c r="N91" s="118">
        <v>120</v>
      </c>
      <c r="O91" s="118">
        <v>550</v>
      </c>
      <c r="P91" s="118" t="s">
        <v>96</v>
      </c>
      <c r="Q91" s="118">
        <v>850</v>
      </c>
      <c r="R91" s="118">
        <v>1050</v>
      </c>
      <c r="S91" s="118">
        <v>1508</v>
      </c>
      <c r="T91" s="134">
        <v>1050</v>
      </c>
      <c r="U91" s="118">
        <v>1005</v>
      </c>
      <c r="V91" s="118">
        <v>1875</v>
      </c>
      <c r="W91" s="118">
        <v>1458</v>
      </c>
      <c r="X91" s="21">
        <v>3825</v>
      </c>
      <c r="Y91" s="21">
        <v>362</v>
      </c>
      <c r="Z91" s="21" t="s">
        <v>96</v>
      </c>
    </row>
    <row r="92" spans="1:26" x14ac:dyDescent="0.2">
      <c r="A92" s="9" t="s">
        <v>75</v>
      </c>
      <c r="B92" s="118">
        <v>1448</v>
      </c>
      <c r="C92" s="118">
        <v>1731</v>
      </c>
      <c r="D92" s="118">
        <v>1165</v>
      </c>
      <c r="E92" s="118">
        <v>2110</v>
      </c>
      <c r="F92" s="118">
        <v>1259</v>
      </c>
      <c r="G92" s="118">
        <v>340</v>
      </c>
      <c r="H92" s="118">
        <v>165</v>
      </c>
      <c r="I92" s="118">
        <v>675</v>
      </c>
      <c r="J92" s="118">
        <v>151</v>
      </c>
      <c r="K92" s="66">
        <v>2052</v>
      </c>
      <c r="L92" s="118">
        <v>740</v>
      </c>
      <c r="M92" s="21">
        <v>450</v>
      </c>
      <c r="N92" s="118">
        <v>512</v>
      </c>
      <c r="O92" s="118">
        <v>2079</v>
      </c>
      <c r="P92" s="118">
        <v>1135</v>
      </c>
      <c r="Q92" s="118">
        <v>452</v>
      </c>
      <c r="R92" s="118">
        <v>550</v>
      </c>
      <c r="S92" s="118">
        <v>1796</v>
      </c>
      <c r="T92" s="134">
        <v>2767</v>
      </c>
      <c r="U92" s="118">
        <v>4726</v>
      </c>
      <c r="V92" s="118">
        <v>4925</v>
      </c>
      <c r="W92" s="118">
        <v>3270</v>
      </c>
      <c r="X92" s="21">
        <v>2332</v>
      </c>
      <c r="Y92" s="21">
        <v>3054</v>
      </c>
      <c r="Z92" s="21">
        <v>2100</v>
      </c>
    </row>
    <row r="93" spans="1:26" x14ac:dyDescent="0.2">
      <c r="A93" s="9" t="s">
        <v>76</v>
      </c>
      <c r="B93" s="118">
        <v>462</v>
      </c>
      <c r="C93" s="118">
        <v>500</v>
      </c>
      <c r="D93" s="118">
        <v>404</v>
      </c>
      <c r="E93" s="118">
        <v>190</v>
      </c>
      <c r="F93" s="118">
        <v>234</v>
      </c>
      <c r="G93" s="118">
        <v>1847</v>
      </c>
      <c r="H93" s="118" t="s">
        <v>96</v>
      </c>
      <c r="I93" s="118">
        <v>836</v>
      </c>
      <c r="J93" s="118">
        <v>812</v>
      </c>
      <c r="K93" s="66">
        <v>58</v>
      </c>
      <c r="L93" s="118">
        <v>440</v>
      </c>
      <c r="M93" s="21">
        <v>680</v>
      </c>
      <c r="N93" s="118">
        <v>62</v>
      </c>
      <c r="O93" s="118">
        <v>46</v>
      </c>
      <c r="P93" s="118">
        <v>550</v>
      </c>
      <c r="Q93" s="118">
        <v>670</v>
      </c>
      <c r="R93" s="118">
        <v>550</v>
      </c>
      <c r="S93" s="118" t="s">
        <v>96</v>
      </c>
      <c r="T93" s="134" t="s">
        <v>96</v>
      </c>
      <c r="U93" s="118">
        <v>264</v>
      </c>
      <c r="V93" s="118">
        <v>1122</v>
      </c>
      <c r="W93" s="118">
        <v>90</v>
      </c>
      <c r="X93" s="21" t="s">
        <v>96</v>
      </c>
      <c r="Y93" s="21">
        <v>1922</v>
      </c>
      <c r="Z93" s="21">
        <v>1672</v>
      </c>
    </row>
    <row r="94" spans="1:26" x14ac:dyDescent="0.2">
      <c r="A94" s="9" t="s">
        <v>77</v>
      </c>
      <c r="B94" s="118">
        <v>2228</v>
      </c>
      <c r="C94" s="118" t="s">
        <v>96</v>
      </c>
      <c r="D94" s="118" t="s">
        <v>96</v>
      </c>
      <c r="E94" s="118">
        <v>2002</v>
      </c>
      <c r="F94" s="118">
        <v>220</v>
      </c>
      <c r="G94" s="118">
        <v>200</v>
      </c>
      <c r="H94" s="118">
        <v>535</v>
      </c>
      <c r="I94" s="118" t="s">
        <v>96</v>
      </c>
      <c r="J94" s="118">
        <v>525</v>
      </c>
      <c r="K94" s="66">
        <v>145</v>
      </c>
      <c r="L94" s="118">
        <v>279</v>
      </c>
      <c r="M94" s="21">
        <v>100</v>
      </c>
      <c r="N94" s="118">
        <v>100</v>
      </c>
      <c r="O94" s="118">
        <v>207</v>
      </c>
      <c r="P94" s="118">
        <v>840</v>
      </c>
      <c r="Q94" s="118" t="s">
        <v>96</v>
      </c>
      <c r="R94" s="118">
        <v>1160</v>
      </c>
      <c r="S94" s="118">
        <v>1200</v>
      </c>
      <c r="T94" s="134">
        <v>1100</v>
      </c>
      <c r="U94" s="118">
        <v>2200</v>
      </c>
      <c r="V94" s="118">
        <v>54</v>
      </c>
      <c r="W94" s="118">
        <v>1100</v>
      </c>
      <c r="X94" s="21" t="s">
        <v>96</v>
      </c>
      <c r="Y94" s="21">
        <v>1100</v>
      </c>
      <c r="Z94" s="21" t="s">
        <v>96</v>
      </c>
    </row>
    <row r="95" spans="1:26" ht="18.75" customHeight="1" x14ac:dyDescent="0.2">
      <c r="A95" s="8" t="s">
        <v>146</v>
      </c>
      <c r="B95" s="120">
        <v>7875</v>
      </c>
      <c r="C95" s="120">
        <v>7537</v>
      </c>
      <c r="D95" s="120">
        <v>4232</v>
      </c>
      <c r="E95" s="120">
        <v>9359</v>
      </c>
      <c r="F95" s="120">
        <v>7271</v>
      </c>
      <c r="G95" s="120">
        <v>5529</v>
      </c>
      <c r="H95" s="120">
        <v>6587</v>
      </c>
      <c r="I95" s="120">
        <v>7497</v>
      </c>
      <c r="J95" s="120">
        <v>3786</v>
      </c>
      <c r="K95" s="65">
        <v>6212</v>
      </c>
      <c r="L95" s="120">
        <v>5636</v>
      </c>
      <c r="M95" s="22">
        <v>4604</v>
      </c>
      <c r="N95" s="120">
        <v>1806</v>
      </c>
      <c r="O95" s="120">
        <v>5595</v>
      </c>
      <c r="P95" s="120">
        <v>4501</v>
      </c>
      <c r="Q95" s="120">
        <v>4262</v>
      </c>
      <c r="R95" s="120">
        <v>1741</v>
      </c>
      <c r="S95" s="120">
        <v>3464</v>
      </c>
      <c r="T95" s="133">
        <v>3364</v>
      </c>
      <c r="U95" s="120">
        <v>7523</v>
      </c>
      <c r="V95" s="120">
        <v>5448</v>
      </c>
      <c r="W95" s="120">
        <v>5378</v>
      </c>
      <c r="X95" s="22">
        <v>7000</v>
      </c>
      <c r="Y95" s="22">
        <v>11375</v>
      </c>
      <c r="Z95" s="22">
        <v>7194</v>
      </c>
    </row>
    <row r="96" spans="1:26" x14ac:dyDescent="0.2">
      <c r="A96" s="9" t="s">
        <v>67</v>
      </c>
      <c r="B96" s="118">
        <v>500</v>
      </c>
      <c r="C96" s="118">
        <v>978</v>
      </c>
      <c r="D96" s="118">
        <v>1009</v>
      </c>
      <c r="E96" s="118">
        <v>652</v>
      </c>
      <c r="F96" s="118">
        <v>668</v>
      </c>
      <c r="G96" s="118">
        <v>120</v>
      </c>
      <c r="H96" s="118">
        <v>602</v>
      </c>
      <c r="I96" s="118">
        <v>1133</v>
      </c>
      <c r="J96" s="118">
        <v>1161</v>
      </c>
      <c r="K96" s="66">
        <v>748</v>
      </c>
      <c r="L96" s="118">
        <v>594</v>
      </c>
      <c r="M96" s="21">
        <v>1650</v>
      </c>
      <c r="N96" s="118">
        <v>150</v>
      </c>
      <c r="O96" s="118">
        <v>220</v>
      </c>
      <c r="P96" s="118">
        <v>620</v>
      </c>
      <c r="Q96" s="118">
        <v>850</v>
      </c>
      <c r="R96" s="118">
        <v>60</v>
      </c>
      <c r="S96" s="118">
        <v>375</v>
      </c>
      <c r="T96" s="134">
        <v>1019</v>
      </c>
      <c r="U96" s="118">
        <v>1116</v>
      </c>
      <c r="V96" s="118">
        <v>1500</v>
      </c>
      <c r="W96" s="118">
        <v>1251</v>
      </c>
      <c r="X96" s="21">
        <v>350</v>
      </c>
      <c r="Y96" s="21">
        <v>3124</v>
      </c>
      <c r="Z96" s="21">
        <v>452</v>
      </c>
    </row>
    <row r="97" spans="1:26" x14ac:dyDescent="0.2">
      <c r="A97" s="9" t="s">
        <v>78</v>
      </c>
      <c r="B97" s="118">
        <v>1357</v>
      </c>
      <c r="C97" s="118">
        <v>3702</v>
      </c>
      <c r="D97" s="118">
        <v>2360</v>
      </c>
      <c r="E97" s="118">
        <v>4072</v>
      </c>
      <c r="F97" s="118">
        <v>3832</v>
      </c>
      <c r="G97" s="118">
        <v>2787</v>
      </c>
      <c r="H97" s="118">
        <v>2680</v>
      </c>
      <c r="I97" s="118">
        <v>2603</v>
      </c>
      <c r="J97" s="118">
        <v>1637</v>
      </c>
      <c r="K97" s="66">
        <v>2420</v>
      </c>
      <c r="L97" s="118">
        <v>1741</v>
      </c>
      <c r="M97" s="21">
        <v>1694</v>
      </c>
      <c r="N97" s="118">
        <v>1316</v>
      </c>
      <c r="O97" s="118">
        <v>2310</v>
      </c>
      <c r="P97" s="118">
        <v>1395</v>
      </c>
      <c r="Q97" s="118">
        <v>1316</v>
      </c>
      <c r="R97" s="118">
        <v>1165</v>
      </c>
      <c r="S97" s="118">
        <v>1383</v>
      </c>
      <c r="T97" s="134">
        <v>2040</v>
      </c>
      <c r="U97" s="118">
        <v>1770</v>
      </c>
      <c r="V97" s="118">
        <v>1638</v>
      </c>
      <c r="W97" s="118">
        <v>1060</v>
      </c>
      <c r="X97" s="21">
        <v>2720</v>
      </c>
      <c r="Y97" s="21">
        <v>2951</v>
      </c>
      <c r="Z97" s="21">
        <v>3480</v>
      </c>
    </row>
    <row r="98" spans="1:26" x14ac:dyDescent="0.2">
      <c r="A98" s="9" t="s">
        <v>71</v>
      </c>
      <c r="B98" s="118">
        <v>1221</v>
      </c>
      <c r="C98" s="118">
        <v>846</v>
      </c>
      <c r="D98" s="118">
        <v>540</v>
      </c>
      <c r="E98" s="118">
        <v>1123</v>
      </c>
      <c r="F98" s="118">
        <v>488</v>
      </c>
      <c r="G98" s="118">
        <v>350</v>
      </c>
      <c r="H98" s="118">
        <v>1850</v>
      </c>
      <c r="I98" s="118">
        <v>1847</v>
      </c>
      <c r="J98" s="118">
        <v>440</v>
      </c>
      <c r="K98" s="66">
        <v>1822</v>
      </c>
      <c r="L98" s="118" t="s">
        <v>96</v>
      </c>
      <c r="M98" s="21">
        <v>190</v>
      </c>
      <c r="N98" s="118" t="s">
        <v>96</v>
      </c>
      <c r="O98" s="118">
        <v>750</v>
      </c>
      <c r="P98" s="118">
        <v>200</v>
      </c>
      <c r="Q98" s="118">
        <v>160</v>
      </c>
      <c r="R98" s="118">
        <v>216</v>
      </c>
      <c r="S98" s="118" t="s">
        <v>96</v>
      </c>
      <c r="T98" s="134" t="s">
        <v>96</v>
      </c>
      <c r="U98" s="118">
        <v>156</v>
      </c>
      <c r="V98" s="118" t="s">
        <v>96</v>
      </c>
      <c r="W98" s="118">
        <v>1100</v>
      </c>
      <c r="X98" s="21" t="s">
        <v>96</v>
      </c>
      <c r="Y98" s="21">
        <v>1950</v>
      </c>
      <c r="Z98" s="21">
        <v>1050</v>
      </c>
    </row>
    <row r="99" spans="1:26" x14ac:dyDescent="0.2">
      <c r="A99" s="9" t="s">
        <v>79</v>
      </c>
      <c r="B99" s="118" t="s">
        <v>96</v>
      </c>
      <c r="C99" s="118" t="s">
        <v>96</v>
      </c>
      <c r="D99" s="118" t="s">
        <v>96</v>
      </c>
      <c r="E99" s="118">
        <v>168</v>
      </c>
      <c r="F99" s="118" t="s">
        <v>96</v>
      </c>
      <c r="G99" s="118" t="s">
        <v>96</v>
      </c>
      <c r="H99" s="118">
        <v>160</v>
      </c>
      <c r="I99" s="118">
        <v>176</v>
      </c>
      <c r="J99" s="118">
        <v>50</v>
      </c>
      <c r="K99" s="118" t="s">
        <v>96</v>
      </c>
      <c r="L99" s="118">
        <v>125</v>
      </c>
      <c r="M99" s="21" t="s">
        <v>96</v>
      </c>
      <c r="N99" s="118" t="s">
        <v>96</v>
      </c>
      <c r="O99" s="118">
        <v>200</v>
      </c>
      <c r="P99" s="118">
        <v>400</v>
      </c>
      <c r="Q99" s="118" t="s">
        <v>96</v>
      </c>
      <c r="R99" s="118" t="s">
        <v>96</v>
      </c>
      <c r="S99" s="118" t="s">
        <v>96</v>
      </c>
      <c r="T99" s="134" t="s">
        <v>96</v>
      </c>
      <c r="U99" s="118">
        <v>990</v>
      </c>
      <c r="V99" s="118" t="s">
        <v>96</v>
      </c>
      <c r="W99" s="138" t="s">
        <v>96</v>
      </c>
      <c r="X99" s="21">
        <v>650</v>
      </c>
      <c r="Y99" s="21">
        <v>90</v>
      </c>
      <c r="Z99" s="21" t="s">
        <v>96</v>
      </c>
    </row>
    <row r="100" spans="1:26" x14ac:dyDescent="0.2">
      <c r="A100" s="9" t="s">
        <v>80</v>
      </c>
      <c r="B100" s="118">
        <v>572</v>
      </c>
      <c r="C100" s="118" t="s">
        <v>96</v>
      </c>
      <c r="D100" s="118">
        <v>48</v>
      </c>
      <c r="E100" s="118" t="s">
        <v>96</v>
      </c>
      <c r="F100" s="118">
        <v>258</v>
      </c>
      <c r="G100" s="118" t="s">
        <v>96</v>
      </c>
      <c r="H100" s="118">
        <v>400</v>
      </c>
      <c r="I100" s="118">
        <v>154</v>
      </c>
      <c r="J100" s="118">
        <v>154</v>
      </c>
      <c r="K100" s="118" t="s">
        <v>96</v>
      </c>
      <c r="L100" s="118">
        <v>308</v>
      </c>
      <c r="M100" s="21">
        <v>825</v>
      </c>
      <c r="N100" s="118" t="s">
        <v>96</v>
      </c>
      <c r="O100" s="118">
        <v>1045</v>
      </c>
      <c r="P100" s="118">
        <v>160</v>
      </c>
      <c r="Q100" s="118" t="s">
        <v>96</v>
      </c>
      <c r="R100" s="118" t="s">
        <v>96</v>
      </c>
      <c r="S100" s="118" t="s">
        <v>96</v>
      </c>
      <c r="T100" s="134" t="s">
        <v>96</v>
      </c>
      <c r="U100" s="118" t="s">
        <v>96</v>
      </c>
      <c r="V100" s="118">
        <v>220</v>
      </c>
      <c r="W100" s="118">
        <v>75</v>
      </c>
      <c r="X100" s="21">
        <v>1370</v>
      </c>
      <c r="Y100" s="21" t="s">
        <v>96</v>
      </c>
      <c r="Z100" s="21">
        <v>504</v>
      </c>
    </row>
    <row r="101" spans="1:26" x14ac:dyDescent="0.2">
      <c r="A101" s="9" t="s">
        <v>81</v>
      </c>
      <c r="B101" s="118">
        <v>2489</v>
      </c>
      <c r="C101" s="118">
        <v>1747</v>
      </c>
      <c r="D101" s="118" t="s">
        <v>96</v>
      </c>
      <c r="E101" s="118">
        <v>2076</v>
      </c>
      <c r="F101" s="118">
        <v>450</v>
      </c>
      <c r="G101" s="120" t="s">
        <v>96</v>
      </c>
      <c r="H101" s="118">
        <v>471</v>
      </c>
      <c r="I101" s="118">
        <v>276</v>
      </c>
      <c r="J101" s="118">
        <v>194</v>
      </c>
      <c r="K101" s="118" t="s">
        <v>96</v>
      </c>
      <c r="L101" s="118">
        <v>80</v>
      </c>
      <c r="M101" s="21">
        <v>15</v>
      </c>
      <c r="N101" s="118">
        <v>80</v>
      </c>
      <c r="O101" s="118">
        <v>750</v>
      </c>
      <c r="P101" s="118">
        <v>20</v>
      </c>
      <c r="Q101" s="118">
        <v>1000</v>
      </c>
      <c r="R101" s="118" t="s">
        <v>96</v>
      </c>
      <c r="S101" s="118">
        <v>800</v>
      </c>
      <c r="T101" s="134">
        <v>80</v>
      </c>
      <c r="U101" s="118">
        <v>400</v>
      </c>
      <c r="V101" s="118">
        <v>800</v>
      </c>
      <c r="W101" s="138" t="s">
        <v>96</v>
      </c>
      <c r="X101" s="21">
        <v>550</v>
      </c>
      <c r="Y101" s="21" t="s">
        <v>96</v>
      </c>
      <c r="Z101" s="21" t="s">
        <v>96</v>
      </c>
    </row>
    <row r="102" spans="1:26" x14ac:dyDescent="0.2">
      <c r="A102" s="9" t="s">
        <v>82</v>
      </c>
      <c r="B102" s="118">
        <v>1736</v>
      </c>
      <c r="C102" s="118">
        <v>264</v>
      </c>
      <c r="D102" s="118">
        <v>275</v>
      </c>
      <c r="E102" s="118">
        <v>1268</v>
      </c>
      <c r="F102" s="118">
        <v>645</v>
      </c>
      <c r="G102" s="118">
        <v>1150</v>
      </c>
      <c r="H102" s="118" t="s">
        <v>96</v>
      </c>
      <c r="I102" s="118" t="s">
        <v>96</v>
      </c>
      <c r="J102" s="118">
        <v>150</v>
      </c>
      <c r="K102" s="66">
        <v>528</v>
      </c>
      <c r="L102" s="118">
        <v>192</v>
      </c>
      <c r="M102" s="21">
        <v>80</v>
      </c>
      <c r="N102" s="118">
        <v>260</v>
      </c>
      <c r="O102" s="118" t="s">
        <v>96</v>
      </c>
      <c r="P102" s="118" t="s">
        <v>96</v>
      </c>
      <c r="Q102" s="118" t="s">
        <v>96</v>
      </c>
      <c r="R102" s="118" t="s">
        <v>96</v>
      </c>
      <c r="S102" s="118" t="s">
        <v>96</v>
      </c>
      <c r="T102" s="134" t="s">
        <v>96</v>
      </c>
      <c r="U102" s="118">
        <v>528</v>
      </c>
      <c r="V102" s="118" t="s">
        <v>96</v>
      </c>
      <c r="W102" s="138" t="s">
        <v>96</v>
      </c>
      <c r="X102" s="21" t="s">
        <v>96</v>
      </c>
      <c r="Y102" s="21">
        <v>2400</v>
      </c>
      <c r="Z102" s="21">
        <v>528</v>
      </c>
    </row>
    <row r="103" spans="1:26" x14ac:dyDescent="0.2">
      <c r="A103" s="9" t="s">
        <v>83</v>
      </c>
      <c r="B103" s="118" t="s">
        <v>96</v>
      </c>
      <c r="C103" s="118" t="s">
        <v>96</v>
      </c>
      <c r="D103" s="118" t="s">
        <v>96</v>
      </c>
      <c r="E103" s="118" t="s">
        <v>96</v>
      </c>
      <c r="F103" s="118" t="s">
        <v>96</v>
      </c>
      <c r="G103" s="118" t="s">
        <v>96</v>
      </c>
      <c r="H103" s="118" t="s">
        <v>96</v>
      </c>
      <c r="I103" s="118" t="s">
        <v>96</v>
      </c>
      <c r="J103" s="118" t="s">
        <v>96</v>
      </c>
      <c r="K103" s="66">
        <v>270</v>
      </c>
      <c r="L103" s="118">
        <v>90</v>
      </c>
      <c r="M103" s="21" t="s">
        <v>96</v>
      </c>
      <c r="N103" s="118" t="s">
        <v>96</v>
      </c>
      <c r="O103" s="118" t="s">
        <v>96</v>
      </c>
      <c r="P103" s="118" t="s">
        <v>96</v>
      </c>
      <c r="Q103" s="118">
        <v>30</v>
      </c>
      <c r="R103" s="118" t="s">
        <v>96</v>
      </c>
      <c r="S103" s="118" t="s">
        <v>96</v>
      </c>
      <c r="T103" s="134" t="s">
        <v>96</v>
      </c>
      <c r="U103" s="118" t="s">
        <v>96</v>
      </c>
      <c r="V103" s="118" t="s">
        <v>96</v>
      </c>
      <c r="W103" s="118">
        <v>50</v>
      </c>
      <c r="X103" s="21">
        <v>825</v>
      </c>
      <c r="Y103" s="21" t="s">
        <v>96</v>
      </c>
      <c r="Z103" s="21">
        <v>530</v>
      </c>
    </row>
    <row r="104" spans="1:26" x14ac:dyDescent="0.2">
      <c r="A104" s="9" t="s">
        <v>84</v>
      </c>
      <c r="B104" s="118" t="s">
        <v>96</v>
      </c>
      <c r="C104" s="118" t="s">
        <v>96</v>
      </c>
      <c r="D104" s="118" t="s">
        <v>96</v>
      </c>
      <c r="E104" s="118" t="s">
        <v>96</v>
      </c>
      <c r="F104" s="118">
        <v>250</v>
      </c>
      <c r="G104" s="118">
        <v>504</v>
      </c>
      <c r="H104" s="118">
        <v>308</v>
      </c>
      <c r="I104" s="118" t="s">
        <v>96</v>
      </c>
      <c r="J104" s="118" t="s">
        <v>96</v>
      </c>
      <c r="K104" s="66">
        <v>110</v>
      </c>
      <c r="L104" s="118">
        <v>1506</v>
      </c>
      <c r="M104" s="21">
        <v>150</v>
      </c>
      <c r="N104" s="118" t="s">
        <v>96</v>
      </c>
      <c r="O104" s="118" t="s">
        <v>96</v>
      </c>
      <c r="P104" s="118">
        <v>1706</v>
      </c>
      <c r="Q104" s="118">
        <v>906</v>
      </c>
      <c r="R104" s="118">
        <v>300</v>
      </c>
      <c r="S104" s="118">
        <v>906</v>
      </c>
      <c r="T104" s="134">
        <v>225</v>
      </c>
      <c r="U104" s="118">
        <v>2563</v>
      </c>
      <c r="V104" s="118">
        <v>1290</v>
      </c>
      <c r="W104" s="118">
        <v>1842</v>
      </c>
      <c r="X104" s="21">
        <v>535</v>
      </c>
      <c r="Y104" s="21">
        <v>860</v>
      </c>
      <c r="Z104" s="21">
        <v>550</v>
      </c>
    </row>
    <row r="105" spans="1:26" ht="19.5" x14ac:dyDescent="0.2">
      <c r="A105" s="9" t="s">
        <v>85</v>
      </c>
      <c r="B105" s="118" t="s">
        <v>96</v>
      </c>
      <c r="C105" s="118" t="s">
        <v>96</v>
      </c>
      <c r="D105" s="118" t="s">
        <v>96</v>
      </c>
      <c r="E105" s="118" t="s">
        <v>96</v>
      </c>
      <c r="F105" s="118" t="s">
        <v>96</v>
      </c>
      <c r="G105" s="118" t="s">
        <v>96</v>
      </c>
      <c r="H105" s="118" t="s">
        <v>96</v>
      </c>
      <c r="I105" s="118">
        <v>250</v>
      </c>
      <c r="J105" s="118" t="s">
        <v>96</v>
      </c>
      <c r="K105" s="118" t="s">
        <v>96</v>
      </c>
      <c r="L105" s="118">
        <v>1000</v>
      </c>
      <c r="M105" s="21" t="s">
        <v>96</v>
      </c>
      <c r="N105" s="118" t="s">
        <v>96</v>
      </c>
      <c r="O105" s="118" t="s">
        <v>96</v>
      </c>
      <c r="P105" s="118" t="s">
        <v>96</v>
      </c>
      <c r="Q105" s="118" t="s">
        <v>96</v>
      </c>
      <c r="R105" s="118" t="s">
        <v>96</v>
      </c>
      <c r="S105" s="118" t="s">
        <v>96</v>
      </c>
      <c r="T105" s="134" t="s">
        <v>96</v>
      </c>
      <c r="U105" s="118" t="s">
        <v>96</v>
      </c>
      <c r="V105" s="118" t="s">
        <v>96</v>
      </c>
      <c r="W105" s="138" t="s">
        <v>96</v>
      </c>
      <c r="X105" s="21" t="s">
        <v>96</v>
      </c>
      <c r="Y105" s="21" t="s">
        <v>96</v>
      </c>
      <c r="Z105" s="21" t="s">
        <v>96</v>
      </c>
    </row>
    <row r="106" spans="1:26" ht="15.75" customHeight="1" thickBot="1" x14ac:dyDescent="0.25">
      <c r="A106" s="71" t="s">
        <v>86</v>
      </c>
      <c r="B106" s="127" t="s">
        <v>96</v>
      </c>
      <c r="C106" s="127" t="s">
        <v>96</v>
      </c>
      <c r="D106" s="127" t="s">
        <v>96</v>
      </c>
      <c r="E106" s="127" t="s">
        <v>96</v>
      </c>
      <c r="F106" s="127">
        <v>680</v>
      </c>
      <c r="G106" s="127">
        <v>618</v>
      </c>
      <c r="H106" s="127">
        <v>116</v>
      </c>
      <c r="I106" s="127">
        <v>1058</v>
      </c>
      <c r="J106" s="127" t="s">
        <v>96</v>
      </c>
      <c r="K106" s="67">
        <v>314</v>
      </c>
      <c r="L106" s="127" t="s">
        <v>96</v>
      </c>
      <c r="M106" s="64" t="s">
        <v>96</v>
      </c>
      <c r="N106" s="127" t="s">
        <v>96</v>
      </c>
      <c r="O106" s="127">
        <v>320</v>
      </c>
      <c r="P106" s="127" t="s">
        <v>96</v>
      </c>
      <c r="Q106" s="127" t="s">
        <v>96</v>
      </c>
      <c r="R106" s="127" t="s">
        <v>96</v>
      </c>
      <c r="S106" s="127" t="s">
        <v>96</v>
      </c>
      <c r="T106" s="135" t="s">
        <v>96</v>
      </c>
      <c r="U106" s="127" t="s">
        <v>96</v>
      </c>
      <c r="V106" s="127" t="s">
        <v>96</v>
      </c>
      <c r="W106" s="127" t="s">
        <v>96</v>
      </c>
      <c r="X106" s="127" t="s">
        <v>96</v>
      </c>
      <c r="Y106" s="127" t="s">
        <v>96</v>
      </c>
      <c r="Z106" s="127">
        <v>100</v>
      </c>
    </row>
    <row r="107" spans="1:26" x14ac:dyDescent="0.2">
      <c r="A107" s="60"/>
      <c r="B107" s="151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52"/>
      <c r="U107" s="52"/>
      <c r="V107" s="52"/>
      <c r="W107" s="52"/>
      <c r="X107" s="52"/>
      <c r="Z107" s="52"/>
    </row>
    <row r="108" spans="1:26" x14ac:dyDescent="0.2">
      <c r="A108" s="60"/>
      <c r="B108" s="151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52"/>
      <c r="U108" s="52"/>
      <c r="V108" s="52"/>
      <c r="W108" s="52"/>
      <c r="X108" s="52"/>
      <c r="Z108" s="52"/>
    </row>
    <row r="109" spans="1:26" x14ac:dyDescent="0.2">
      <c r="B109" s="53"/>
    </row>
    <row r="110" spans="1:26" x14ac:dyDescent="0.2">
      <c r="B110" s="53"/>
    </row>
    <row r="111" spans="1:26" x14ac:dyDescent="0.2">
      <c r="B111" s="53"/>
    </row>
    <row r="112" spans="1:26" x14ac:dyDescent="0.2">
      <c r="B112" s="53"/>
    </row>
    <row r="113" spans="2:2" x14ac:dyDescent="0.2">
      <c r="B113" s="53"/>
    </row>
    <row r="114" spans="2:2" x14ac:dyDescent="0.2">
      <c r="B114" s="53"/>
    </row>
    <row r="115" spans="2:2" x14ac:dyDescent="0.2">
      <c r="B115" s="53"/>
    </row>
    <row r="116" spans="2:2" x14ac:dyDescent="0.2">
      <c r="B116" s="53"/>
    </row>
    <row r="117" spans="2:2" x14ac:dyDescent="0.2">
      <c r="B117" s="53"/>
    </row>
    <row r="118" spans="2:2" x14ac:dyDescent="0.2">
      <c r="B118" s="53"/>
    </row>
    <row r="119" spans="2:2" x14ac:dyDescent="0.2">
      <c r="B119" s="53"/>
    </row>
    <row r="120" spans="2:2" x14ac:dyDescent="0.2">
      <c r="B120" s="53"/>
    </row>
    <row r="121" spans="2:2" x14ac:dyDescent="0.2">
      <c r="B121" s="53"/>
    </row>
    <row r="122" spans="2:2" x14ac:dyDescent="0.2">
      <c r="B122" s="53"/>
    </row>
    <row r="123" spans="2:2" x14ac:dyDescent="0.2">
      <c r="B123" s="53"/>
    </row>
    <row r="124" spans="2:2" x14ac:dyDescent="0.2">
      <c r="B124" s="53"/>
    </row>
    <row r="125" spans="2:2" x14ac:dyDescent="0.2">
      <c r="B125" s="53"/>
    </row>
    <row r="126" spans="2:2" x14ac:dyDescent="0.2">
      <c r="B126" s="53"/>
    </row>
    <row r="127" spans="2:2" x14ac:dyDescent="0.2">
      <c r="B127" s="53"/>
    </row>
    <row r="128" spans="2:2" x14ac:dyDescent="0.2">
      <c r="B128" s="53"/>
    </row>
    <row r="129" spans="2:2" x14ac:dyDescent="0.2">
      <c r="B129" s="53"/>
    </row>
    <row r="130" spans="2:2" x14ac:dyDescent="0.2">
      <c r="B130" s="53"/>
    </row>
    <row r="131" spans="2:2" x14ac:dyDescent="0.2">
      <c r="B131" s="53"/>
    </row>
    <row r="132" spans="2:2" x14ac:dyDescent="0.2">
      <c r="B132" s="53"/>
    </row>
    <row r="133" spans="2:2" x14ac:dyDescent="0.2">
      <c r="B133" s="53"/>
    </row>
    <row r="134" spans="2:2" x14ac:dyDescent="0.2">
      <c r="B134" s="53"/>
    </row>
    <row r="135" spans="2:2" x14ac:dyDescent="0.2">
      <c r="B135" s="53"/>
    </row>
    <row r="136" spans="2:2" x14ac:dyDescent="0.2">
      <c r="B136" s="53"/>
    </row>
    <row r="137" spans="2:2" x14ac:dyDescent="0.2">
      <c r="B137" s="53"/>
    </row>
    <row r="138" spans="2:2" x14ac:dyDescent="0.2">
      <c r="B138" s="53"/>
    </row>
    <row r="139" spans="2:2" x14ac:dyDescent="0.2">
      <c r="B139" s="53"/>
    </row>
    <row r="140" spans="2:2" x14ac:dyDescent="0.2">
      <c r="B140" s="53"/>
    </row>
    <row r="141" spans="2:2" x14ac:dyDescent="0.2">
      <c r="B141" s="53"/>
    </row>
    <row r="142" spans="2:2" x14ac:dyDescent="0.2">
      <c r="B142" s="53"/>
    </row>
    <row r="143" spans="2:2" x14ac:dyDescent="0.2">
      <c r="B143" s="53"/>
    </row>
    <row r="144" spans="2:2" x14ac:dyDescent="0.2">
      <c r="B144" s="53"/>
    </row>
    <row r="145" spans="2:2" x14ac:dyDescent="0.2">
      <c r="B145" s="53"/>
    </row>
    <row r="146" spans="2:2" x14ac:dyDescent="0.2">
      <c r="B146" s="53"/>
    </row>
    <row r="147" spans="2:2" x14ac:dyDescent="0.2">
      <c r="B147" s="53"/>
    </row>
    <row r="148" spans="2:2" x14ac:dyDescent="0.2">
      <c r="B148" s="53"/>
    </row>
    <row r="149" spans="2:2" x14ac:dyDescent="0.2">
      <c r="B149" s="53"/>
    </row>
    <row r="150" spans="2:2" x14ac:dyDescent="0.2">
      <c r="B150" s="53"/>
    </row>
    <row r="151" spans="2:2" x14ac:dyDescent="0.2">
      <c r="B151" s="53"/>
    </row>
    <row r="152" spans="2:2" x14ac:dyDescent="0.2">
      <c r="B152" s="53"/>
    </row>
    <row r="153" spans="2:2" x14ac:dyDescent="0.2">
      <c r="B153" s="53"/>
    </row>
    <row r="154" spans="2:2" x14ac:dyDescent="0.2">
      <c r="B154" s="53"/>
    </row>
    <row r="155" spans="2:2" x14ac:dyDescent="0.2">
      <c r="B155" s="53"/>
    </row>
    <row r="156" spans="2:2" x14ac:dyDescent="0.2">
      <c r="B156" s="53"/>
    </row>
    <row r="157" spans="2:2" x14ac:dyDescent="0.2">
      <c r="B157" s="53"/>
    </row>
    <row r="158" spans="2:2" x14ac:dyDescent="0.2">
      <c r="B158" s="53"/>
    </row>
    <row r="159" spans="2:2" x14ac:dyDescent="0.2">
      <c r="B159" s="53"/>
    </row>
    <row r="160" spans="2:2" x14ac:dyDescent="0.2">
      <c r="B160" s="53"/>
    </row>
    <row r="161" spans="2:2" x14ac:dyDescent="0.2">
      <c r="B161" s="53"/>
    </row>
    <row r="162" spans="2:2" x14ac:dyDescent="0.2">
      <c r="B162" s="53"/>
    </row>
    <row r="163" spans="2:2" x14ac:dyDescent="0.2">
      <c r="B163" s="53"/>
    </row>
    <row r="164" spans="2:2" x14ac:dyDescent="0.2">
      <c r="B164" s="53"/>
    </row>
    <row r="165" spans="2:2" x14ac:dyDescent="0.2">
      <c r="B165" s="53"/>
    </row>
    <row r="166" spans="2:2" x14ac:dyDescent="0.2">
      <c r="B166" s="53"/>
    </row>
    <row r="167" spans="2:2" x14ac:dyDescent="0.2">
      <c r="B167" s="53"/>
    </row>
    <row r="168" spans="2:2" x14ac:dyDescent="0.2">
      <c r="B168" s="53"/>
    </row>
    <row r="169" spans="2:2" x14ac:dyDescent="0.2">
      <c r="B169" s="53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7">
    <tabColor rgb="FFC7E6A4"/>
  </sheetPr>
  <dimension ref="A1:Z108"/>
  <sheetViews>
    <sheetView zoomScale="80" zoomScaleNormal="80" workbookViewId="0">
      <pane ySplit="8" topLeftCell="A9" activePane="bottomLeft" state="frozen"/>
      <selection sqref="A1:T1"/>
      <selection pane="bottomLeft" activeCell="D1" sqref="D1"/>
    </sheetView>
  </sheetViews>
  <sheetFormatPr defaultRowHeight="15" x14ac:dyDescent="0.25"/>
  <cols>
    <col min="1" max="1" width="18.5703125" customWidth="1"/>
    <col min="2" max="16" width="9.140625" customWidth="1"/>
    <col min="18" max="20" width="9.140625" customWidth="1"/>
    <col min="21" max="21" width="9.140625" style="1"/>
    <col min="24" max="24" width="9.140625" style="1"/>
    <col min="25" max="25" width="9.140625" style="12"/>
    <col min="26" max="26" width="9.140625" style="1"/>
  </cols>
  <sheetData>
    <row r="1" spans="1:26" ht="30" customHeight="1" x14ac:dyDescent="0.25"/>
    <row r="2" spans="1:26" x14ac:dyDescent="0.25">
      <c r="A2" s="200" t="s">
        <v>180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spans="1:26" x14ac:dyDescent="0.25">
      <c r="A3" s="201" t="s">
        <v>191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6" x14ac:dyDescent="0.25">
      <c r="A4" s="202" t="s">
        <v>119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x14ac:dyDescent="0.25">
      <c r="A5" s="11" t="s">
        <v>237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Z5" s="12"/>
    </row>
    <row r="6" spans="1:26" x14ac:dyDescent="0.25">
      <c r="A6" s="11" t="s">
        <v>236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Z6" s="12"/>
    </row>
    <row r="7" spans="1:26" ht="15.75" thickBot="1" x14ac:dyDescent="0.3">
      <c r="A7" s="60" t="s">
        <v>165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Z7" s="12"/>
    </row>
    <row r="8" spans="1:26" ht="15.75" thickBot="1" x14ac:dyDescent="0.3">
      <c r="A8" s="57"/>
      <c r="B8" s="2">
        <v>2000</v>
      </c>
      <c r="C8" s="2">
        <v>2001</v>
      </c>
      <c r="D8" s="2">
        <v>2002</v>
      </c>
      <c r="E8" s="2">
        <v>2003</v>
      </c>
      <c r="F8" s="2">
        <v>2004</v>
      </c>
      <c r="G8" s="2">
        <v>2005</v>
      </c>
      <c r="H8" s="2">
        <v>2006</v>
      </c>
      <c r="I8" s="2">
        <v>2007</v>
      </c>
      <c r="J8" s="2">
        <v>2008</v>
      </c>
      <c r="K8" s="2">
        <v>2009</v>
      </c>
      <c r="L8" s="2">
        <v>2010</v>
      </c>
      <c r="M8" s="2">
        <v>2011</v>
      </c>
      <c r="N8" s="2">
        <v>2012</v>
      </c>
      <c r="O8" s="2">
        <v>2013</v>
      </c>
      <c r="P8" s="2">
        <v>2014</v>
      </c>
      <c r="Q8" s="2">
        <v>2015</v>
      </c>
      <c r="R8" s="2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x14ac:dyDescent="0.25">
      <c r="A9" s="48" t="s">
        <v>0</v>
      </c>
      <c r="B9" s="120">
        <v>6815</v>
      </c>
      <c r="C9" s="120">
        <v>5675</v>
      </c>
      <c r="D9" s="120">
        <v>7255</v>
      </c>
      <c r="E9" s="120">
        <v>7653</v>
      </c>
      <c r="F9" s="120">
        <v>7287</v>
      </c>
      <c r="G9" s="120">
        <v>5006</v>
      </c>
      <c r="H9" s="120">
        <v>19967</v>
      </c>
      <c r="I9" s="120">
        <v>26145</v>
      </c>
      <c r="J9" s="120">
        <v>28305</v>
      </c>
      <c r="K9" s="65">
        <v>19564</v>
      </c>
      <c r="L9" s="126">
        <v>22904</v>
      </c>
      <c r="M9" s="27">
        <v>44957</v>
      </c>
      <c r="N9" s="126">
        <v>53895</v>
      </c>
      <c r="O9" s="126">
        <v>90330</v>
      </c>
      <c r="P9" s="126">
        <v>128868</v>
      </c>
      <c r="Q9" s="126">
        <v>143285</v>
      </c>
      <c r="R9" s="126">
        <v>63297</v>
      </c>
      <c r="S9" s="126">
        <v>40822</v>
      </c>
      <c r="T9" s="120">
        <v>49942</v>
      </c>
      <c r="U9" s="120">
        <v>105408</v>
      </c>
      <c r="V9" s="120">
        <v>97251</v>
      </c>
      <c r="W9" s="120">
        <v>79888</v>
      </c>
      <c r="X9" s="120">
        <v>71465</v>
      </c>
      <c r="Y9" s="22">
        <v>62796</v>
      </c>
      <c r="Z9" s="22">
        <v>54436</v>
      </c>
    </row>
    <row r="10" spans="1:26" ht="18" x14ac:dyDescent="0.25">
      <c r="A10" s="8" t="s">
        <v>131</v>
      </c>
      <c r="B10" s="120">
        <v>2205</v>
      </c>
      <c r="C10" s="120">
        <v>2731</v>
      </c>
      <c r="D10" s="120">
        <v>4216</v>
      </c>
      <c r="E10" s="120">
        <v>5400</v>
      </c>
      <c r="F10" s="120">
        <v>4277</v>
      </c>
      <c r="G10" s="120">
        <v>2962</v>
      </c>
      <c r="H10" s="120">
        <v>16817</v>
      </c>
      <c r="I10" s="120">
        <v>18368</v>
      </c>
      <c r="J10" s="120">
        <v>15855</v>
      </c>
      <c r="K10" s="65">
        <v>7370</v>
      </c>
      <c r="L10" s="120">
        <v>7867</v>
      </c>
      <c r="M10" s="22">
        <v>10596</v>
      </c>
      <c r="N10" s="120">
        <v>17508</v>
      </c>
      <c r="O10" s="120">
        <v>27058</v>
      </c>
      <c r="P10" s="120">
        <v>34125</v>
      </c>
      <c r="Q10" s="120">
        <v>32759</v>
      </c>
      <c r="R10" s="120">
        <v>16754</v>
      </c>
      <c r="S10" s="120">
        <v>12753</v>
      </c>
      <c r="T10" s="120">
        <v>13927</v>
      </c>
      <c r="U10" s="120">
        <v>24712</v>
      </c>
      <c r="V10" s="120">
        <v>21238</v>
      </c>
      <c r="W10" s="120">
        <v>17230</v>
      </c>
      <c r="X10" s="120">
        <v>21060</v>
      </c>
      <c r="Y10" s="22">
        <v>23245</v>
      </c>
      <c r="Z10" s="22">
        <v>19138</v>
      </c>
    </row>
    <row r="11" spans="1:26" x14ac:dyDescent="0.25">
      <c r="A11" s="9" t="s">
        <v>1</v>
      </c>
      <c r="B11" s="118">
        <v>190</v>
      </c>
      <c r="C11" s="118">
        <v>180</v>
      </c>
      <c r="D11" s="118">
        <v>30</v>
      </c>
      <c r="E11" s="118" t="s">
        <v>96</v>
      </c>
      <c r="F11" s="118">
        <v>56</v>
      </c>
      <c r="G11" s="118">
        <v>90</v>
      </c>
      <c r="H11" s="118">
        <v>75</v>
      </c>
      <c r="I11" s="118">
        <v>40</v>
      </c>
      <c r="J11" s="118">
        <v>135</v>
      </c>
      <c r="K11" s="66" t="s">
        <v>96</v>
      </c>
      <c r="L11" s="118">
        <v>790</v>
      </c>
      <c r="M11" s="21">
        <v>557</v>
      </c>
      <c r="N11" s="118">
        <v>318</v>
      </c>
      <c r="O11" s="118">
        <v>965</v>
      </c>
      <c r="P11" s="118">
        <v>910</v>
      </c>
      <c r="Q11" s="118">
        <v>1748</v>
      </c>
      <c r="R11" s="118">
        <v>540</v>
      </c>
      <c r="S11" s="118">
        <v>306</v>
      </c>
      <c r="T11" s="118">
        <v>932</v>
      </c>
      <c r="U11" s="118">
        <v>2320</v>
      </c>
      <c r="V11" s="118">
        <v>602</v>
      </c>
      <c r="W11" s="118">
        <v>589</v>
      </c>
      <c r="X11" s="118">
        <v>510</v>
      </c>
      <c r="Y11" s="21">
        <v>355</v>
      </c>
      <c r="Z11" s="21">
        <v>99</v>
      </c>
    </row>
    <row r="12" spans="1:26" x14ac:dyDescent="0.25">
      <c r="A12" s="9" t="s">
        <v>2</v>
      </c>
      <c r="B12" s="118">
        <v>235</v>
      </c>
      <c r="C12" s="118" t="s">
        <v>96</v>
      </c>
      <c r="D12" s="118" t="s">
        <v>96</v>
      </c>
      <c r="E12" s="118">
        <v>280</v>
      </c>
      <c r="F12" s="118" t="s">
        <v>96</v>
      </c>
      <c r="G12" s="118" t="s">
        <v>96</v>
      </c>
      <c r="H12" s="118">
        <v>20</v>
      </c>
      <c r="I12" s="118" t="s">
        <v>96</v>
      </c>
      <c r="J12" s="118">
        <v>160</v>
      </c>
      <c r="K12" s="66" t="s">
        <v>96</v>
      </c>
      <c r="L12" s="118" t="s">
        <v>96</v>
      </c>
      <c r="M12" s="21">
        <v>170</v>
      </c>
      <c r="N12" s="118" t="s">
        <v>96</v>
      </c>
      <c r="O12" s="118" t="s">
        <v>96</v>
      </c>
      <c r="P12" s="118">
        <v>670</v>
      </c>
      <c r="Q12" s="118">
        <v>1378</v>
      </c>
      <c r="R12" s="118">
        <v>20</v>
      </c>
      <c r="S12" s="118" t="s">
        <v>96</v>
      </c>
      <c r="T12" s="118">
        <v>150</v>
      </c>
      <c r="U12" s="118">
        <v>1075</v>
      </c>
      <c r="V12" s="118">
        <v>940</v>
      </c>
      <c r="W12" s="118">
        <v>595</v>
      </c>
      <c r="X12" s="118">
        <v>315</v>
      </c>
      <c r="Y12" s="21">
        <v>172</v>
      </c>
      <c r="Z12" s="21">
        <v>280</v>
      </c>
    </row>
    <row r="13" spans="1:26" x14ac:dyDescent="0.25">
      <c r="A13" s="9" t="s">
        <v>3</v>
      </c>
      <c r="B13" s="118" t="s">
        <v>96</v>
      </c>
      <c r="C13" s="118">
        <v>50</v>
      </c>
      <c r="D13" s="118">
        <v>98</v>
      </c>
      <c r="E13" s="118" t="s">
        <v>96</v>
      </c>
      <c r="F13" s="118" t="s">
        <v>96</v>
      </c>
      <c r="G13" s="118" t="s">
        <v>96</v>
      </c>
      <c r="H13" s="118">
        <v>40</v>
      </c>
      <c r="I13" s="118" t="s">
        <v>96</v>
      </c>
      <c r="J13" s="118" t="s">
        <v>96</v>
      </c>
      <c r="K13" s="66">
        <v>235</v>
      </c>
      <c r="L13" s="118">
        <v>70</v>
      </c>
      <c r="M13" s="21" t="s">
        <v>96</v>
      </c>
      <c r="N13" s="118">
        <v>225</v>
      </c>
      <c r="O13" s="118">
        <v>600</v>
      </c>
      <c r="P13" s="118">
        <v>455</v>
      </c>
      <c r="Q13" s="118">
        <v>444</v>
      </c>
      <c r="R13" s="118">
        <v>560</v>
      </c>
      <c r="S13" s="118">
        <v>176</v>
      </c>
      <c r="T13" s="118" t="s">
        <v>96</v>
      </c>
      <c r="U13" s="118">
        <v>315</v>
      </c>
      <c r="V13" s="118">
        <v>523</v>
      </c>
      <c r="W13" s="118">
        <v>235</v>
      </c>
      <c r="X13" s="118">
        <v>429</v>
      </c>
      <c r="Y13" s="21">
        <v>200</v>
      </c>
      <c r="Z13" s="21">
        <v>230</v>
      </c>
    </row>
    <row r="14" spans="1:26" x14ac:dyDescent="0.25">
      <c r="A14" s="9" t="s">
        <v>4</v>
      </c>
      <c r="B14" s="118">
        <v>60</v>
      </c>
      <c r="C14" s="118" t="s">
        <v>96</v>
      </c>
      <c r="D14" s="118" t="s">
        <v>96</v>
      </c>
      <c r="E14" s="118" t="s">
        <v>96</v>
      </c>
      <c r="F14" s="118" t="s">
        <v>96</v>
      </c>
      <c r="G14" s="118" t="s">
        <v>96</v>
      </c>
      <c r="H14" s="118">
        <v>90</v>
      </c>
      <c r="I14" s="118" t="s">
        <v>96</v>
      </c>
      <c r="J14" s="118" t="s">
        <v>96</v>
      </c>
      <c r="K14" s="66">
        <v>20</v>
      </c>
      <c r="L14" s="118">
        <v>80</v>
      </c>
      <c r="M14" s="21">
        <v>480</v>
      </c>
      <c r="N14" s="118">
        <v>270</v>
      </c>
      <c r="O14" s="118">
        <v>455</v>
      </c>
      <c r="P14" s="118">
        <v>2649</v>
      </c>
      <c r="Q14" s="118">
        <v>502</v>
      </c>
      <c r="R14" s="118">
        <v>1705</v>
      </c>
      <c r="S14" s="118">
        <v>1780</v>
      </c>
      <c r="T14" s="118">
        <v>716</v>
      </c>
      <c r="U14" s="118">
        <v>4178</v>
      </c>
      <c r="V14" s="118">
        <v>1618</v>
      </c>
      <c r="W14" s="118">
        <v>1235</v>
      </c>
      <c r="X14" s="118">
        <v>826</v>
      </c>
      <c r="Y14" s="21">
        <v>185</v>
      </c>
      <c r="Z14" s="21">
        <v>360</v>
      </c>
    </row>
    <row r="15" spans="1:26" x14ac:dyDescent="0.25">
      <c r="A15" s="9" t="s">
        <v>5</v>
      </c>
      <c r="B15" s="118" t="s">
        <v>96</v>
      </c>
      <c r="C15" s="118" t="s">
        <v>96</v>
      </c>
      <c r="D15" s="118">
        <v>20</v>
      </c>
      <c r="E15" s="118" t="s">
        <v>96</v>
      </c>
      <c r="F15" s="118" t="s">
        <v>96</v>
      </c>
      <c r="G15" s="118">
        <v>30</v>
      </c>
      <c r="H15" s="118">
        <v>330</v>
      </c>
      <c r="I15" s="118">
        <v>150</v>
      </c>
      <c r="J15" s="118" t="s">
        <v>96</v>
      </c>
      <c r="K15" s="66">
        <v>95</v>
      </c>
      <c r="L15" s="118">
        <v>120</v>
      </c>
      <c r="M15" s="21" t="s">
        <v>96</v>
      </c>
      <c r="N15" s="118" t="s">
        <v>96</v>
      </c>
      <c r="O15" s="118">
        <v>240</v>
      </c>
      <c r="P15" s="118">
        <v>295</v>
      </c>
      <c r="Q15" s="118">
        <v>600</v>
      </c>
      <c r="R15" s="118">
        <v>300</v>
      </c>
      <c r="S15" s="118">
        <v>240</v>
      </c>
      <c r="T15" s="118" t="s">
        <v>96</v>
      </c>
      <c r="U15" s="118">
        <v>680</v>
      </c>
      <c r="V15" s="118">
        <v>290</v>
      </c>
      <c r="W15" s="118">
        <v>90</v>
      </c>
      <c r="X15" s="118">
        <v>537</v>
      </c>
      <c r="Y15" s="21" t="s">
        <v>96</v>
      </c>
      <c r="Z15" s="21" t="s">
        <v>96</v>
      </c>
    </row>
    <row r="16" spans="1:26" x14ac:dyDescent="0.25">
      <c r="A16" s="9" t="s">
        <v>6</v>
      </c>
      <c r="B16" s="118">
        <v>20</v>
      </c>
      <c r="C16" s="118" t="s">
        <v>96</v>
      </c>
      <c r="D16" s="118">
        <v>12</v>
      </c>
      <c r="E16" s="118" t="s">
        <v>96</v>
      </c>
      <c r="F16" s="118" t="s">
        <v>96</v>
      </c>
      <c r="G16" s="118" t="s">
        <v>96</v>
      </c>
      <c r="H16" s="118" t="s">
        <v>96</v>
      </c>
      <c r="I16" s="118" t="s">
        <v>96</v>
      </c>
      <c r="J16" s="118">
        <v>60</v>
      </c>
      <c r="K16" s="66">
        <v>135</v>
      </c>
      <c r="L16" s="118">
        <v>110</v>
      </c>
      <c r="M16" s="21">
        <v>110</v>
      </c>
      <c r="N16" s="118">
        <v>80</v>
      </c>
      <c r="O16" s="118">
        <v>410</v>
      </c>
      <c r="P16" s="118">
        <v>475</v>
      </c>
      <c r="Q16" s="118">
        <v>805</v>
      </c>
      <c r="R16" s="118">
        <v>250</v>
      </c>
      <c r="S16" s="118">
        <v>545</v>
      </c>
      <c r="T16" s="118">
        <v>505</v>
      </c>
      <c r="U16" s="118">
        <v>740</v>
      </c>
      <c r="V16" s="118">
        <v>540</v>
      </c>
      <c r="W16" s="118">
        <v>2005</v>
      </c>
      <c r="X16" s="118">
        <v>160</v>
      </c>
      <c r="Y16" s="21">
        <v>125</v>
      </c>
      <c r="Z16" s="21">
        <v>140</v>
      </c>
    </row>
    <row r="17" spans="1:26" x14ac:dyDescent="0.25">
      <c r="A17" s="9" t="s">
        <v>7</v>
      </c>
      <c r="B17" s="118">
        <v>20</v>
      </c>
      <c r="C17" s="118">
        <v>10</v>
      </c>
      <c r="D17" s="118" t="s">
        <v>96</v>
      </c>
      <c r="E17" s="118" t="s">
        <v>96</v>
      </c>
      <c r="F17" s="118">
        <v>6</v>
      </c>
      <c r="G17" s="118">
        <v>10</v>
      </c>
      <c r="H17" s="118" t="s">
        <v>96</v>
      </c>
      <c r="I17" s="118" t="s">
        <v>96</v>
      </c>
      <c r="J17" s="118" t="s">
        <v>96</v>
      </c>
      <c r="K17" s="66" t="s">
        <v>96</v>
      </c>
      <c r="L17" s="118">
        <v>12</v>
      </c>
      <c r="M17" s="21" t="s">
        <v>96</v>
      </c>
      <c r="N17" s="118" t="s">
        <v>96</v>
      </c>
      <c r="O17" s="118">
        <v>80</v>
      </c>
      <c r="P17" s="118">
        <v>595</v>
      </c>
      <c r="Q17" s="118">
        <v>600</v>
      </c>
      <c r="R17" s="118">
        <v>400</v>
      </c>
      <c r="S17" s="118">
        <v>360</v>
      </c>
      <c r="T17" s="118" t="s">
        <v>96</v>
      </c>
      <c r="U17" s="118">
        <v>220</v>
      </c>
      <c r="V17" s="118">
        <v>560</v>
      </c>
      <c r="W17" s="118" t="s">
        <v>96</v>
      </c>
      <c r="X17" s="118">
        <v>560</v>
      </c>
      <c r="Y17" s="21" t="s">
        <v>96</v>
      </c>
      <c r="Z17" s="21" t="s">
        <v>96</v>
      </c>
    </row>
    <row r="18" spans="1:26" x14ac:dyDescent="0.25">
      <c r="A18" s="9" t="s">
        <v>8</v>
      </c>
      <c r="B18" s="118" t="s">
        <v>96</v>
      </c>
      <c r="C18" s="118" t="s">
        <v>96</v>
      </c>
      <c r="D18" s="118" t="s">
        <v>96</v>
      </c>
      <c r="E18" s="118" t="s">
        <v>96</v>
      </c>
      <c r="F18" s="118" t="s">
        <v>96</v>
      </c>
      <c r="G18" s="118" t="s">
        <v>96</v>
      </c>
      <c r="H18" s="118">
        <v>50</v>
      </c>
      <c r="I18" s="118">
        <v>140</v>
      </c>
      <c r="J18" s="118" t="s">
        <v>96</v>
      </c>
      <c r="K18" s="66">
        <v>210</v>
      </c>
      <c r="L18" s="118" t="s">
        <v>96</v>
      </c>
      <c r="M18" s="21">
        <v>560</v>
      </c>
      <c r="N18" s="118">
        <v>65</v>
      </c>
      <c r="O18" s="118">
        <v>999</v>
      </c>
      <c r="P18" s="118">
        <v>1390</v>
      </c>
      <c r="Q18" s="118">
        <v>855</v>
      </c>
      <c r="R18" s="118">
        <v>540</v>
      </c>
      <c r="S18" s="118" t="s">
        <v>96</v>
      </c>
      <c r="T18" s="118">
        <v>420</v>
      </c>
      <c r="U18" s="118">
        <v>495</v>
      </c>
      <c r="V18" s="118">
        <v>335</v>
      </c>
      <c r="W18" s="118">
        <v>215</v>
      </c>
      <c r="X18" s="118">
        <v>215</v>
      </c>
      <c r="Y18" s="21">
        <v>150</v>
      </c>
      <c r="Z18" s="21">
        <v>465</v>
      </c>
    </row>
    <row r="19" spans="1:26" x14ac:dyDescent="0.25">
      <c r="A19" s="9" t="s">
        <v>9</v>
      </c>
      <c r="B19" s="118" t="s">
        <v>96</v>
      </c>
      <c r="C19" s="118">
        <v>75</v>
      </c>
      <c r="D19" s="118">
        <v>16</v>
      </c>
      <c r="E19" s="118" t="s">
        <v>96</v>
      </c>
      <c r="F19" s="118" t="s">
        <v>96</v>
      </c>
      <c r="G19" s="118">
        <v>62</v>
      </c>
      <c r="H19" s="118">
        <v>315</v>
      </c>
      <c r="I19" s="118">
        <v>218</v>
      </c>
      <c r="J19" s="118">
        <v>448</v>
      </c>
      <c r="K19" s="66">
        <v>260</v>
      </c>
      <c r="L19" s="118" t="s">
        <v>96</v>
      </c>
      <c r="M19" s="21">
        <v>580</v>
      </c>
      <c r="N19" s="118">
        <v>485</v>
      </c>
      <c r="O19" s="118">
        <v>448</v>
      </c>
      <c r="P19" s="118">
        <v>1018</v>
      </c>
      <c r="Q19" s="118">
        <v>959</v>
      </c>
      <c r="R19" s="118" t="s">
        <v>96</v>
      </c>
      <c r="S19" s="118">
        <v>40</v>
      </c>
      <c r="T19" s="118">
        <v>380</v>
      </c>
      <c r="U19" s="118">
        <v>1105</v>
      </c>
      <c r="V19" s="118">
        <v>1402</v>
      </c>
      <c r="W19" s="118">
        <v>360</v>
      </c>
      <c r="X19" s="118">
        <v>159</v>
      </c>
      <c r="Y19" s="21">
        <v>574</v>
      </c>
      <c r="Z19" s="21" t="s">
        <v>96</v>
      </c>
    </row>
    <row r="20" spans="1:26" x14ac:dyDescent="0.25">
      <c r="A20" s="9" t="s">
        <v>10</v>
      </c>
      <c r="B20" s="118" t="s">
        <v>96</v>
      </c>
      <c r="C20" s="118" t="s">
        <v>96</v>
      </c>
      <c r="D20" s="118" t="s">
        <v>96</v>
      </c>
      <c r="E20" s="118" t="s">
        <v>96</v>
      </c>
      <c r="F20" s="118">
        <v>230</v>
      </c>
      <c r="G20" s="118">
        <v>140</v>
      </c>
      <c r="H20" s="118">
        <v>1150</v>
      </c>
      <c r="I20" s="118">
        <v>2030</v>
      </c>
      <c r="J20" s="118">
        <v>2772</v>
      </c>
      <c r="K20" s="66">
        <v>1760</v>
      </c>
      <c r="L20" s="118">
        <v>2360</v>
      </c>
      <c r="M20" s="21">
        <v>3975</v>
      </c>
      <c r="N20" s="118">
        <v>3855</v>
      </c>
      <c r="O20" s="118">
        <v>13832</v>
      </c>
      <c r="P20" s="118">
        <v>17329</v>
      </c>
      <c r="Q20" s="118">
        <v>15652</v>
      </c>
      <c r="R20" s="118">
        <v>5047</v>
      </c>
      <c r="S20" s="118">
        <v>5717</v>
      </c>
      <c r="T20" s="118">
        <v>4884</v>
      </c>
      <c r="U20" s="118">
        <v>4685</v>
      </c>
      <c r="V20" s="118">
        <v>4452</v>
      </c>
      <c r="W20" s="118">
        <v>2700</v>
      </c>
      <c r="X20" s="118">
        <v>7199</v>
      </c>
      <c r="Y20" s="21">
        <v>10599</v>
      </c>
      <c r="Z20" s="21">
        <v>10747</v>
      </c>
    </row>
    <row r="21" spans="1:26" x14ac:dyDescent="0.25">
      <c r="A21" s="9" t="s">
        <v>11</v>
      </c>
      <c r="B21" s="118" t="s">
        <v>96</v>
      </c>
      <c r="C21" s="118" t="s">
        <v>96</v>
      </c>
      <c r="D21" s="118">
        <v>280</v>
      </c>
      <c r="E21" s="118" t="s">
        <v>96</v>
      </c>
      <c r="F21" s="118" t="s">
        <v>96</v>
      </c>
      <c r="G21" s="118" t="s">
        <v>96</v>
      </c>
      <c r="H21" s="118" t="s">
        <v>96</v>
      </c>
      <c r="I21" s="118" t="s">
        <v>96</v>
      </c>
      <c r="J21" s="118" t="s">
        <v>96</v>
      </c>
      <c r="K21" s="66" t="s">
        <v>96</v>
      </c>
      <c r="L21" s="118" t="s">
        <v>96</v>
      </c>
      <c r="M21" s="21" t="s">
        <v>96</v>
      </c>
      <c r="N21" s="118">
        <v>300</v>
      </c>
      <c r="O21" s="118">
        <v>260</v>
      </c>
      <c r="P21" s="118">
        <v>565</v>
      </c>
      <c r="Q21" s="118">
        <v>910</v>
      </c>
      <c r="R21" s="118">
        <v>460</v>
      </c>
      <c r="S21" s="118" t="s">
        <v>96</v>
      </c>
      <c r="T21" s="118" t="s">
        <v>96</v>
      </c>
      <c r="U21" s="118">
        <v>460</v>
      </c>
      <c r="V21" s="118">
        <v>155</v>
      </c>
      <c r="W21" s="118" t="s">
        <v>96</v>
      </c>
      <c r="X21" s="118">
        <v>265</v>
      </c>
      <c r="Y21" s="21" t="s">
        <v>96</v>
      </c>
      <c r="Z21" s="21" t="s">
        <v>96</v>
      </c>
    </row>
    <row r="22" spans="1:26" x14ac:dyDescent="0.25">
      <c r="A22" s="9" t="s">
        <v>12</v>
      </c>
      <c r="B22" s="118" t="s">
        <v>96</v>
      </c>
      <c r="C22" s="118" t="s">
        <v>96</v>
      </c>
      <c r="D22" s="118" t="s">
        <v>96</v>
      </c>
      <c r="E22" s="118" t="s">
        <v>96</v>
      </c>
      <c r="F22" s="118">
        <v>45</v>
      </c>
      <c r="G22" s="118" t="s">
        <v>96</v>
      </c>
      <c r="H22" s="118" t="s">
        <v>96</v>
      </c>
      <c r="I22" s="118">
        <v>25</v>
      </c>
      <c r="J22" s="118">
        <v>30</v>
      </c>
      <c r="K22" s="66">
        <v>345</v>
      </c>
      <c r="L22" s="118">
        <v>160</v>
      </c>
      <c r="M22" s="21">
        <v>150</v>
      </c>
      <c r="N22" s="118" t="s">
        <v>96</v>
      </c>
      <c r="O22" s="118">
        <v>1528</v>
      </c>
      <c r="P22" s="118">
        <v>1211</v>
      </c>
      <c r="Q22" s="118">
        <v>551</v>
      </c>
      <c r="R22" s="118" t="s">
        <v>96</v>
      </c>
      <c r="S22" s="118">
        <v>220</v>
      </c>
      <c r="T22" s="118">
        <v>55</v>
      </c>
      <c r="U22" s="118">
        <v>974</v>
      </c>
      <c r="V22" s="118">
        <v>810</v>
      </c>
      <c r="W22" s="118">
        <v>60</v>
      </c>
      <c r="X22" s="118">
        <v>975</v>
      </c>
      <c r="Y22" s="21">
        <v>782</v>
      </c>
      <c r="Z22" s="21">
        <v>280</v>
      </c>
    </row>
    <row r="23" spans="1:26" x14ac:dyDescent="0.25">
      <c r="A23" s="9" t="s">
        <v>13</v>
      </c>
      <c r="B23" s="118" t="s">
        <v>96</v>
      </c>
      <c r="C23" s="118" t="s">
        <v>96</v>
      </c>
      <c r="D23" s="118" t="s">
        <v>96</v>
      </c>
      <c r="E23" s="118" t="s">
        <v>96</v>
      </c>
      <c r="F23" s="118" t="s">
        <v>96</v>
      </c>
      <c r="G23" s="118" t="s">
        <v>96</v>
      </c>
      <c r="H23" s="118" t="s">
        <v>96</v>
      </c>
      <c r="I23" s="118" t="s">
        <v>96</v>
      </c>
      <c r="J23" s="118" t="s">
        <v>96</v>
      </c>
      <c r="K23" s="66" t="s">
        <v>96</v>
      </c>
      <c r="L23" s="118" t="s">
        <v>96</v>
      </c>
      <c r="M23" s="21">
        <v>150</v>
      </c>
      <c r="N23" s="118">
        <v>110</v>
      </c>
      <c r="O23" s="118" t="s">
        <v>96</v>
      </c>
      <c r="P23" s="118">
        <v>240</v>
      </c>
      <c r="Q23" s="118">
        <v>1260</v>
      </c>
      <c r="R23" s="118">
        <v>402</v>
      </c>
      <c r="S23" s="118">
        <v>390</v>
      </c>
      <c r="T23" s="118">
        <v>50</v>
      </c>
      <c r="U23" s="118">
        <v>300</v>
      </c>
      <c r="V23" s="118">
        <v>150</v>
      </c>
      <c r="W23" s="118">
        <v>410</v>
      </c>
      <c r="X23" s="118">
        <v>60</v>
      </c>
      <c r="Y23" s="21" t="s">
        <v>96</v>
      </c>
      <c r="Z23" s="21" t="s">
        <v>96</v>
      </c>
    </row>
    <row r="24" spans="1:26" x14ac:dyDescent="0.25">
      <c r="A24" s="9" t="s">
        <v>14</v>
      </c>
      <c r="B24" s="118" t="s">
        <v>96</v>
      </c>
      <c r="C24" s="118">
        <v>25</v>
      </c>
      <c r="D24" s="118" t="s">
        <v>96</v>
      </c>
      <c r="E24" s="118">
        <v>90</v>
      </c>
      <c r="F24" s="118" t="s">
        <v>96</v>
      </c>
      <c r="G24" s="118">
        <v>50</v>
      </c>
      <c r="H24" s="118">
        <v>20</v>
      </c>
      <c r="I24" s="118" t="s">
        <v>96</v>
      </c>
      <c r="J24" s="118" t="s">
        <v>96</v>
      </c>
      <c r="K24" s="66">
        <v>20</v>
      </c>
      <c r="L24" s="118" t="s">
        <v>96</v>
      </c>
      <c r="M24" s="21" t="s">
        <v>96</v>
      </c>
      <c r="N24" s="118">
        <v>500</v>
      </c>
      <c r="O24" s="118">
        <v>1057</v>
      </c>
      <c r="P24" s="118">
        <v>1185</v>
      </c>
      <c r="Q24" s="118" t="s">
        <v>96</v>
      </c>
      <c r="R24" s="118">
        <v>250</v>
      </c>
      <c r="S24" s="118" t="s">
        <v>96</v>
      </c>
      <c r="T24" s="118">
        <v>250</v>
      </c>
      <c r="U24" s="118">
        <v>800</v>
      </c>
      <c r="V24" s="118">
        <v>960</v>
      </c>
      <c r="W24" s="118">
        <v>370</v>
      </c>
      <c r="X24" s="118" t="s">
        <v>96</v>
      </c>
      <c r="Y24" s="21" t="s">
        <v>96</v>
      </c>
      <c r="Z24" s="21" t="s">
        <v>96</v>
      </c>
    </row>
    <row r="25" spans="1:26" x14ac:dyDescent="0.25">
      <c r="A25" s="9" t="s">
        <v>15</v>
      </c>
      <c r="B25" s="118" t="s">
        <v>96</v>
      </c>
      <c r="C25" s="118" t="s">
        <v>96</v>
      </c>
      <c r="D25" s="118" t="s">
        <v>96</v>
      </c>
      <c r="E25" s="118" t="s">
        <v>96</v>
      </c>
      <c r="F25" s="118">
        <v>90</v>
      </c>
      <c r="G25" s="118" t="s">
        <v>96</v>
      </c>
      <c r="H25" s="118" t="s">
        <v>96</v>
      </c>
      <c r="I25" s="118">
        <v>20</v>
      </c>
      <c r="J25" s="118" t="s">
        <v>96</v>
      </c>
      <c r="K25" s="66" t="s">
        <v>96</v>
      </c>
      <c r="L25" s="118" t="s">
        <v>96</v>
      </c>
      <c r="M25" s="21">
        <v>455</v>
      </c>
      <c r="N25" s="118">
        <v>120</v>
      </c>
      <c r="O25" s="118">
        <v>339</v>
      </c>
      <c r="P25" s="118">
        <v>90</v>
      </c>
      <c r="Q25" s="118">
        <v>620</v>
      </c>
      <c r="R25" s="118">
        <v>110</v>
      </c>
      <c r="S25" s="118">
        <v>100</v>
      </c>
      <c r="T25" s="118">
        <v>25</v>
      </c>
      <c r="U25" s="118">
        <v>340</v>
      </c>
      <c r="V25" s="118">
        <v>350</v>
      </c>
      <c r="W25" s="118">
        <v>570</v>
      </c>
      <c r="X25" s="118">
        <v>350</v>
      </c>
      <c r="Y25" s="21">
        <v>190</v>
      </c>
      <c r="Z25" s="21" t="s">
        <v>96</v>
      </c>
    </row>
    <row r="26" spans="1:26" x14ac:dyDescent="0.25">
      <c r="A26" s="9" t="s">
        <v>16</v>
      </c>
      <c r="B26" s="118" t="s">
        <v>96</v>
      </c>
      <c r="C26" s="118" t="s">
        <v>96</v>
      </c>
      <c r="D26" s="118" t="s">
        <v>96</v>
      </c>
      <c r="E26" s="118" t="s">
        <v>96</v>
      </c>
      <c r="F26" s="118" t="s">
        <v>96</v>
      </c>
      <c r="G26" s="118" t="s">
        <v>96</v>
      </c>
      <c r="H26" s="118" t="s">
        <v>96</v>
      </c>
      <c r="I26" s="118" t="s">
        <v>96</v>
      </c>
      <c r="J26" s="118" t="s">
        <v>96</v>
      </c>
      <c r="K26" s="66" t="s">
        <v>96</v>
      </c>
      <c r="L26" s="118" t="s">
        <v>96</v>
      </c>
      <c r="M26" s="21">
        <v>104</v>
      </c>
      <c r="N26" s="118" t="s">
        <v>96</v>
      </c>
      <c r="O26" s="118">
        <v>240</v>
      </c>
      <c r="P26" s="118">
        <v>280</v>
      </c>
      <c r="Q26" s="118">
        <v>600</v>
      </c>
      <c r="R26" s="118">
        <v>120</v>
      </c>
      <c r="S26" s="118">
        <v>369</v>
      </c>
      <c r="T26" s="118">
        <v>260</v>
      </c>
      <c r="U26" s="118">
        <v>195</v>
      </c>
      <c r="V26" s="118">
        <v>1054</v>
      </c>
      <c r="W26" s="118">
        <v>715</v>
      </c>
      <c r="X26" s="118">
        <v>620</v>
      </c>
      <c r="Y26" s="21">
        <v>75</v>
      </c>
      <c r="Z26" s="21" t="s">
        <v>96</v>
      </c>
    </row>
    <row r="27" spans="1:26" x14ac:dyDescent="0.25">
      <c r="A27" s="9" t="s">
        <v>17</v>
      </c>
      <c r="B27" s="118" t="s">
        <v>96</v>
      </c>
      <c r="C27" s="118" t="s">
        <v>96</v>
      </c>
      <c r="D27" s="118" t="s">
        <v>96</v>
      </c>
      <c r="E27" s="118" t="s">
        <v>96</v>
      </c>
      <c r="F27" s="118" t="s">
        <v>96</v>
      </c>
      <c r="G27" s="118" t="s">
        <v>96</v>
      </c>
      <c r="H27" s="118">
        <v>12</v>
      </c>
      <c r="I27" s="118">
        <v>420</v>
      </c>
      <c r="J27" s="118">
        <v>220</v>
      </c>
      <c r="K27" s="66">
        <v>20</v>
      </c>
      <c r="L27" s="118">
        <v>140</v>
      </c>
      <c r="M27" s="21" t="s">
        <v>96</v>
      </c>
      <c r="N27" s="118">
        <v>280</v>
      </c>
      <c r="O27" s="118">
        <v>640</v>
      </c>
      <c r="P27" s="118">
        <v>423</v>
      </c>
      <c r="Q27" s="118">
        <v>120</v>
      </c>
      <c r="R27" s="118">
        <v>1110</v>
      </c>
      <c r="S27" s="118">
        <v>250</v>
      </c>
      <c r="T27" s="118">
        <v>460</v>
      </c>
      <c r="U27" s="118">
        <v>550</v>
      </c>
      <c r="V27" s="118">
        <v>1140</v>
      </c>
      <c r="W27" s="118">
        <v>920</v>
      </c>
      <c r="X27" s="118" t="s">
        <v>96</v>
      </c>
      <c r="Y27" s="21">
        <v>280</v>
      </c>
      <c r="Z27" s="21" t="s">
        <v>96</v>
      </c>
    </row>
    <row r="28" spans="1:26" x14ac:dyDescent="0.25">
      <c r="A28" s="9" t="s">
        <v>18</v>
      </c>
      <c r="B28" s="118">
        <v>1680</v>
      </c>
      <c r="C28" s="118">
        <v>2391</v>
      </c>
      <c r="D28" s="118">
        <v>3760</v>
      </c>
      <c r="E28" s="118">
        <v>5030</v>
      </c>
      <c r="F28" s="118">
        <v>3850</v>
      </c>
      <c r="G28" s="118">
        <v>2580</v>
      </c>
      <c r="H28" s="118">
        <v>14715</v>
      </c>
      <c r="I28" s="118">
        <v>15325</v>
      </c>
      <c r="J28" s="118">
        <v>12030</v>
      </c>
      <c r="K28" s="66">
        <v>4270</v>
      </c>
      <c r="L28" s="118">
        <v>4025</v>
      </c>
      <c r="M28" s="21">
        <v>3305</v>
      </c>
      <c r="N28" s="118">
        <v>10900</v>
      </c>
      <c r="O28" s="118">
        <v>4965</v>
      </c>
      <c r="P28" s="118">
        <v>4345</v>
      </c>
      <c r="Q28" s="118">
        <v>5155</v>
      </c>
      <c r="R28" s="118">
        <v>4940</v>
      </c>
      <c r="S28" s="118">
        <v>2260</v>
      </c>
      <c r="T28" s="118">
        <v>4840</v>
      </c>
      <c r="U28" s="118">
        <v>5280</v>
      </c>
      <c r="V28" s="118">
        <v>5357</v>
      </c>
      <c r="W28" s="118">
        <v>6161</v>
      </c>
      <c r="X28" s="118">
        <v>7880</v>
      </c>
      <c r="Y28" s="21">
        <v>9558</v>
      </c>
      <c r="Z28" s="21">
        <v>6537</v>
      </c>
    </row>
    <row r="29" spans="1:26" ht="18" x14ac:dyDescent="0.25">
      <c r="A29" s="8" t="s">
        <v>113</v>
      </c>
      <c r="B29" s="120">
        <v>616</v>
      </c>
      <c r="C29" s="120">
        <v>335</v>
      </c>
      <c r="D29" s="120">
        <v>105</v>
      </c>
      <c r="E29" s="120">
        <v>275</v>
      </c>
      <c r="F29" s="120">
        <v>140</v>
      </c>
      <c r="G29" s="120">
        <v>648</v>
      </c>
      <c r="H29" s="120" t="s">
        <v>96</v>
      </c>
      <c r="I29" s="120">
        <v>1225</v>
      </c>
      <c r="J29" s="120">
        <v>2350</v>
      </c>
      <c r="K29" s="65">
        <v>2415</v>
      </c>
      <c r="L29" s="120">
        <v>1617</v>
      </c>
      <c r="M29" s="22">
        <v>5553</v>
      </c>
      <c r="N29" s="120">
        <v>4235</v>
      </c>
      <c r="O29" s="120">
        <v>4218</v>
      </c>
      <c r="P29" s="120">
        <v>7435</v>
      </c>
      <c r="Q29" s="120">
        <v>11014</v>
      </c>
      <c r="R29" s="120">
        <v>7477</v>
      </c>
      <c r="S29" s="120">
        <v>6057</v>
      </c>
      <c r="T29" s="120">
        <v>4387</v>
      </c>
      <c r="U29" s="120">
        <v>10454</v>
      </c>
      <c r="V29" s="120">
        <v>9323</v>
      </c>
      <c r="W29" s="120">
        <v>12782</v>
      </c>
      <c r="X29" s="120">
        <v>8451</v>
      </c>
      <c r="Y29" s="22">
        <v>9330</v>
      </c>
      <c r="Z29" s="22">
        <v>11142</v>
      </c>
    </row>
    <row r="30" spans="1:26" x14ac:dyDescent="0.25">
      <c r="A30" s="9" t="s">
        <v>19</v>
      </c>
      <c r="B30" s="118">
        <v>320</v>
      </c>
      <c r="C30" s="118" t="s">
        <v>96</v>
      </c>
      <c r="D30" s="118">
        <v>60</v>
      </c>
      <c r="E30" s="118" t="s">
        <v>96</v>
      </c>
      <c r="F30" s="118" t="s">
        <v>96</v>
      </c>
      <c r="G30" s="118" t="s">
        <v>96</v>
      </c>
      <c r="H30" s="118" t="s">
        <v>96</v>
      </c>
      <c r="I30" s="118" t="s">
        <v>96</v>
      </c>
      <c r="J30" s="118">
        <v>40</v>
      </c>
      <c r="K30" s="66" t="s">
        <v>96</v>
      </c>
      <c r="L30" s="118" t="s">
        <v>96</v>
      </c>
      <c r="M30" s="21" t="s">
        <v>96</v>
      </c>
      <c r="N30" s="118" t="s">
        <v>96</v>
      </c>
      <c r="O30" s="118">
        <v>280</v>
      </c>
      <c r="P30" s="118">
        <v>278</v>
      </c>
      <c r="Q30" s="118">
        <v>300</v>
      </c>
      <c r="R30" s="118">
        <v>210</v>
      </c>
      <c r="S30" s="118">
        <v>150</v>
      </c>
      <c r="T30" s="118">
        <v>300</v>
      </c>
      <c r="U30" s="118">
        <v>580</v>
      </c>
      <c r="V30" s="118">
        <v>600</v>
      </c>
      <c r="W30" s="118">
        <v>500</v>
      </c>
      <c r="X30" s="118">
        <v>600</v>
      </c>
      <c r="Y30" s="21">
        <v>280</v>
      </c>
      <c r="Z30" s="21">
        <v>300</v>
      </c>
    </row>
    <row r="31" spans="1:26" x14ac:dyDescent="0.25">
      <c r="A31" s="9" t="s">
        <v>20</v>
      </c>
      <c r="B31" s="118" t="s">
        <v>96</v>
      </c>
      <c r="C31" s="118" t="s">
        <v>96</v>
      </c>
      <c r="D31" s="118" t="s">
        <v>96</v>
      </c>
      <c r="E31" s="118">
        <v>95</v>
      </c>
      <c r="F31" s="118" t="s">
        <v>96</v>
      </c>
      <c r="G31" s="118" t="s">
        <v>96</v>
      </c>
      <c r="H31" s="118" t="s">
        <v>96</v>
      </c>
      <c r="I31" s="118" t="s">
        <v>96</v>
      </c>
      <c r="J31" s="118">
        <v>40</v>
      </c>
      <c r="K31" s="66">
        <v>260</v>
      </c>
      <c r="L31" s="118">
        <v>27</v>
      </c>
      <c r="M31" s="21">
        <v>760</v>
      </c>
      <c r="N31" s="118">
        <v>590</v>
      </c>
      <c r="O31" s="118">
        <v>605</v>
      </c>
      <c r="P31" s="118">
        <v>1215</v>
      </c>
      <c r="Q31" s="118">
        <v>995</v>
      </c>
      <c r="R31" s="118">
        <v>265</v>
      </c>
      <c r="S31" s="118">
        <v>40</v>
      </c>
      <c r="T31" s="118" t="s">
        <v>96</v>
      </c>
      <c r="U31" s="118">
        <v>50</v>
      </c>
      <c r="V31" s="118">
        <v>529</v>
      </c>
      <c r="W31" s="118">
        <v>45</v>
      </c>
      <c r="X31" s="118">
        <v>410</v>
      </c>
      <c r="Y31" s="21">
        <v>40</v>
      </c>
      <c r="Z31" s="21">
        <v>168</v>
      </c>
    </row>
    <row r="32" spans="1:26" x14ac:dyDescent="0.25">
      <c r="A32" s="9" t="s">
        <v>21</v>
      </c>
      <c r="B32" s="118" t="s">
        <v>96</v>
      </c>
      <c r="C32" s="118">
        <v>40</v>
      </c>
      <c r="D32" s="118">
        <v>45</v>
      </c>
      <c r="E32" s="118" t="s">
        <v>96</v>
      </c>
      <c r="F32" s="118" t="s">
        <v>96</v>
      </c>
      <c r="G32" s="118" t="s">
        <v>96</v>
      </c>
      <c r="H32" s="118" t="s">
        <v>96</v>
      </c>
      <c r="I32" s="118" t="s">
        <v>96</v>
      </c>
      <c r="J32" s="118">
        <v>220</v>
      </c>
      <c r="K32" s="66">
        <v>330</v>
      </c>
      <c r="L32" s="118" t="s">
        <v>96</v>
      </c>
      <c r="M32" s="21">
        <v>140</v>
      </c>
      <c r="N32" s="118">
        <v>437</v>
      </c>
      <c r="O32" s="118">
        <v>60</v>
      </c>
      <c r="P32" s="118">
        <v>550</v>
      </c>
      <c r="Q32" s="118">
        <v>1245</v>
      </c>
      <c r="R32" s="118">
        <v>400</v>
      </c>
      <c r="S32" s="118">
        <v>320</v>
      </c>
      <c r="T32" s="118">
        <v>60</v>
      </c>
      <c r="U32" s="118">
        <v>525</v>
      </c>
      <c r="V32" s="118">
        <v>2240</v>
      </c>
      <c r="W32" s="118">
        <v>1400</v>
      </c>
      <c r="X32" s="118">
        <v>270</v>
      </c>
      <c r="Y32" s="21" t="s">
        <v>96</v>
      </c>
      <c r="Z32" s="21">
        <v>200</v>
      </c>
    </row>
    <row r="33" spans="1:26" x14ac:dyDescent="0.25">
      <c r="A33" s="4" t="s">
        <v>63</v>
      </c>
      <c r="B33" s="118"/>
      <c r="C33" s="118"/>
      <c r="D33" s="118"/>
      <c r="E33" s="118"/>
      <c r="F33" s="118"/>
      <c r="G33" s="120"/>
      <c r="H33" s="118"/>
      <c r="I33" s="118"/>
      <c r="J33" s="118"/>
      <c r="K33" s="118"/>
      <c r="L33" s="120"/>
      <c r="M33" s="21"/>
      <c r="N33" s="120"/>
      <c r="O33" s="120"/>
      <c r="P33" s="120"/>
      <c r="Q33" s="120"/>
      <c r="R33" s="120"/>
      <c r="S33" s="118"/>
      <c r="T33" s="118"/>
      <c r="U33" s="118"/>
      <c r="V33" s="118"/>
      <c r="W33" s="118"/>
      <c r="X33" s="118"/>
      <c r="Y33" s="21"/>
      <c r="Z33" s="21"/>
    </row>
    <row r="34" spans="1:26" ht="19.5" x14ac:dyDescent="0.25">
      <c r="A34" s="14" t="s">
        <v>152</v>
      </c>
      <c r="B34" s="118" t="s">
        <v>96</v>
      </c>
      <c r="C34" s="118" t="s">
        <v>96</v>
      </c>
      <c r="D34" s="118" t="s">
        <v>96</v>
      </c>
      <c r="E34" s="118" t="s">
        <v>96</v>
      </c>
      <c r="F34" s="118" t="s">
        <v>96</v>
      </c>
      <c r="G34" s="118" t="s">
        <v>96</v>
      </c>
      <c r="H34" s="118" t="s">
        <v>96</v>
      </c>
      <c r="I34" s="118" t="s">
        <v>96</v>
      </c>
      <c r="J34" s="118">
        <v>220</v>
      </c>
      <c r="K34" s="66">
        <v>300</v>
      </c>
      <c r="L34" s="118" t="s">
        <v>96</v>
      </c>
      <c r="M34" s="21">
        <v>30</v>
      </c>
      <c r="N34" s="118">
        <v>75</v>
      </c>
      <c r="O34" s="118" t="s">
        <v>96</v>
      </c>
      <c r="P34" s="118" t="s">
        <v>96</v>
      </c>
      <c r="Q34" s="118">
        <v>300</v>
      </c>
      <c r="R34" s="118" t="s">
        <v>96</v>
      </c>
      <c r="S34" s="118">
        <v>220</v>
      </c>
      <c r="T34" s="118" t="s">
        <v>96</v>
      </c>
      <c r="U34" s="118" t="s">
        <v>96</v>
      </c>
      <c r="V34" s="118" t="s">
        <v>96</v>
      </c>
      <c r="W34" s="118">
        <v>60</v>
      </c>
      <c r="X34" s="118" t="s">
        <v>96</v>
      </c>
      <c r="Y34" s="21" t="s">
        <v>96</v>
      </c>
      <c r="Z34" s="21">
        <v>60</v>
      </c>
    </row>
    <row r="35" spans="1:26" ht="19.5" x14ac:dyDescent="0.25">
      <c r="A35" s="14" t="s">
        <v>93</v>
      </c>
      <c r="B35" s="118" t="s">
        <v>96</v>
      </c>
      <c r="C35" s="118">
        <v>40</v>
      </c>
      <c r="D35" s="118">
        <v>45</v>
      </c>
      <c r="E35" s="118" t="s">
        <v>96</v>
      </c>
      <c r="F35" s="118" t="s">
        <v>96</v>
      </c>
      <c r="G35" s="118" t="s">
        <v>96</v>
      </c>
      <c r="H35" s="118" t="s">
        <v>96</v>
      </c>
      <c r="I35" s="118" t="s">
        <v>96</v>
      </c>
      <c r="J35" s="118" t="s">
        <v>96</v>
      </c>
      <c r="K35" s="118">
        <f>K32-K34</f>
        <v>30</v>
      </c>
      <c r="L35" s="118" t="s">
        <v>96</v>
      </c>
      <c r="M35" s="21">
        <v>110</v>
      </c>
      <c r="N35" s="118">
        <v>362</v>
      </c>
      <c r="O35" s="118">
        <v>60</v>
      </c>
      <c r="P35" s="118">
        <v>550</v>
      </c>
      <c r="Q35" s="118">
        <v>945</v>
      </c>
      <c r="R35" s="118">
        <v>400</v>
      </c>
      <c r="S35" s="118">
        <v>100</v>
      </c>
      <c r="T35" s="118">
        <v>60</v>
      </c>
      <c r="U35" s="118">
        <v>525</v>
      </c>
      <c r="V35" s="118">
        <v>2240</v>
      </c>
      <c r="W35" s="118">
        <v>1340</v>
      </c>
      <c r="X35" s="118">
        <v>270</v>
      </c>
      <c r="Y35" s="21" t="s">
        <v>96</v>
      </c>
      <c r="Z35" s="21">
        <v>140</v>
      </c>
    </row>
    <row r="36" spans="1:26" x14ac:dyDescent="0.25">
      <c r="A36" s="9" t="s">
        <v>24</v>
      </c>
      <c r="B36" s="118">
        <v>280</v>
      </c>
      <c r="C36" s="118">
        <v>90</v>
      </c>
      <c r="D36" s="118" t="s">
        <v>96</v>
      </c>
      <c r="E36" s="118" t="s">
        <v>96</v>
      </c>
      <c r="F36" s="118">
        <v>90</v>
      </c>
      <c r="G36" s="118">
        <v>48</v>
      </c>
      <c r="H36" s="118" t="s">
        <v>96</v>
      </c>
      <c r="I36" s="118">
        <v>60</v>
      </c>
      <c r="J36" s="118">
        <v>190</v>
      </c>
      <c r="K36" s="66">
        <v>30</v>
      </c>
      <c r="L36" s="118">
        <v>395</v>
      </c>
      <c r="M36" s="21">
        <v>450</v>
      </c>
      <c r="N36" s="118">
        <v>600</v>
      </c>
      <c r="O36" s="118">
        <v>410</v>
      </c>
      <c r="P36" s="118">
        <v>792</v>
      </c>
      <c r="Q36" s="118">
        <v>500</v>
      </c>
      <c r="R36" s="118">
        <v>440</v>
      </c>
      <c r="S36" s="118">
        <v>577</v>
      </c>
      <c r="T36" s="118">
        <v>420</v>
      </c>
      <c r="U36" s="118">
        <v>2380</v>
      </c>
      <c r="V36" s="118">
        <v>801</v>
      </c>
      <c r="W36" s="118">
        <v>740</v>
      </c>
      <c r="X36" s="118">
        <v>640</v>
      </c>
      <c r="Y36" s="21" t="s">
        <v>96</v>
      </c>
      <c r="Z36" s="21">
        <v>469</v>
      </c>
    </row>
    <row r="37" spans="1:26" x14ac:dyDescent="0.25">
      <c r="A37" s="9" t="s">
        <v>25</v>
      </c>
      <c r="B37" s="118" t="s">
        <v>96</v>
      </c>
      <c r="C37" s="118" t="s">
        <v>96</v>
      </c>
      <c r="D37" s="118" t="s">
        <v>96</v>
      </c>
      <c r="E37" s="118" t="s">
        <v>96</v>
      </c>
      <c r="F37" s="118" t="s">
        <v>96</v>
      </c>
      <c r="G37" s="118" t="s">
        <v>96</v>
      </c>
      <c r="H37" s="118" t="s">
        <v>96</v>
      </c>
      <c r="I37" s="118">
        <v>240</v>
      </c>
      <c r="J37" s="118" t="s">
        <v>96</v>
      </c>
      <c r="K37" s="66">
        <v>240</v>
      </c>
      <c r="L37" s="118" t="s">
        <v>96</v>
      </c>
      <c r="M37" s="21">
        <v>295</v>
      </c>
      <c r="N37" s="118">
        <v>28</v>
      </c>
      <c r="O37" s="118">
        <v>580</v>
      </c>
      <c r="P37" s="118">
        <v>1245</v>
      </c>
      <c r="Q37" s="118">
        <v>2715</v>
      </c>
      <c r="R37" s="118">
        <v>832</v>
      </c>
      <c r="S37" s="118" t="s">
        <v>96</v>
      </c>
      <c r="T37" s="118" t="s">
        <v>96</v>
      </c>
      <c r="U37" s="118">
        <v>573</v>
      </c>
      <c r="V37" s="118">
        <v>678</v>
      </c>
      <c r="W37" s="118">
        <v>335</v>
      </c>
      <c r="X37" s="118">
        <v>1035</v>
      </c>
      <c r="Y37" s="21">
        <v>225</v>
      </c>
      <c r="Z37" s="21">
        <v>575</v>
      </c>
    </row>
    <row r="38" spans="1:26" x14ac:dyDescent="0.25">
      <c r="A38" s="9" t="s">
        <v>26</v>
      </c>
      <c r="B38" s="118" t="s">
        <v>96</v>
      </c>
      <c r="C38" s="118" t="s">
        <v>96</v>
      </c>
      <c r="D38" s="118" t="s">
        <v>96</v>
      </c>
      <c r="E38" s="118" t="s">
        <v>96</v>
      </c>
      <c r="F38" s="118" t="s">
        <v>96</v>
      </c>
      <c r="G38" s="118" t="s">
        <v>96</v>
      </c>
      <c r="H38" s="118" t="s">
        <v>96</v>
      </c>
      <c r="I38" s="118" t="s">
        <v>96</v>
      </c>
      <c r="J38" s="118">
        <v>230</v>
      </c>
      <c r="K38" s="66">
        <v>75</v>
      </c>
      <c r="L38" s="118">
        <v>280</v>
      </c>
      <c r="M38" s="21">
        <v>100</v>
      </c>
      <c r="N38" s="118">
        <v>940</v>
      </c>
      <c r="O38" s="118">
        <v>560</v>
      </c>
      <c r="P38" s="118">
        <v>420</v>
      </c>
      <c r="Q38" s="118">
        <v>2845</v>
      </c>
      <c r="R38" s="118">
        <v>1955</v>
      </c>
      <c r="S38" s="118">
        <v>1860</v>
      </c>
      <c r="T38" s="118">
        <v>882</v>
      </c>
      <c r="U38" s="118">
        <v>2085</v>
      </c>
      <c r="V38" s="118">
        <v>1580</v>
      </c>
      <c r="W38" s="118">
        <v>1740</v>
      </c>
      <c r="X38" s="118">
        <v>1435</v>
      </c>
      <c r="Y38" s="21">
        <v>1715</v>
      </c>
      <c r="Z38" s="21">
        <v>1275</v>
      </c>
    </row>
    <row r="39" spans="1:26" x14ac:dyDescent="0.25">
      <c r="A39" s="9" t="s">
        <v>27</v>
      </c>
      <c r="B39" s="118" t="s">
        <v>96</v>
      </c>
      <c r="C39" s="118" t="s">
        <v>96</v>
      </c>
      <c r="D39" s="118" t="s">
        <v>96</v>
      </c>
      <c r="E39" s="118">
        <v>80</v>
      </c>
      <c r="F39" s="118" t="s">
        <v>96</v>
      </c>
      <c r="G39" s="118">
        <v>245</v>
      </c>
      <c r="H39" s="118" t="s">
        <v>96</v>
      </c>
      <c r="I39" s="118">
        <v>330</v>
      </c>
      <c r="J39" s="118" t="s">
        <v>96</v>
      </c>
      <c r="K39" s="66">
        <v>25</v>
      </c>
      <c r="L39" s="118">
        <v>115</v>
      </c>
      <c r="M39" s="21">
        <v>338</v>
      </c>
      <c r="N39" s="118">
        <v>55</v>
      </c>
      <c r="O39" s="118">
        <v>150</v>
      </c>
      <c r="P39" s="118">
        <v>170</v>
      </c>
      <c r="Q39" s="118">
        <v>360</v>
      </c>
      <c r="R39" s="118">
        <v>360</v>
      </c>
      <c r="S39" s="118">
        <v>140</v>
      </c>
      <c r="T39" s="118">
        <v>220</v>
      </c>
      <c r="U39" s="118">
        <v>275</v>
      </c>
      <c r="V39" s="118" t="s">
        <v>96</v>
      </c>
      <c r="W39" s="118">
        <v>295</v>
      </c>
      <c r="X39" s="118">
        <v>276</v>
      </c>
      <c r="Y39" s="21">
        <v>75</v>
      </c>
      <c r="Z39" s="21" t="s">
        <v>96</v>
      </c>
    </row>
    <row r="40" spans="1:26" x14ac:dyDescent="0.25">
      <c r="A40" s="9" t="s">
        <v>28</v>
      </c>
      <c r="B40" s="118">
        <v>16</v>
      </c>
      <c r="C40" s="118">
        <v>105</v>
      </c>
      <c r="D40" s="118" t="s">
        <v>96</v>
      </c>
      <c r="E40" s="118" t="s">
        <v>96</v>
      </c>
      <c r="F40" s="118" t="s">
        <v>96</v>
      </c>
      <c r="G40" s="118" t="s">
        <v>96</v>
      </c>
      <c r="H40" s="118" t="s">
        <v>96</v>
      </c>
      <c r="I40" s="118" t="s">
        <v>96</v>
      </c>
      <c r="J40" s="118" t="s">
        <v>96</v>
      </c>
      <c r="K40" s="66">
        <v>140</v>
      </c>
      <c r="L40" s="118" t="s">
        <v>96</v>
      </c>
      <c r="M40" s="21">
        <v>120</v>
      </c>
      <c r="N40" s="118" t="s">
        <v>96</v>
      </c>
      <c r="O40" s="118">
        <v>380</v>
      </c>
      <c r="P40" s="118">
        <v>75</v>
      </c>
      <c r="Q40" s="118">
        <v>220</v>
      </c>
      <c r="R40" s="118">
        <v>240</v>
      </c>
      <c r="S40" s="118">
        <v>160</v>
      </c>
      <c r="T40" s="118" t="s">
        <v>96</v>
      </c>
      <c r="U40" s="118" t="s">
        <v>96</v>
      </c>
      <c r="V40" s="118">
        <v>290</v>
      </c>
      <c r="W40" s="118">
        <v>660</v>
      </c>
      <c r="X40" s="118" t="s">
        <v>96</v>
      </c>
      <c r="Y40" s="21">
        <v>140</v>
      </c>
      <c r="Z40" s="21" t="s">
        <v>96</v>
      </c>
    </row>
    <row r="41" spans="1:26" x14ac:dyDescent="0.25">
      <c r="A41" s="9" t="s">
        <v>29</v>
      </c>
      <c r="B41" s="118" t="s">
        <v>96</v>
      </c>
      <c r="C41" s="118">
        <v>100</v>
      </c>
      <c r="D41" s="118" t="s">
        <v>96</v>
      </c>
      <c r="E41" s="118" t="s">
        <v>96</v>
      </c>
      <c r="F41" s="118">
        <v>50</v>
      </c>
      <c r="G41" s="118" t="s">
        <v>96</v>
      </c>
      <c r="H41" s="118" t="s">
        <v>96</v>
      </c>
      <c r="I41" s="118" t="s">
        <v>96</v>
      </c>
      <c r="J41" s="118">
        <v>220</v>
      </c>
      <c r="K41" s="66" t="s">
        <v>96</v>
      </c>
      <c r="L41" s="118" t="s">
        <v>96</v>
      </c>
      <c r="M41" s="21" t="s">
        <v>96</v>
      </c>
      <c r="N41" s="118" t="s">
        <v>96</v>
      </c>
      <c r="O41" s="118">
        <v>203</v>
      </c>
      <c r="P41" s="118">
        <v>175</v>
      </c>
      <c r="Q41" s="118">
        <v>65</v>
      </c>
      <c r="R41" s="118">
        <v>80</v>
      </c>
      <c r="S41" s="118" t="s">
        <v>96</v>
      </c>
      <c r="T41" s="118" t="s">
        <v>96</v>
      </c>
      <c r="U41" s="118">
        <v>620</v>
      </c>
      <c r="V41" s="118">
        <v>1150</v>
      </c>
      <c r="W41" s="118">
        <v>390</v>
      </c>
      <c r="X41" s="118">
        <v>140</v>
      </c>
      <c r="Y41" s="21" t="s">
        <v>96</v>
      </c>
      <c r="Z41" s="21" t="s">
        <v>96</v>
      </c>
    </row>
    <row r="42" spans="1:26" x14ac:dyDescent="0.25">
      <c r="A42" s="9" t="s">
        <v>30</v>
      </c>
      <c r="B42" s="118" t="s">
        <v>96</v>
      </c>
      <c r="C42" s="118" t="s">
        <v>96</v>
      </c>
      <c r="D42" s="118" t="s">
        <v>96</v>
      </c>
      <c r="E42" s="118">
        <v>100</v>
      </c>
      <c r="F42" s="118" t="s">
        <v>96</v>
      </c>
      <c r="G42" s="118">
        <v>355</v>
      </c>
      <c r="H42" s="118" t="s">
        <v>96</v>
      </c>
      <c r="I42" s="118">
        <v>595</v>
      </c>
      <c r="J42" s="118">
        <v>1410</v>
      </c>
      <c r="K42" s="66">
        <v>1315</v>
      </c>
      <c r="L42" s="118">
        <v>800</v>
      </c>
      <c r="M42" s="21">
        <v>3350</v>
      </c>
      <c r="N42" s="118">
        <v>1585</v>
      </c>
      <c r="O42" s="118">
        <v>990</v>
      </c>
      <c r="P42" s="118">
        <v>2515</v>
      </c>
      <c r="Q42" s="118">
        <v>1769</v>
      </c>
      <c r="R42" s="118">
        <v>2695</v>
      </c>
      <c r="S42" s="118">
        <v>2810</v>
      </c>
      <c r="T42" s="118">
        <v>2505</v>
      </c>
      <c r="U42" s="118">
        <v>3366</v>
      </c>
      <c r="V42" s="118">
        <v>1455</v>
      </c>
      <c r="W42" s="118">
        <v>6677</v>
      </c>
      <c r="X42" s="118">
        <v>3645</v>
      </c>
      <c r="Y42" s="21">
        <v>6855</v>
      </c>
      <c r="Z42" s="21">
        <v>8155</v>
      </c>
    </row>
    <row r="43" spans="1:26" ht="18" x14ac:dyDescent="0.25">
      <c r="A43" s="8" t="s">
        <v>220</v>
      </c>
      <c r="B43" s="120" t="s">
        <v>96</v>
      </c>
      <c r="C43" s="120">
        <v>60</v>
      </c>
      <c r="D43" s="120" t="s">
        <v>96</v>
      </c>
      <c r="E43" s="120" t="s">
        <v>96</v>
      </c>
      <c r="F43" s="120">
        <v>100</v>
      </c>
      <c r="G43" s="120">
        <v>90</v>
      </c>
      <c r="H43" s="120" t="s">
        <v>96</v>
      </c>
      <c r="I43" s="120">
        <v>385</v>
      </c>
      <c r="J43" s="120">
        <v>1080</v>
      </c>
      <c r="K43" s="120">
        <v>215</v>
      </c>
      <c r="L43" s="120">
        <v>120</v>
      </c>
      <c r="M43" s="22">
        <v>2220</v>
      </c>
      <c r="N43" s="120">
        <v>2205</v>
      </c>
      <c r="O43" s="120">
        <v>5547</v>
      </c>
      <c r="P43" s="120">
        <v>7696</v>
      </c>
      <c r="Q43" s="120">
        <v>12981</v>
      </c>
      <c r="R43" s="120">
        <v>5804</v>
      </c>
      <c r="S43" s="120">
        <v>3002</v>
      </c>
      <c r="T43" s="120">
        <v>7065</v>
      </c>
      <c r="U43" s="120">
        <v>10351</v>
      </c>
      <c r="V43" s="120">
        <v>8340</v>
      </c>
      <c r="W43" s="120">
        <v>5814</v>
      </c>
      <c r="X43" s="120">
        <v>7820</v>
      </c>
      <c r="Y43" s="22">
        <v>11451</v>
      </c>
      <c r="Z43" s="22">
        <v>12440</v>
      </c>
    </row>
    <row r="44" spans="1:26" x14ac:dyDescent="0.25">
      <c r="A44" s="9" t="s">
        <v>31</v>
      </c>
      <c r="B44" s="118" t="s">
        <v>96</v>
      </c>
      <c r="C44" s="118" t="s">
        <v>96</v>
      </c>
      <c r="D44" s="118" t="s">
        <v>96</v>
      </c>
      <c r="E44" s="118" t="s">
        <v>96</v>
      </c>
      <c r="F44" s="118" t="s">
        <v>96</v>
      </c>
      <c r="G44" s="118" t="s">
        <v>96</v>
      </c>
      <c r="H44" s="118" t="s">
        <v>96</v>
      </c>
      <c r="I44" s="118" t="s">
        <v>96</v>
      </c>
      <c r="J44" s="118" t="s">
        <v>96</v>
      </c>
      <c r="K44" s="118" t="s">
        <v>96</v>
      </c>
      <c r="L44" s="118" t="s">
        <v>96</v>
      </c>
      <c r="M44" s="21">
        <v>480</v>
      </c>
      <c r="N44" s="118">
        <v>240</v>
      </c>
      <c r="O44" s="118" t="s">
        <v>96</v>
      </c>
      <c r="P44" s="118">
        <v>930</v>
      </c>
      <c r="Q44" s="118">
        <v>120</v>
      </c>
      <c r="R44" s="118" t="s">
        <v>96</v>
      </c>
      <c r="S44" s="118" t="s">
        <v>96</v>
      </c>
      <c r="T44" s="118" t="s">
        <v>96</v>
      </c>
      <c r="U44" s="118">
        <v>1560</v>
      </c>
      <c r="V44" s="118">
        <v>960</v>
      </c>
      <c r="W44" s="118" t="s">
        <v>96</v>
      </c>
      <c r="X44" s="118">
        <v>870</v>
      </c>
      <c r="Y44" s="21">
        <v>360</v>
      </c>
      <c r="Z44" s="21" t="s">
        <v>96</v>
      </c>
    </row>
    <row r="45" spans="1:26" x14ac:dyDescent="0.25">
      <c r="A45" s="9" t="s">
        <v>32</v>
      </c>
      <c r="B45" s="118" t="s">
        <v>96</v>
      </c>
      <c r="C45" s="118" t="s">
        <v>96</v>
      </c>
      <c r="D45" s="118" t="s">
        <v>96</v>
      </c>
      <c r="E45" s="118" t="s">
        <v>96</v>
      </c>
      <c r="F45" s="118" t="s">
        <v>96</v>
      </c>
      <c r="G45" s="118" t="s">
        <v>96</v>
      </c>
      <c r="H45" s="118" t="s">
        <v>96</v>
      </c>
      <c r="I45" s="118" t="s">
        <v>96</v>
      </c>
      <c r="J45" s="118" t="s">
        <v>96</v>
      </c>
      <c r="K45" s="118" t="s">
        <v>96</v>
      </c>
      <c r="L45" s="118" t="s">
        <v>96</v>
      </c>
      <c r="M45" s="21" t="s">
        <v>96</v>
      </c>
      <c r="N45" s="118" t="s">
        <v>96</v>
      </c>
      <c r="O45" s="118">
        <v>490</v>
      </c>
      <c r="P45" s="118">
        <v>50</v>
      </c>
      <c r="Q45" s="118">
        <v>767</v>
      </c>
      <c r="R45" s="118">
        <v>645</v>
      </c>
      <c r="S45" s="118">
        <v>25</v>
      </c>
      <c r="T45" s="118" t="s">
        <v>96</v>
      </c>
      <c r="U45" s="118">
        <v>360</v>
      </c>
      <c r="V45" s="118">
        <v>240</v>
      </c>
      <c r="W45" s="118">
        <v>150</v>
      </c>
      <c r="X45" s="118">
        <v>30</v>
      </c>
      <c r="Y45" s="21" t="s">
        <v>96</v>
      </c>
      <c r="Z45" s="21" t="s">
        <v>96</v>
      </c>
    </row>
    <row r="46" spans="1:26" x14ac:dyDescent="0.25">
      <c r="A46" s="9" t="s">
        <v>150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21"/>
      <c r="N46" s="118"/>
      <c r="O46" s="118"/>
      <c r="P46" s="118">
        <v>150</v>
      </c>
      <c r="Q46" s="118">
        <v>520</v>
      </c>
      <c r="R46" s="118">
        <v>150</v>
      </c>
      <c r="S46" s="118" t="s">
        <v>96</v>
      </c>
      <c r="T46" s="118">
        <v>2390</v>
      </c>
      <c r="U46" s="118">
        <v>2530</v>
      </c>
      <c r="V46" s="118">
        <v>1590</v>
      </c>
      <c r="W46" s="118">
        <v>1270</v>
      </c>
      <c r="X46" s="118">
        <v>1230</v>
      </c>
      <c r="Y46" s="21">
        <v>2575</v>
      </c>
      <c r="Z46" s="21">
        <v>3650</v>
      </c>
    </row>
    <row r="47" spans="1:26" x14ac:dyDescent="0.25">
      <c r="A47" s="9" t="s">
        <v>34</v>
      </c>
      <c r="B47" s="118" t="s">
        <v>96</v>
      </c>
      <c r="C47" s="118" t="s">
        <v>96</v>
      </c>
      <c r="D47" s="118" t="s">
        <v>96</v>
      </c>
      <c r="E47" s="118" t="s">
        <v>96</v>
      </c>
      <c r="F47" s="118" t="s">
        <v>96</v>
      </c>
      <c r="G47" s="118" t="s">
        <v>96</v>
      </c>
      <c r="H47" s="118" t="s">
        <v>96</v>
      </c>
      <c r="I47" s="118" t="s">
        <v>96</v>
      </c>
      <c r="J47" s="118">
        <v>50</v>
      </c>
      <c r="K47" s="66">
        <v>120</v>
      </c>
      <c r="L47" s="118">
        <v>80</v>
      </c>
      <c r="M47" s="21">
        <v>695</v>
      </c>
      <c r="N47" s="118">
        <v>1460</v>
      </c>
      <c r="O47" s="118">
        <v>2724</v>
      </c>
      <c r="P47" s="118">
        <v>3391</v>
      </c>
      <c r="Q47" s="118">
        <v>6142</v>
      </c>
      <c r="R47" s="118">
        <v>1507</v>
      </c>
      <c r="S47" s="118">
        <v>1030</v>
      </c>
      <c r="T47" s="118">
        <v>1120</v>
      </c>
      <c r="U47" s="118">
        <v>2296</v>
      </c>
      <c r="V47" s="118">
        <v>2650</v>
      </c>
      <c r="W47" s="118">
        <v>2170</v>
      </c>
      <c r="X47" s="118">
        <v>1900</v>
      </c>
      <c r="Y47" s="21">
        <v>5304</v>
      </c>
      <c r="Z47" s="21">
        <v>7150</v>
      </c>
    </row>
    <row r="48" spans="1:26" x14ac:dyDescent="0.25">
      <c r="A48" s="9" t="s">
        <v>35</v>
      </c>
      <c r="B48" s="118" t="s">
        <v>96</v>
      </c>
      <c r="C48" s="118" t="s">
        <v>96</v>
      </c>
      <c r="D48" s="118" t="s">
        <v>96</v>
      </c>
      <c r="E48" s="118" t="s">
        <v>96</v>
      </c>
      <c r="F48" s="118" t="s">
        <v>96</v>
      </c>
      <c r="G48" s="118" t="s">
        <v>96</v>
      </c>
      <c r="H48" s="118" t="s">
        <v>96</v>
      </c>
      <c r="I48" s="118" t="s">
        <v>96</v>
      </c>
      <c r="J48" s="118">
        <v>150</v>
      </c>
      <c r="K48" s="118" t="s">
        <v>96</v>
      </c>
      <c r="L48" s="118" t="s">
        <v>96</v>
      </c>
      <c r="M48" s="21" t="s">
        <v>96</v>
      </c>
      <c r="N48" s="118" t="s">
        <v>96</v>
      </c>
      <c r="O48" s="118">
        <v>245</v>
      </c>
      <c r="P48" s="118">
        <v>165</v>
      </c>
      <c r="Q48" s="118">
        <v>340</v>
      </c>
      <c r="R48" s="118">
        <v>60</v>
      </c>
      <c r="S48" s="118">
        <v>185</v>
      </c>
      <c r="T48" s="118">
        <v>480</v>
      </c>
      <c r="U48" s="118">
        <v>250</v>
      </c>
      <c r="V48" s="118">
        <v>110</v>
      </c>
      <c r="W48" s="118">
        <v>820</v>
      </c>
      <c r="X48" s="118">
        <v>240</v>
      </c>
      <c r="Y48" s="21">
        <v>280</v>
      </c>
      <c r="Z48" s="21">
        <v>560</v>
      </c>
    </row>
    <row r="49" spans="1:26" x14ac:dyDescent="0.25">
      <c r="A49" s="9" t="s">
        <v>36</v>
      </c>
      <c r="B49" s="118" t="s">
        <v>96</v>
      </c>
      <c r="C49" s="118" t="s">
        <v>96</v>
      </c>
      <c r="D49" s="118" t="s">
        <v>96</v>
      </c>
      <c r="E49" s="118" t="s">
        <v>96</v>
      </c>
      <c r="F49" s="118">
        <v>100</v>
      </c>
      <c r="G49" s="118" t="s">
        <v>96</v>
      </c>
      <c r="H49" s="118" t="s">
        <v>96</v>
      </c>
      <c r="I49" s="118">
        <v>170</v>
      </c>
      <c r="J49" s="118">
        <v>370</v>
      </c>
      <c r="K49" s="118" t="s">
        <v>96</v>
      </c>
      <c r="L49" s="118">
        <v>40</v>
      </c>
      <c r="M49" s="21">
        <v>425</v>
      </c>
      <c r="N49" s="118" t="s">
        <v>96</v>
      </c>
      <c r="O49" s="118">
        <v>513</v>
      </c>
      <c r="P49" s="118">
        <v>1105</v>
      </c>
      <c r="Q49" s="118">
        <v>1242</v>
      </c>
      <c r="R49" s="118">
        <v>812</v>
      </c>
      <c r="S49" s="118">
        <v>132</v>
      </c>
      <c r="T49" s="118">
        <v>845</v>
      </c>
      <c r="U49" s="118">
        <v>1515</v>
      </c>
      <c r="V49" s="118">
        <v>1380</v>
      </c>
      <c r="W49" s="118">
        <v>544</v>
      </c>
      <c r="X49" s="118">
        <v>620</v>
      </c>
      <c r="Y49" s="21">
        <v>200</v>
      </c>
      <c r="Z49" s="21" t="s">
        <v>96</v>
      </c>
    </row>
    <row r="50" spans="1:26" x14ac:dyDescent="0.25">
      <c r="A50" s="9" t="s">
        <v>37</v>
      </c>
      <c r="B50" s="118" t="s">
        <v>96</v>
      </c>
      <c r="C50" s="118">
        <v>60</v>
      </c>
      <c r="D50" s="118" t="s">
        <v>96</v>
      </c>
      <c r="E50" s="118" t="s">
        <v>96</v>
      </c>
      <c r="F50" s="118" t="s">
        <v>96</v>
      </c>
      <c r="G50" s="118">
        <v>90</v>
      </c>
      <c r="H50" s="118" t="s">
        <v>96</v>
      </c>
      <c r="I50" s="118">
        <v>215</v>
      </c>
      <c r="J50" s="118">
        <v>510</v>
      </c>
      <c r="K50" s="66">
        <v>95</v>
      </c>
      <c r="L50" s="118" t="s">
        <v>96</v>
      </c>
      <c r="M50" s="21">
        <v>620</v>
      </c>
      <c r="N50" s="118">
        <v>505</v>
      </c>
      <c r="O50" s="118">
        <v>1575</v>
      </c>
      <c r="P50" s="118">
        <v>1905</v>
      </c>
      <c r="Q50" s="118">
        <v>3850</v>
      </c>
      <c r="R50" s="118">
        <v>2630</v>
      </c>
      <c r="S50" s="118">
        <v>1370</v>
      </c>
      <c r="T50" s="118">
        <v>1750</v>
      </c>
      <c r="U50" s="118">
        <v>1560</v>
      </c>
      <c r="V50" s="118">
        <v>1090</v>
      </c>
      <c r="W50" s="118">
        <v>320</v>
      </c>
      <c r="X50" s="118">
        <v>2650</v>
      </c>
      <c r="Y50" s="21">
        <v>712</v>
      </c>
      <c r="Z50" s="21">
        <v>960</v>
      </c>
    </row>
    <row r="51" spans="1:26" x14ac:dyDescent="0.25">
      <c r="A51" s="9" t="s">
        <v>38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66"/>
      <c r="L51" s="118"/>
      <c r="M51" s="21"/>
      <c r="N51" s="118"/>
      <c r="O51" s="118"/>
      <c r="P51" s="118" t="s">
        <v>96</v>
      </c>
      <c r="Q51" s="118" t="s">
        <v>96</v>
      </c>
      <c r="R51" s="118" t="s">
        <v>96</v>
      </c>
      <c r="S51" s="118">
        <v>260</v>
      </c>
      <c r="T51" s="118">
        <v>480</v>
      </c>
      <c r="U51" s="118">
        <v>280</v>
      </c>
      <c r="V51" s="118">
        <v>320</v>
      </c>
      <c r="W51" s="118">
        <v>540</v>
      </c>
      <c r="X51" s="118">
        <v>280</v>
      </c>
      <c r="Y51" s="21">
        <v>2020</v>
      </c>
      <c r="Z51" s="21">
        <v>120</v>
      </c>
    </row>
    <row r="52" spans="1:26" ht="18" x14ac:dyDescent="0.25">
      <c r="A52" s="8" t="s">
        <v>89</v>
      </c>
      <c r="B52" s="120">
        <v>490</v>
      </c>
      <c r="C52" s="120">
        <v>214</v>
      </c>
      <c r="D52" s="120">
        <v>220</v>
      </c>
      <c r="E52" s="120">
        <v>160</v>
      </c>
      <c r="F52" s="120">
        <v>430</v>
      </c>
      <c r="G52" s="120" t="s">
        <v>96</v>
      </c>
      <c r="H52" s="120">
        <v>335</v>
      </c>
      <c r="I52" s="120">
        <v>825</v>
      </c>
      <c r="J52" s="120">
        <v>365</v>
      </c>
      <c r="K52" s="120">
        <v>190</v>
      </c>
      <c r="L52" s="120">
        <v>830</v>
      </c>
      <c r="M52" s="22">
        <v>2640</v>
      </c>
      <c r="N52" s="120">
        <v>1085</v>
      </c>
      <c r="O52" s="120">
        <v>8533</v>
      </c>
      <c r="P52" s="120">
        <v>8855</v>
      </c>
      <c r="Q52" s="120">
        <v>6925</v>
      </c>
      <c r="R52" s="120">
        <v>5235</v>
      </c>
      <c r="S52" s="120">
        <v>1770</v>
      </c>
      <c r="T52" s="120">
        <v>3113</v>
      </c>
      <c r="U52" s="120">
        <v>6953</v>
      </c>
      <c r="V52" s="120">
        <v>8375</v>
      </c>
      <c r="W52" s="120">
        <v>8550</v>
      </c>
      <c r="X52" s="120">
        <v>9985</v>
      </c>
      <c r="Y52" s="22">
        <v>4930</v>
      </c>
      <c r="Z52" s="22">
        <v>1862</v>
      </c>
    </row>
    <row r="53" spans="1:26" x14ac:dyDescent="0.25">
      <c r="A53" s="9" t="s">
        <v>39</v>
      </c>
      <c r="B53" s="118">
        <v>50</v>
      </c>
      <c r="C53" s="118">
        <v>50</v>
      </c>
      <c r="D53" s="118" t="s">
        <v>96</v>
      </c>
      <c r="E53" s="118" t="s">
        <v>96</v>
      </c>
      <c r="F53" s="118">
        <v>250</v>
      </c>
      <c r="G53" s="118" t="s">
        <v>96</v>
      </c>
      <c r="H53" s="118" t="s">
        <v>96</v>
      </c>
      <c r="I53" s="118" t="s">
        <v>96</v>
      </c>
      <c r="J53" s="118" t="s">
        <v>96</v>
      </c>
      <c r="K53" s="118" t="s">
        <v>96</v>
      </c>
      <c r="L53" s="118" t="s">
        <v>96</v>
      </c>
      <c r="M53" s="21">
        <v>345</v>
      </c>
      <c r="N53" s="118">
        <v>430</v>
      </c>
      <c r="O53" s="118">
        <v>1709</v>
      </c>
      <c r="P53" s="118">
        <v>2875</v>
      </c>
      <c r="Q53" s="118">
        <v>755</v>
      </c>
      <c r="R53" s="118">
        <v>935</v>
      </c>
      <c r="S53" s="118">
        <v>370</v>
      </c>
      <c r="T53" s="118">
        <v>518</v>
      </c>
      <c r="U53" s="118">
        <v>60</v>
      </c>
      <c r="V53" s="118">
        <v>580</v>
      </c>
      <c r="W53" s="118">
        <v>3290</v>
      </c>
      <c r="X53" s="118">
        <v>3930</v>
      </c>
      <c r="Y53" s="21">
        <v>1180</v>
      </c>
      <c r="Z53" s="21">
        <v>620</v>
      </c>
    </row>
    <row r="54" spans="1:26" x14ac:dyDescent="0.25">
      <c r="A54" s="9" t="s">
        <v>99</v>
      </c>
      <c r="B54" s="118" t="s">
        <v>96</v>
      </c>
      <c r="C54" s="118" t="s">
        <v>96</v>
      </c>
      <c r="D54" s="118" t="s">
        <v>96</v>
      </c>
      <c r="E54" s="118" t="s">
        <v>96</v>
      </c>
      <c r="F54" s="118" t="s">
        <v>96</v>
      </c>
      <c r="G54" s="118" t="s">
        <v>96</v>
      </c>
      <c r="H54" s="118" t="s">
        <v>96</v>
      </c>
      <c r="I54" s="118">
        <v>100</v>
      </c>
      <c r="J54" s="118" t="s">
        <v>96</v>
      </c>
      <c r="K54" s="118" t="s">
        <v>96</v>
      </c>
      <c r="L54" s="118" t="s">
        <v>96</v>
      </c>
      <c r="M54" s="21">
        <v>80</v>
      </c>
      <c r="N54" s="118">
        <v>320</v>
      </c>
      <c r="O54" s="118">
        <v>695</v>
      </c>
      <c r="P54" s="118">
        <v>660</v>
      </c>
      <c r="Q54" s="118">
        <v>560</v>
      </c>
      <c r="R54" s="118">
        <v>220</v>
      </c>
      <c r="S54" s="118">
        <v>440</v>
      </c>
      <c r="T54" s="118">
        <v>220</v>
      </c>
      <c r="U54" s="118">
        <v>440</v>
      </c>
      <c r="V54" s="118">
        <v>2420</v>
      </c>
      <c r="W54" s="118">
        <v>340</v>
      </c>
      <c r="X54" s="118">
        <v>1290</v>
      </c>
      <c r="Y54" s="21">
        <v>1890</v>
      </c>
      <c r="Z54" s="21">
        <v>500</v>
      </c>
    </row>
    <row r="55" spans="1:26" ht="19.5" x14ac:dyDescent="0.25">
      <c r="A55" s="9" t="s">
        <v>41</v>
      </c>
      <c r="B55" s="118" t="s">
        <v>96</v>
      </c>
      <c r="C55" s="118">
        <v>24</v>
      </c>
      <c r="D55" s="118" t="s">
        <v>96</v>
      </c>
      <c r="E55" s="118">
        <v>160</v>
      </c>
      <c r="F55" s="118">
        <v>40</v>
      </c>
      <c r="G55" s="118" t="s">
        <v>96</v>
      </c>
      <c r="H55" s="118">
        <v>120</v>
      </c>
      <c r="I55" s="118">
        <v>395</v>
      </c>
      <c r="J55" s="118">
        <v>230</v>
      </c>
      <c r="K55" s="66">
        <v>70</v>
      </c>
      <c r="L55" s="118" t="s">
        <v>96</v>
      </c>
      <c r="M55" s="21" t="s">
        <v>96</v>
      </c>
      <c r="N55" s="118" t="s">
        <v>96</v>
      </c>
      <c r="O55" s="118" t="s">
        <v>96</v>
      </c>
      <c r="P55" s="118">
        <v>620</v>
      </c>
      <c r="Q55" s="118">
        <v>820</v>
      </c>
      <c r="R55" s="118">
        <v>80</v>
      </c>
      <c r="S55" s="118" t="s">
        <v>96</v>
      </c>
      <c r="T55" s="118">
        <v>140</v>
      </c>
      <c r="U55" s="118">
        <v>860</v>
      </c>
      <c r="V55" s="118">
        <v>1360</v>
      </c>
      <c r="W55" s="118">
        <v>385</v>
      </c>
      <c r="X55" s="118">
        <v>560</v>
      </c>
      <c r="Y55" s="21">
        <v>140</v>
      </c>
      <c r="Z55" s="21" t="s">
        <v>96</v>
      </c>
    </row>
    <row r="56" spans="1:26" ht="19.5" x14ac:dyDescent="0.25">
      <c r="A56" s="9" t="s">
        <v>154</v>
      </c>
      <c r="B56" s="118" t="s">
        <v>96</v>
      </c>
      <c r="C56" s="118" t="s">
        <v>96</v>
      </c>
      <c r="D56" s="118" t="s">
        <v>96</v>
      </c>
      <c r="E56" s="118" t="s">
        <v>96</v>
      </c>
      <c r="F56" s="118" t="s">
        <v>96</v>
      </c>
      <c r="G56" s="118" t="s">
        <v>96</v>
      </c>
      <c r="H56" s="118" t="s">
        <v>96</v>
      </c>
      <c r="I56" s="118" t="s">
        <v>96</v>
      </c>
      <c r="J56" s="118" t="s">
        <v>96</v>
      </c>
      <c r="K56" s="118" t="s">
        <v>96</v>
      </c>
      <c r="L56" s="118" t="s">
        <v>96</v>
      </c>
      <c r="M56" s="21" t="s">
        <v>96</v>
      </c>
      <c r="N56" s="118" t="s">
        <v>96</v>
      </c>
      <c r="O56" s="118" t="s">
        <v>96</v>
      </c>
      <c r="P56" s="118">
        <v>165</v>
      </c>
      <c r="Q56" s="118">
        <v>2040</v>
      </c>
      <c r="R56" s="118">
        <v>680</v>
      </c>
      <c r="S56" s="118">
        <v>540</v>
      </c>
      <c r="T56" s="118">
        <v>295</v>
      </c>
      <c r="U56" s="118">
        <v>60</v>
      </c>
      <c r="V56" s="118">
        <v>80</v>
      </c>
      <c r="W56" s="118">
        <v>800</v>
      </c>
      <c r="X56" s="118">
        <v>80</v>
      </c>
      <c r="Y56" s="21">
        <v>250</v>
      </c>
      <c r="Z56" s="21" t="s">
        <v>96</v>
      </c>
    </row>
    <row r="57" spans="1:26" ht="19.5" x14ac:dyDescent="0.25">
      <c r="A57" s="9" t="s">
        <v>43</v>
      </c>
      <c r="B57" s="118" t="s">
        <v>96</v>
      </c>
      <c r="C57" s="118">
        <v>140</v>
      </c>
      <c r="D57" s="118" t="s">
        <v>96</v>
      </c>
      <c r="E57" s="118" t="s">
        <v>96</v>
      </c>
      <c r="F57" s="118" t="s">
        <v>96</v>
      </c>
      <c r="G57" s="118" t="s">
        <v>96</v>
      </c>
      <c r="H57" s="118">
        <v>215</v>
      </c>
      <c r="I57" s="118" t="s">
        <v>96</v>
      </c>
      <c r="J57" s="118" t="s">
        <v>96</v>
      </c>
      <c r="K57" s="118" t="s">
        <v>96</v>
      </c>
      <c r="L57" s="118" t="s">
        <v>96</v>
      </c>
      <c r="M57" s="21" t="s">
        <v>96</v>
      </c>
      <c r="N57" s="118">
        <v>30</v>
      </c>
      <c r="O57" s="118">
        <v>340</v>
      </c>
      <c r="P57" s="118">
        <v>400</v>
      </c>
      <c r="Q57" s="118" t="s">
        <v>96</v>
      </c>
      <c r="R57" s="118">
        <v>120</v>
      </c>
      <c r="S57" s="118">
        <v>300</v>
      </c>
      <c r="T57" s="118">
        <v>480</v>
      </c>
      <c r="U57" s="118">
        <v>1590</v>
      </c>
      <c r="V57" s="118">
        <v>655</v>
      </c>
      <c r="W57" s="118">
        <v>815</v>
      </c>
      <c r="X57" s="118">
        <v>1640</v>
      </c>
      <c r="Y57" s="21">
        <v>280</v>
      </c>
      <c r="Z57" s="21" t="s">
        <v>96</v>
      </c>
    </row>
    <row r="58" spans="1:26" x14ac:dyDescent="0.25">
      <c r="A58" s="9" t="s">
        <v>97</v>
      </c>
      <c r="B58" s="118" t="s">
        <v>96</v>
      </c>
      <c r="C58" s="118" t="s">
        <v>96</v>
      </c>
      <c r="D58" s="118" t="s">
        <v>96</v>
      </c>
      <c r="E58" s="118" t="s">
        <v>96</v>
      </c>
      <c r="F58" s="118" t="s">
        <v>96</v>
      </c>
      <c r="G58" s="118" t="s">
        <v>96</v>
      </c>
      <c r="H58" s="118" t="s">
        <v>96</v>
      </c>
      <c r="I58" s="118" t="s">
        <v>96</v>
      </c>
      <c r="J58" s="118" t="s">
        <v>96</v>
      </c>
      <c r="K58" s="66">
        <v>120</v>
      </c>
      <c r="L58" s="118">
        <v>200</v>
      </c>
      <c r="M58" s="21">
        <v>1660</v>
      </c>
      <c r="N58" s="118" t="s">
        <v>96</v>
      </c>
      <c r="O58" s="118">
        <v>4380</v>
      </c>
      <c r="P58" s="118">
        <v>2140</v>
      </c>
      <c r="Q58" s="118">
        <v>800</v>
      </c>
      <c r="R58" s="118">
        <v>1840</v>
      </c>
      <c r="S58" s="118">
        <v>120</v>
      </c>
      <c r="T58" s="118">
        <v>1000</v>
      </c>
      <c r="U58" s="118">
        <v>2520</v>
      </c>
      <c r="V58" s="118">
        <v>1320</v>
      </c>
      <c r="W58" s="118">
        <v>1945</v>
      </c>
      <c r="X58" s="118">
        <v>1420</v>
      </c>
      <c r="Y58" s="21">
        <v>560</v>
      </c>
      <c r="Z58" s="21">
        <v>470</v>
      </c>
    </row>
    <row r="59" spans="1:26" x14ac:dyDescent="0.25">
      <c r="A59" s="9" t="s">
        <v>45</v>
      </c>
      <c r="B59" s="118">
        <v>440</v>
      </c>
      <c r="C59" s="118" t="s">
        <v>96</v>
      </c>
      <c r="D59" s="118">
        <v>220</v>
      </c>
      <c r="E59" s="118" t="s">
        <v>96</v>
      </c>
      <c r="F59" s="118">
        <v>140</v>
      </c>
      <c r="G59" s="118" t="s">
        <v>96</v>
      </c>
      <c r="H59" s="118" t="s">
        <v>96</v>
      </c>
      <c r="I59" s="118">
        <v>330</v>
      </c>
      <c r="J59" s="118">
        <v>135</v>
      </c>
      <c r="K59" s="118" t="s">
        <v>96</v>
      </c>
      <c r="L59" s="118">
        <v>630</v>
      </c>
      <c r="M59" s="21">
        <v>555</v>
      </c>
      <c r="N59" s="118">
        <v>305</v>
      </c>
      <c r="O59" s="118">
        <v>1409</v>
      </c>
      <c r="P59" s="118">
        <v>1995</v>
      </c>
      <c r="Q59" s="118">
        <v>1950</v>
      </c>
      <c r="R59" s="118">
        <v>1360</v>
      </c>
      <c r="S59" s="118" t="s">
        <v>96</v>
      </c>
      <c r="T59" s="118">
        <v>460</v>
      </c>
      <c r="U59" s="118">
        <v>1423</v>
      </c>
      <c r="V59" s="118">
        <v>1960</v>
      </c>
      <c r="W59" s="118">
        <v>975</v>
      </c>
      <c r="X59" s="118">
        <v>1065</v>
      </c>
      <c r="Y59" s="21">
        <v>630</v>
      </c>
      <c r="Z59" s="21">
        <v>272</v>
      </c>
    </row>
    <row r="60" spans="1:26" ht="18" x14ac:dyDescent="0.25">
      <c r="A60" s="8" t="s">
        <v>134</v>
      </c>
      <c r="B60" s="120">
        <v>1714</v>
      </c>
      <c r="C60" s="120">
        <v>1188</v>
      </c>
      <c r="D60" s="120">
        <v>1954</v>
      </c>
      <c r="E60" s="120">
        <v>728</v>
      </c>
      <c r="F60" s="120">
        <v>1409</v>
      </c>
      <c r="G60" s="120">
        <v>529</v>
      </c>
      <c r="H60" s="120">
        <v>1182</v>
      </c>
      <c r="I60" s="120">
        <v>1442</v>
      </c>
      <c r="J60" s="120">
        <v>2388</v>
      </c>
      <c r="K60" s="65">
        <v>3052</v>
      </c>
      <c r="L60" s="120">
        <v>4417</v>
      </c>
      <c r="M60" s="22">
        <v>10499</v>
      </c>
      <c r="N60" s="120">
        <v>12199</v>
      </c>
      <c r="O60" s="120">
        <v>16547</v>
      </c>
      <c r="P60" s="120">
        <v>33266</v>
      </c>
      <c r="Q60" s="120">
        <v>28300</v>
      </c>
      <c r="R60" s="120">
        <v>10098</v>
      </c>
      <c r="S60" s="120">
        <v>6494</v>
      </c>
      <c r="T60" s="120">
        <v>11532</v>
      </c>
      <c r="U60" s="120">
        <v>26628</v>
      </c>
      <c r="V60" s="120">
        <v>20903</v>
      </c>
      <c r="W60" s="120">
        <v>14005</v>
      </c>
      <c r="X60" s="120">
        <v>7958</v>
      </c>
      <c r="Y60" s="22">
        <v>4020</v>
      </c>
      <c r="Z60" s="22">
        <v>2601</v>
      </c>
    </row>
    <row r="61" spans="1:26" x14ac:dyDescent="0.25">
      <c r="A61" s="9" t="s">
        <v>46</v>
      </c>
      <c r="B61" s="118">
        <v>356</v>
      </c>
      <c r="C61" s="118">
        <v>215</v>
      </c>
      <c r="D61" s="118">
        <v>70</v>
      </c>
      <c r="E61" s="118">
        <v>52</v>
      </c>
      <c r="F61" s="118">
        <v>250</v>
      </c>
      <c r="G61" s="118">
        <v>105</v>
      </c>
      <c r="H61" s="118">
        <v>210</v>
      </c>
      <c r="I61" s="118">
        <v>275</v>
      </c>
      <c r="J61" s="118">
        <v>320</v>
      </c>
      <c r="K61" s="66">
        <v>180</v>
      </c>
      <c r="L61" s="118">
        <v>350</v>
      </c>
      <c r="M61" s="21">
        <v>905</v>
      </c>
      <c r="N61" s="118">
        <v>4071</v>
      </c>
      <c r="O61" s="118">
        <v>2280</v>
      </c>
      <c r="P61" s="118">
        <v>4321</v>
      </c>
      <c r="Q61" s="118">
        <v>3938</v>
      </c>
      <c r="R61" s="118">
        <v>245</v>
      </c>
      <c r="S61" s="118">
        <v>1119</v>
      </c>
      <c r="T61" s="118">
        <v>285</v>
      </c>
      <c r="U61" s="118">
        <v>3844</v>
      </c>
      <c r="V61" s="118">
        <v>2610</v>
      </c>
      <c r="W61" s="118">
        <v>1284</v>
      </c>
      <c r="X61" s="118">
        <v>510</v>
      </c>
      <c r="Y61" s="21">
        <v>500</v>
      </c>
      <c r="Z61" s="21">
        <v>300</v>
      </c>
    </row>
    <row r="62" spans="1:26" x14ac:dyDescent="0.25">
      <c r="A62" s="9" t="s">
        <v>47</v>
      </c>
      <c r="B62" s="118" t="s">
        <v>96</v>
      </c>
      <c r="C62" s="118">
        <v>89</v>
      </c>
      <c r="D62" s="118" t="s">
        <v>96</v>
      </c>
      <c r="E62" s="118" t="s">
        <v>96</v>
      </c>
      <c r="F62" s="118">
        <v>25</v>
      </c>
      <c r="G62" s="118" t="s">
        <v>96</v>
      </c>
      <c r="H62" s="118" t="s">
        <v>96</v>
      </c>
      <c r="I62" s="118" t="s">
        <v>96</v>
      </c>
      <c r="J62" s="118" t="s">
        <v>96</v>
      </c>
      <c r="K62" s="66" t="s">
        <v>96</v>
      </c>
      <c r="L62" s="118" t="s">
        <v>96</v>
      </c>
      <c r="M62" s="21" t="s">
        <v>96</v>
      </c>
      <c r="N62" s="118">
        <v>40</v>
      </c>
      <c r="O62" s="118" t="s">
        <v>96</v>
      </c>
      <c r="P62" s="118">
        <v>669</v>
      </c>
      <c r="Q62" s="118">
        <v>815</v>
      </c>
      <c r="R62" s="118">
        <v>136</v>
      </c>
      <c r="S62" s="118" t="s">
        <v>96</v>
      </c>
      <c r="T62" s="118">
        <v>605</v>
      </c>
      <c r="U62" s="118">
        <v>1040</v>
      </c>
      <c r="V62" s="118">
        <v>1010</v>
      </c>
      <c r="W62" s="118">
        <v>520</v>
      </c>
      <c r="X62" s="118">
        <v>55</v>
      </c>
      <c r="Y62" s="21" t="s">
        <v>96</v>
      </c>
      <c r="Z62" s="21">
        <v>140</v>
      </c>
    </row>
    <row r="63" spans="1:26" x14ac:dyDescent="0.25">
      <c r="A63" s="9" t="s">
        <v>48</v>
      </c>
      <c r="B63" s="118" t="s">
        <v>96</v>
      </c>
      <c r="C63" s="118" t="s">
        <v>96</v>
      </c>
      <c r="D63" s="118" t="s">
        <v>96</v>
      </c>
      <c r="E63" s="118" t="s">
        <v>96</v>
      </c>
      <c r="F63" s="118" t="s">
        <v>96</v>
      </c>
      <c r="G63" s="118" t="s">
        <v>96</v>
      </c>
      <c r="H63" s="118" t="s">
        <v>96</v>
      </c>
      <c r="I63" s="118" t="s">
        <v>96</v>
      </c>
      <c r="J63" s="118" t="s">
        <v>96</v>
      </c>
      <c r="K63" s="66" t="s">
        <v>96</v>
      </c>
      <c r="L63" s="118" t="s">
        <v>96</v>
      </c>
      <c r="M63" s="21" t="s">
        <v>96</v>
      </c>
      <c r="N63" s="118">
        <v>320</v>
      </c>
      <c r="O63" s="118">
        <v>305</v>
      </c>
      <c r="P63" s="118">
        <v>1085</v>
      </c>
      <c r="Q63" s="118">
        <v>795</v>
      </c>
      <c r="R63" s="118">
        <v>315</v>
      </c>
      <c r="S63" s="118">
        <v>490</v>
      </c>
      <c r="T63" s="118">
        <v>240</v>
      </c>
      <c r="U63" s="118">
        <v>1250</v>
      </c>
      <c r="V63" s="118">
        <v>678</v>
      </c>
      <c r="W63" s="118">
        <v>580</v>
      </c>
      <c r="X63" s="118">
        <v>250</v>
      </c>
      <c r="Y63" s="21" t="s">
        <v>96</v>
      </c>
      <c r="Z63" s="21" t="s">
        <v>96</v>
      </c>
    </row>
    <row r="64" spans="1:26" x14ac:dyDescent="0.25">
      <c r="A64" s="9" t="s">
        <v>49</v>
      </c>
      <c r="B64" s="118">
        <v>815</v>
      </c>
      <c r="C64" s="118">
        <v>295</v>
      </c>
      <c r="D64" s="118">
        <v>1533</v>
      </c>
      <c r="E64" s="118">
        <v>621</v>
      </c>
      <c r="F64" s="118">
        <v>749</v>
      </c>
      <c r="G64" s="118">
        <v>64</v>
      </c>
      <c r="H64" s="118">
        <v>566</v>
      </c>
      <c r="I64" s="118">
        <v>570</v>
      </c>
      <c r="J64" s="118">
        <v>1210</v>
      </c>
      <c r="K64" s="66">
        <v>249</v>
      </c>
      <c r="L64" s="118">
        <v>1150</v>
      </c>
      <c r="M64" s="21">
        <v>5860</v>
      </c>
      <c r="N64" s="118">
        <v>591</v>
      </c>
      <c r="O64" s="118">
        <v>1945</v>
      </c>
      <c r="P64" s="118">
        <v>10225</v>
      </c>
      <c r="Q64" s="118">
        <v>9802</v>
      </c>
      <c r="R64" s="118">
        <v>3174</v>
      </c>
      <c r="S64" s="118">
        <v>570</v>
      </c>
      <c r="T64" s="118">
        <v>1767</v>
      </c>
      <c r="U64" s="118">
        <v>6411</v>
      </c>
      <c r="V64" s="118">
        <v>4685</v>
      </c>
      <c r="W64" s="118">
        <v>3245</v>
      </c>
      <c r="X64" s="118">
        <v>560</v>
      </c>
      <c r="Y64" s="21">
        <v>950</v>
      </c>
      <c r="Z64" s="21">
        <v>1475</v>
      </c>
    </row>
    <row r="65" spans="1:26" x14ac:dyDescent="0.25">
      <c r="A65" s="9" t="s">
        <v>50</v>
      </c>
      <c r="B65" s="118">
        <v>45</v>
      </c>
      <c r="C65" s="118">
        <v>214</v>
      </c>
      <c r="D65" s="118">
        <v>140</v>
      </c>
      <c r="E65" s="118" t="s">
        <v>96</v>
      </c>
      <c r="F65" s="118" t="s">
        <v>96</v>
      </c>
      <c r="G65" s="118">
        <v>130</v>
      </c>
      <c r="H65" s="118">
        <v>76</v>
      </c>
      <c r="I65" s="118">
        <v>92</v>
      </c>
      <c r="J65" s="118">
        <v>268</v>
      </c>
      <c r="K65" s="66">
        <v>548</v>
      </c>
      <c r="L65" s="118">
        <v>633</v>
      </c>
      <c r="M65" s="21">
        <v>1436</v>
      </c>
      <c r="N65" s="118">
        <v>1034</v>
      </c>
      <c r="O65" s="118">
        <v>2618</v>
      </c>
      <c r="P65" s="118">
        <v>2214</v>
      </c>
      <c r="Q65" s="118">
        <v>666</v>
      </c>
      <c r="R65" s="118">
        <v>80</v>
      </c>
      <c r="S65" s="118">
        <v>95</v>
      </c>
      <c r="T65" s="118">
        <v>1260</v>
      </c>
      <c r="U65" s="118">
        <v>1870</v>
      </c>
      <c r="V65" s="118">
        <v>876</v>
      </c>
      <c r="W65" s="118">
        <v>589</v>
      </c>
      <c r="X65" s="118">
        <v>880</v>
      </c>
      <c r="Y65" s="21">
        <v>50</v>
      </c>
      <c r="Z65" s="21">
        <v>36</v>
      </c>
    </row>
    <row r="66" spans="1:26" x14ac:dyDescent="0.25">
      <c r="A66" s="9" t="s">
        <v>51</v>
      </c>
      <c r="B66" s="118" t="s">
        <v>96</v>
      </c>
      <c r="C66" s="118" t="s">
        <v>96</v>
      </c>
      <c r="D66" s="118" t="s">
        <v>96</v>
      </c>
      <c r="E66" s="118" t="s">
        <v>96</v>
      </c>
      <c r="F66" s="118" t="s">
        <v>96</v>
      </c>
      <c r="G66" s="118" t="s">
        <v>96</v>
      </c>
      <c r="H66" s="118" t="s">
        <v>96</v>
      </c>
      <c r="I66" s="118" t="s">
        <v>96</v>
      </c>
      <c r="J66" s="118">
        <v>75</v>
      </c>
      <c r="K66" s="66">
        <v>275</v>
      </c>
      <c r="L66" s="118">
        <v>270</v>
      </c>
      <c r="M66" s="21" t="s">
        <v>96</v>
      </c>
      <c r="N66" s="118">
        <v>1792</v>
      </c>
      <c r="O66" s="118">
        <v>1235</v>
      </c>
      <c r="P66" s="118">
        <v>2886</v>
      </c>
      <c r="Q66" s="118">
        <v>924</v>
      </c>
      <c r="R66" s="118">
        <v>40</v>
      </c>
      <c r="S66" s="118">
        <v>740</v>
      </c>
      <c r="T66" s="118" t="s">
        <v>96</v>
      </c>
      <c r="U66" s="118">
        <v>1740</v>
      </c>
      <c r="V66" s="118">
        <v>1420</v>
      </c>
      <c r="W66" s="118">
        <v>520</v>
      </c>
      <c r="X66" s="118">
        <v>1240</v>
      </c>
      <c r="Y66" s="21" t="s">
        <v>96</v>
      </c>
      <c r="Z66" s="21">
        <v>40</v>
      </c>
    </row>
    <row r="67" spans="1:26" x14ac:dyDescent="0.25">
      <c r="A67" s="9" t="s">
        <v>52</v>
      </c>
      <c r="B67" s="118">
        <v>153</v>
      </c>
      <c r="C67" s="118">
        <v>80</v>
      </c>
      <c r="D67" s="118">
        <v>146</v>
      </c>
      <c r="E67" s="118" t="s">
        <v>96</v>
      </c>
      <c r="F67" s="118">
        <v>45</v>
      </c>
      <c r="G67" s="118" t="s">
        <v>96</v>
      </c>
      <c r="H67" s="118" t="s">
        <v>96</v>
      </c>
      <c r="I67" s="118">
        <v>35</v>
      </c>
      <c r="J67" s="118">
        <v>155</v>
      </c>
      <c r="K67" s="66">
        <v>100</v>
      </c>
      <c r="L67" s="118">
        <v>513</v>
      </c>
      <c r="M67" s="21">
        <v>400</v>
      </c>
      <c r="N67" s="118">
        <v>140</v>
      </c>
      <c r="O67" s="118">
        <v>1374</v>
      </c>
      <c r="P67" s="118">
        <v>1933</v>
      </c>
      <c r="Q67" s="118">
        <v>2984</v>
      </c>
      <c r="R67" s="118">
        <v>1214</v>
      </c>
      <c r="S67" s="118">
        <v>1045</v>
      </c>
      <c r="T67" s="118">
        <v>1363</v>
      </c>
      <c r="U67" s="118">
        <v>1340</v>
      </c>
      <c r="V67" s="118">
        <v>1075</v>
      </c>
      <c r="W67" s="118">
        <v>2037</v>
      </c>
      <c r="X67" s="118" t="s">
        <v>96</v>
      </c>
      <c r="Y67" s="21">
        <v>755</v>
      </c>
      <c r="Z67" s="21">
        <v>120</v>
      </c>
    </row>
    <row r="68" spans="1:26" x14ac:dyDescent="0.25">
      <c r="A68" s="9" t="s">
        <v>53</v>
      </c>
      <c r="B68" s="118">
        <v>55</v>
      </c>
      <c r="C68" s="118">
        <v>15</v>
      </c>
      <c r="D68" s="118" t="s">
        <v>96</v>
      </c>
      <c r="E68" s="118" t="s">
        <v>96</v>
      </c>
      <c r="F68" s="118" t="s">
        <v>96</v>
      </c>
      <c r="G68" s="118">
        <v>50</v>
      </c>
      <c r="H68" s="118">
        <v>10</v>
      </c>
      <c r="I68" s="118" t="s">
        <v>96</v>
      </c>
      <c r="J68" s="118" t="s">
        <v>96</v>
      </c>
      <c r="K68" s="66" t="s">
        <v>96</v>
      </c>
      <c r="L68" s="118">
        <v>35</v>
      </c>
      <c r="M68" s="21">
        <v>211</v>
      </c>
      <c r="N68" s="118">
        <v>590</v>
      </c>
      <c r="O68" s="118">
        <v>580</v>
      </c>
      <c r="P68" s="118">
        <v>1551</v>
      </c>
      <c r="Q68" s="118">
        <v>1836</v>
      </c>
      <c r="R68" s="118">
        <v>177</v>
      </c>
      <c r="S68" s="118">
        <v>20</v>
      </c>
      <c r="T68" s="118">
        <v>1640</v>
      </c>
      <c r="U68" s="118">
        <v>1605</v>
      </c>
      <c r="V68" s="118">
        <v>750</v>
      </c>
      <c r="W68" s="118" t="s">
        <v>96</v>
      </c>
      <c r="X68" s="118">
        <v>120</v>
      </c>
      <c r="Y68" s="21">
        <v>100</v>
      </c>
      <c r="Z68" s="21">
        <v>150</v>
      </c>
    </row>
    <row r="69" spans="1:26" x14ac:dyDescent="0.25">
      <c r="A69" s="9" t="s">
        <v>54</v>
      </c>
      <c r="B69" s="118" t="s">
        <v>96</v>
      </c>
      <c r="C69" s="118">
        <v>55</v>
      </c>
      <c r="D69" s="118" t="s">
        <v>96</v>
      </c>
      <c r="E69" s="118" t="s">
        <v>96</v>
      </c>
      <c r="F69" s="118">
        <v>20</v>
      </c>
      <c r="G69" s="118">
        <v>180</v>
      </c>
      <c r="H69" s="118" t="s">
        <v>96</v>
      </c>
      <c r="I69" s="118">
        <v>180</v>
      </c>
      <c r="J69" s="118">
        <v>95</v>
      </c>
      <c r="K69" s="66">
        <v>500</v>
      </c>
      <c r="L69" s="118">
        <v>231</v>
      </c>
      <c r="M69" s="21">
        <v>504</v>
      </c>
      <c r="N69" s="118">
        <v>705</v>
      </c>
      <c r="O69" s="118">
        <v>1605</v>
      </c>
      <c r="P69" s="118">
        <v>2275</v>
      </c>
      <c r="Q69" s="118">
        <v>1171</v>
      </c>
      <c r="R69" s="118">
        <v>1094</v>
      </c>
      <c r="S69" s="118">
        <v>240</v>
      </c>
      <c r="T69" s="118">
        <v>185</v>
      </c>
      <c r="U69" s="118">
        <v>1440</v>
      </c>
      <c r="V69" s="118">
        <v>1410</v>
      </c>
      <c r="W69" s="118">
        <v>1030</v>
      </c>
      <c r="X69" s="118">
        <v>2499</v>
      </c>
      <c r="Y69" s="21">
        <v>1075</v>
      </c>
      <c r="Z69" s="21">
        <v>300</v>
      </c>
    </row>
    <row r="70" spans="1:26" x14ac:dyDescent="0.25">
      <c r="A70" s="9" t="s">
        <v>55</v>
      </c>
      <c r="B70" s="118">
        <v>140</v>
      </c>
      <c r="C70" s="118">
        <v>170</v>
      </c>
      <c r="D70" s="118" t="s">
        <v>96</v>
      </c>
      <c r="E70" s="118">
        <v>55</v>
      </c>
      <c r="F70" s="118">
        <v>280</v>
      </c>
      <c r="G70" s="118" t="s">
        <v>96</v>
      </c>
      <c r="H70" s="118" t="s">
        <v>96</v>
      </c>
      <c r="I70" s="118" t="s">
        <v>96</v>
      </c>
      <c r="J70" s="118">
        <v>190</v>
      </c>
      <c r="K70" s="66" t="s">
        <v>96</v>
      </c>
      <c r="L70" s="118" t="s">
        <v>96</v>
      </c>
      <c r="M70" s="21">
        <v>258</v>
      </c>
      <c r="N70" s="118">
        <v>660</v>
      </c>
      <c r="O70" s="118">
        <v>323</v>
      </c>
      <c r="P70" s="118">
        <v>950</v>
      </c>
      <c r="Q70" s="118">
        <v>865</v>
      </c>
      <c r="R70" s="118">
        <v>345</v>
      </c>
      <c r="S70" s="118">
        <v>45</v>
      </c>
      <c r="T70" s="118">
        <v>600</v>
      </c>
      <c r="U70" s="118">
        <v>1638</v>
      </c>
      <c r="V70" s="118">
        <v>990</v>
      </c>
      <c r="W70" s="118">
        <v>780</v>
      </c>
      <c r="X70" s="118">
        <v>820</v>
      </c>
      <c r="Y70" s="21" t="s">
        <v>96</v>
      </c>
      <c r="Z70" s="21" t="s">
        <v>96</v>
      </c>
    </row>
    <row r="71" spans="1:26" x14ac:dyDescent="0.25">
      <c r="A71" s="9" t="s">
        <v>56</v>
      </c>
      <c r="B71" s="118" t="s">
        <v>96</v>
      </c>
      <c r="C71" s="118" t="s">
        <v>96</v>
      </c>
      <c r="D71" s="118">
        <v>20</v>
      </c>
      <c r="E71" s="118" t="s">
        <v>96</v>
      </c>
      <c r="F71" s="118" t="s">
        <v>96</v>
      </c>
      <c r="G71" s="118" t="s">
        <v>96</v>
      </c>
      <c r="H71" s="118" t="s">
        <v>96</v>
      </c>
      <c r="I71" s="118">
        <v>290</v>
      </c>
      <c r="J71" s="118" t="s">
        <v>96</v>
      </c>
      <c r="K71" s="66">
        <v>535</v>
      </c>
      <c r="L71" s="118">
        <v>1215</v>
      </c>
      <c r="M71" s="21">
        <v>320</v>
      </c>
      <c r="N71" s="118">
        <v>365</v>
      </c>
      <c r="O71" s="118">
        <v>580</v>
      </c>
      <c r="P71" s="118">
        <v>1605</v>
      </c>
      <c r="Q71" s="118">
        <v>1696</v>
      </c>
      <c r="R71" s="118">
        <v>60</v>
      </c>
      <c r="S71" s="118">
        <v>435</v>
      </c>
      <c r="T71" s="118">
        <v>102</v>
      </c>
      <c r="U71" s="118">
        <v>955</v>
      </c>
      <c r="V71" s="118">
        <v>240</v>
      </c>
      <c r="W71" s="118">
        <v>500</v>
      </c>
      <c r="X71" s="118">
        <v>50</v>
      </c>
      <c r="Y71" s="21">
        <v>140</v>
      </c>
      <c r="Z71" s="21" t="s">
        <v>96</v>
      </c>
    </row>
    <row r="72" spans="1:26" x14ac:dyDescent="0.25">
      <c r="A72" s="9" t="s">
        <v>57</v>
      </c>
      <c r="B72" s="118">
        <v>100</v>
      </c>
      <c r="C72" s="118">
        <v>55</v>
      </c>
      <c r="D72" s="118">
        <v>25</v>
      </c>
      <c r="E72" s="118" t="s">
        <v>96</v>
      </c>
      <c r="F72" s="118">
        <v>40</v>
      </c>
      <c r="G72" s="118" t="s">
        <v>96</v>
      </c>
      <c r="H72" s="118">
        <v>320</v>
      </c>
      <c r="I72" s="118" t="s">
        <v>96</v>
      </c>
      <c r="J72" s="118" t="s">
        <v>96</v>
      </c>
      <c r="K72" s="66">
        <v>60</v>
      </c>
      <c r="L72" s="118" t="s">
        <v>96</v>
      </c>
      <c r="M72" s="21">
        <v>100</v>
      </c>
      <c r="N72" s="118">
        <v>1200</v>
      </c>
      <c r="O72" s="118">
        <v>1822</v>
      </c>
      <c r="P72" s="118">
        <v>570</v>
      </c>
      <c r="Q72" s="118">
        <v>730</v>
      </c>
      <c r="R72" s="118">
        <v>1550</v>
      </c>
      <c r="S72" s="118">
        <v>755</v>
      </c>
      <c r="T72" s="118">
        <v>2220</v>
      </c>
      <c r="U72" s="118">
        <v>1100</v>
      </c>
      <c r="V72" s="118">
        <v>2699</v>
      </c>
      <c r="W72" s="118">
        <v>1510</v>
      </c>
      <c r="X72" s="118">
        <v>639</v>
      </c>
      <c r="Y72" s="21">
        <v>290</v>
      </c>
      <c r="Z72" s="21" t="s">
        <v>96</v>
      </c>
    </row>
    <row r="73" spans="1:26" x14ac:dyDescent="0.25">
      <c r="A73" s="9" t="s">
        <v>58</v>
      </c>
      <c r="B73" s="118">
        <v>50</v>
      </c>
      <c r="C73" s="118" t="s">
        <v>96</v>
      </c>
      <c r="D73" s="118">
        <v>20</v>
      </c>
      <c r="E73" s="118" t="s">
        <v>96</v>
      </c>
      <c r="F73" s="118" t="s">
        <v>96</v>
      </c>
      <c r="G73" s="118" t="s">
        <v>96</v>
      </c>
      <c r="H73" s="118" t="s">
        <v>96</v>
      </c>
      <c r="I73" s="118" t="s">
        <v>96</v>
      </c>
      <c r="J73" s="118">
        <v>75</v>
      </c>
      <c r="K73" s="66">
        <v>580</v>
      </c>
      <c r="L73" s="118">
        <v>20</v>
      </c>
      <c r="M73" s="21">
        <v>262</v>
      </c>
      <c r="N73" s="118">
        <v>691</v>
      </c>
      <c r="O73" s="118">
        <v>1460</v>
      </c>
      <c r="P73" s="118">
        <v>2802</v>
      </c>
      <c r="Q73" s="118">
        <v>1408</v>
      </c>
      <c r="R73" s="118">
        <v>1533</v>
      </c>
      <c r="S73" s="118">
        <v>460</v>
      </c>
      <c r="T73" s="118">
        <v>690</v>
      </c>
      <c r="U73" s="118">
        <v>1875</v>
      </c>
      <c r="V73" s="118">
        <v>1960</v>
      </c>
      <c r="W73" s="118">
        <v>1410</v>
      </c>
      <c r="X73" s="118" t="s">
        <v>96</v>
      </c>
      <c r="Y73" s="21" t="s">
        <v>96</v>
      </c>
      <c r="Z73" s="21">
        <v>40</v>
      </c>
    </row>
    <row r="74" spans="1:26" x14ac:dyDescent="0.25">
      <c r="A74" s="9" t="s">
        <v>59</v>
      </c>
      <c r="B74" s="118" t="s">
        <v>96</v>
      </c>
      <c r="C74" s="118" t="s">
        <v>96</v>
      </c>
      <c r="D74" s="118" t="s">
        <v>96</v>
      </c>
      <c r="E74" s="118" t="s">
        <v>96</v>
      </c>
      <c r="F74" s="118" t="s">
        <v>96</v>
      </c>
      <c r="G74" s="118" t="s">
        <v>96</v>
      </c>
      <c r="H74" s="118" t="s">
        <v>96</v>
      </c>
      <c r="I74" s="118" t="s">
        <v>96</v>
      </c>
      <c r="J74" s="118" t="s">
        <v>96</v>
      </c>
      <c r="K74" s="66">
        <v>25</v>
      </c>
      <c r="L74" s="118" t="s">
        <v>96</v>
      </c>
      <c r="M74" s="21">
        <v>243</v>
      </c>
      <c r="N74" s="118" t="s">
        <v>96</v>
      </c>
      <c r="O74" s="118">
        <v>420</v>
      </c>
      <c r="P74" s="118">
        <v>180</v>
      </c>
      <c r="Q74" s="118">
        <v>670</v>
      </c>
      <c r="R74" s="118">
        <v>135</v>
      </c>
      <c r="S74" s="118">
        <v>480</v>
      </c>
      <c r="T74" s="118">
        <v>575</v>
      </c>
      <c r="U74" s="118">
        <v>520</v>
      </c>
      <c r="V74" s="118">
        <v>500</v>
      </c>
      <c r="W74" s="118" t="s">
        <v>96</v>
      </c>
      <c r="X74" s="118">
        <v>335</v>
      </c>
      <c r="Y74" s="21">
        <v>160</v>
      </c>
      <c r="Z74" s="21" t="s">
        <v>96</v>
      </c>
    </row>
    <row r="75" spans="1:26" ht="18" x14ac:dyDescent="0.25">
      <c r="A75" s="8" t="s">
        <v>105</v>
      </c>
      <c r="B75" s="120">
        <v>765</v>
      </c>
      <c r="C75" s="120">
        <v>525</v>
      </c>
      <c r="D75" s="120">
        <v>285</v>
      </c>
      <c r="E75" s="120">
        <v>640</v>
      </c>
      <c r="F75" s="120">
        <v>580</v>
      </c>
      <c r="G75" s="120">
        <v>320</v>
      </c>
      <c r="H75" s="120">
        <v>920</v>
      </c>
      <c r="I75" s="120">
        <v>1475</v>
      </c>
      <c r="J75" s="120">
        <v>1350</v>
      </c>
      <c r="K75" s="65">
        <v>2903</v>
      </c>
      <c r="L75" s="120">
        <v>4430</v>
      </c>
      <c r="M75" s="22">
        <v>5649</v>
      </c>
      <c r="N75" s="120">
        <v>6693</v>
      </c>
      <c r="O75" s="120">
        <v>12351</v>
      </c>
      <c r="P75" s="120">
        <v>15487</v>
      </c>
      <c r="Q75" s="120">
        <v>20556</v>
      </c>
      <c r="R75" s="120">
        <v>8418</v>
      </c>
      <c r="S75" s="120">
        <v>4040</v>
      </c>
      <c r="T75" s="120">
        <v>4324</v>
      </c>
      <c r="U75" s="120">
        <v>7664</v>
      </c>
      <c r="V75" s="120">
        <v>11798</v>
      </c>
      <c r="W75" s="120">
        <v>8047</v>
      </c>
      <c r="X75" s="120">
        <v>4854</v>
      </c>
      <c r="Y75" s="22">
        <v>3385</v>
      </c>
      <c r="Z75" s="22">
        <v>2393</v>
      </c>
    </row>
    <row r="76" spans="1:26" x14ac:dyDescent="0.25">
      <c r="A76" s="9" t="s">
        <v>60</v>
      </c>
      <c r="B76" s="118">
        <v>120</v>
      </c>
      <c r="C76" s="118" t="s">
        <v>96</v>
      </c>
      <c r="D76" s="118" t="s">
        <v>96</v>
      </c>
      <c r="E76" s="118" t="s">
        <v>96</v>
      </c>
      <c r="F76" s="118" t="s">
        <v>96</v>
      </c>
      <c r="G76" s="118" t="s">
        <v>96</v>
      </c>
      <c r="H76" s="118" t="s">
        <v>96</v>
      </c>
      <c r="I76" s="118" t="s">
        <v>96</v>
      </c>
      <c r="J76" s="118" t="s">
        <v>96</v>
      </c>
      <c r="K76" s="66">
        <v>175</v>
      </c>
      <c r="L76" s="118">
        <v>90</v>
      </c>
      <c r="M76" s="21">
        <v>90</v>
      </c>
      <c r="N76" s="118" t="s">
        <v>96</v>
      </c>
      <c r="O76" s="118">
        <v>100</v>
      </c>
      <c r="P76" s="118">
        <v>237</v>
      </c>
      <c r="Q76" s="118">
        <v>335</v>
      </c>
      <c r="R76" s="118">
        <v>1860</v>
      </c>
      <c r="S76" s="118">
        <v>240</v>
      </c>
      <c r="T76" s="118">
        <v>35</v>
      </c>
      <c r="U76" s="118">
        <v>540</v>
      </c>
      <c r="V76" s="118">
        <v>845</v>
      </c>
      <c r="W76" s="118">
        <v>560</v>
      </c>
      <c r="X76" s="118">
        <v>680</v>
      </c>
      <c r="Y76" s="21" t="s">
        <v>96</v>
      </c>
      <c r="Z76" s="21" t="s">
        <v>96</v>
      </c>
    </row>
    <row r="77" spans="1:26" x14ac:dyDescent="0.25">
      <c r="A77" s="9" t="s">
        <v>61</v>
      </c>
      <c r="B77" s="118" t="s">
        <v>96</v>
      </c>
      <c r="C77" s="118" t="s">
        <v>96</v>
      </c>
      <c r="D77" s="118">
        <v>160</v>
      </c>
      <c r="E77" s="118" t="s">
        <v>96</v>
      </c>
      <c r="F77" s="118">
        <v>95</v>
      </c>
      <c r="G77" s="118">
        <v>50</v>
      </c>
      <c r="H77" s="118">
        <v>365</v>
      </c>
      <c r="I77" s="118">
        <v>350</v>
      </c>
      <c r="J77" s="118">
        <v>130</v>
      </c>
      <c r="K77" s="66">
        <v>610</v>
      </c>
      <c r="L77" s="118">
        <v>795</v>
      </c>
      <c r="M77" s="21">
        <v>1925</v>
      </c>
      <c r="N77" s="118">
        <v>2295</v>
      </c>
      <c r="O77" s="118">
        <v>4039</v>
      </c>
      <c r="P77" s="118">
        <v>9062</v>
      </c>
      <c r="Q77" s="118">
        <v>12599</v>
      </c>
      <c r="R77" s="118">
        <v>1299</v>
      </c>
      <c r="S77" s="118">
        <v>1625</v>
      </c>
      <c r="T77" s="118">
        <v>1014</v>
      </c>
      <c r="U77" s="118">
        <v>925</v>
      </c>
      <c r="V77" s="118">
        <v>2480</v>
      </c>
      <c r="W77" s="118">
        <v>1910</v>
      </c>
      <c r="X77" s="118">
        <v>340</v>
      </c>
      <c r="Y77" s="21">
        <v>620</v>
      </c>
      <c r="Z77" s="21">
        <v>475</v>
      </c>
    </row>
    <row r="78" spans="1:26" x14ac:dyDescent="0.25">
      <c r="A78" s="9" t="s">
        <v>62</v>
      </c>
      <c r="B78" s="118">
        <v>340</v>
      </c>
      <c r="C78" s="118">
        <v>240</v>
      </c>
      <c r="D78" s="118">
        <v>105</v>
      </c>
      <c r="E78" s="118">
        <v>495</v>
      </c>
      <c r="F78" s="118">
        <v>485</v>
      </c>
      <c r="G78" s="118">
        <v>50</v>
      </c>
      <c r="H78" s="118">
        <v>555</v>
      </c>
      <c r="I78" s="118">
        <v>955</v>
      </c>
      <c r="J78" s="118">
        <v>970</v>
      </c>
      <c r="K78" s="66">
        <v>1046</v>
      </c>
      <c r="L78" s="118">
        <v>2905</v>
      </c>
      <c r="M78" s="21">
        <v>3124</v>
      </c>
      <c r="N78" s="118">
        <v>3286</v>
      </c>
      <c r="O78" s="118">
        <v>5975</v>
      </c>
      <c r="P78" s="118">
        <v>4351</v>
      </c>
      <c r="Q78" s="118">
        <v>4683</v>
      </c>
      <c r="R78" s="118">
        <v>3912</v>
      </c>
      <c r="S78" s="118">
        <v>1935</v>
      </c>
      <c r="T78" s="118">
        <v>2845</v>
      </c>
      <c r="U78" s="118">
        <v>4009</v>
      </c>
      <c r="V78" s="118">
        <v>5867</v>
      </c>
      <c r="W78" s="118">
        <v>4007</v>
      </c>
      <c r="X78" s="118">
        <v>1658</v>
      </c>
      <c r="Y78" s="21">
        <v>588</v>
      </c>
      <c r="Z78" s="21">
        <v>1270</v>
      </c>
    </row>
    <row r="79" spans="1:26" x14ac:dyDescent="0.25">
      <c r="A79" s="4" t="s">
        <v>63</v>
      </c>
      <c r="B79" s="118"/>
      <c r="C79" s="118"/>
      <c r="D79" s="118"/>
      <c r="E79" s="118"/>
      <c r="F79" s="118"/>
      <c r="G79" s="120"/>
      <c r="H79" s="118"/>
      <c r="I79" s="118"/>
      <c r="J79" s="118"/>
      <c r="K79" s="118"/>
      <c r="L79" s="120"/>
      <c r="M79" s="21"/>
      <c r="N79" s="120"/>
      <c r="O79" s="120"/>
      <c r="P79" s="120"/>
      <c r="Q79" s="120"/>
      <c r="R79" s="120"/>
      <c r="S79" s="118"/>
      <c r="T79" s="118"/>
      <c r="U79" s="118"/>
      <c r="V79" s="118"/>
      <c r="W79" s="118"/>
      <c r="X79" s="118"/>
      <c r="Y79" s="21"/>
      <c r="Z79" s="21"/>
    </row>
    <row r="80" spans="1:26" ht="19.5" x14ac:dyDescent="0.25">
      <c r="A80" s="14" t="s">
        <v>88</v>
      </c>
      <c r="B80" s="118">
        <v>280</v>
      </c>
      <c r="C80" s="118">
        <v>120</v>
      </c>
      <c r="D80" s="118">
        <v>55</v>
      </c>
      <c r="E80" s="118">
        <v>355</v>
      </c>
      <c r="F80" s="118">
        <v>485</v>
      </c>
      <c r="G80" s="118" t="s">
        <v>96</v>
      </c>
      <c r="H80" s="118">
        <v>185</v>
      </c>
      <c r="I80" s="118">
        <v>905</v>
      </c>
      <c r="J80" s="118">
        <v>970</v>
      </c>
      <c r="K80" s="66">
        <v>805</v>
      </c>
      <c r="L80" s="118">
        <v>2285</v>
      </c>
      <c r="M80" s="21">
        <v>2434</v>
      </c>
      <c r="N80" s="118">
        <v>1755</v>
      </c>
      <c r="O80" s="118">
        <v>4175</v>
      </c>
      <c r="P80" s="118">
        <v>3026</v>
      </c>
      <c r="Q80" s="118">
        <v>3723</v>
      </c>
      <c r="R80" s="118">
        <v>3432</v>
      </c>
      <c r="S80" s="118">
        <v>615</v>
      </c>
      <c r="T80" s="118">
        <v>805</v>
      </c>
      <c r="U80" s="118">
        <v>1364</v>
      </c>
      <c r="V80" s="118">
        <v>1464</v>
      </c>
      <c r="W80" s="118">
        <v>700</v>
      </c>
      <c r="X80" s="118">
        <v>120</v>
      </c>
      <c r="Y80" s="21">
        <v>75</v>
      </c>
      <c r="Z80" s="21">
        <v>820</v>
      </c>
    </row>
    <row r="81" spans="1:26" ht="19.5" x14ac:dyDescent="0.25">
      <c r="A81" s="14" t="s">
        <v>64</v>
      </c>
      <c r="B81" s="118">
        <v>60</v>
      </c>
      <c r="C81" s="118" t="s">
        <v>96</v>
      </c>
      <c r="D81" s="118">
        <v>50</v>
      </c>
      <c r="E81" s="118">
        <v>140</v>
      </c>
      <c r="F81" s="118" t="s">
        <v>96</v>
      </c>
      <c r="G81" s="118">
        <v>50</v>
      </c>
      <c r="H81" s="118">
        <v>370</v>
      </c>
      <c r="I81" s="118" t="s">
        <v>96</v>
      </c>
      <c r="J81" s="118" t="s">
        <v>96</v>
      </c>
      <c r="K81" s="66">
        <v>80</v>
      </c>
      <c r="L81" s="118">
        <v>400</v>
      </c>
      <c r="M81" s="21" t="s">
        <v>96</v>
      </c>
      <c r="N81" s="118">
        <v>655</v>
      </c>
      <c r="O81" s="118">
        <v>1470</v>
      </c>
      <c r="P81" s="118">
        <v>420</v>
      </c>
      <c r="Q81" s="118">
        <v>600</v>
      </c>
      <c r="R81" s="118">
        <v>480</v>
      </c>
      <c r="S81" s="118">
        <v>1320</v>
      </c>
      <c r="T81" s="118">
        <v>920</v>
      </c>
      <c r="U81" s="118">
        <v>530</v>
      </c>
      <c r="V81" s="118">
        <v>3340</v>
      </c>
      <c r="W81" s="118">
        <v>1362</v>
      </c>
      <c r="X81" s="118">
        <v>230</v>
      </c>
      <c r="Y81" s="21">
        <v>153</v>
      </c>
      <c r="Z81" s="21">
        <v>120</v>
      </c>
    </row>
    <row r="82" spans="1:26" ht="19.5" x14ac:dyDescent="0.25">
      <c r="A82" s="14" t="s">
        <v>153</v>
      </c>
      <c r="B82" s="118" t="s">
        <v>96</v>
      </c>
      <c r="C82" s="118">
        <v>120</v>
      </c>
      <c r="D82" s="118" t="s">
        <v>96</v>
      </c>
      <c r="E82" s="118" t="s">
        <v>96</v>
      </c>
      <c r="F82" s="118" t="s">
        <v>96</v>
      </c>
      <c r="G82" s="118" t="s">
        <v>96</v>
      </c>
      <c r="H82" s="118" t="s">
        <v>96</v>
      </c>
      <c r="I82" s="118">
        <v>50</v>
      </c>
      <c r="J82" s="118" t="s">
        <v>96</v>
      </c>
      <c r="K82" s="118">
        <v>161</v>
      </c>
      <c r="L82" s="118">
        <v>220</v>
      </c>
      <c r="M82" s="21">
        <v>690</v>
      </c>
      <c r="N82" s="118">
        <v>876</v>
      </c>
      <c r="O82" s="118">
        <v>330</v>
      </c>
      <c r="P82" s="118">
        <v>905</v>
      </c>
      <c r="Q82" s="118">
        <v>360</v>
      </c>
      <c r="R82" s="118" t="s">
        <v>96</v>
      </c>
      <c r="S82" s="118" t="s">
        <v>96</v>
      </c>
      <c r="T82" s="118">
        <v>1120</v>
      </c>
      <c r="U82" s="118">
        <v>2115</v>
      </c>
      <c r="V82" s="118">
        <v>1063</v>
      </c>
      <c r="W82" s="118">
        <v>1945</v>
      </c>
      <c r="X82" s="118">
        <v>1308</v>
      </c>
      <c r="Y82" s="21">
        <v>360</v>
      </c>
      <c r="Z82" s="21">
        <v>330</v>
      </c>
    </row>
    <row r="83" spans="1:26" x14ac:dyDescent="0.25">
      <c r="A83" s="9" t="s">
        <v>65</v>
      </c>
      <c r="B83" s="118">
        <v>305</v>
      </c>
      <c r="C83" s="118">
        <v>285</v>
      </c>
      <c r="D83" s="118">
        <v>20</v>
      </c>
      <c r="E83" s="118">
        <v>145</v>
      </c>
      <c r="F83" s="118" t="s">
        <v>96</v>
      </c>
      <c r="G83" s="118">
        <v>220</v>
      </c>
      <c r="H83" s="118" t="s">
        <v>96</v>
      </c>
      <c r="I83" s="118">
        <v>170</v>
      </c>
      <c r="J83" s="118">
        <v>250</v>
      </c>
      <c r="K83" s="66">
        <v>1072</v>
      </c>
      <c r="L83" s="118">
        <v>640</v>
      </c>
      <c r="M83" s="21">
        <v>510</v>
      </c>
      <c r="N83" s="118">
        <v>1112</v>
      </c>
      <c r="O83" s="118">
        <v>2237</v>
      </c>
      <c r="P83" s="118">
        <v>1837</v>
      </c>
      <c r="Q83" s="118">
        <v>2939</v>
      </c>
      <c r="R83" s="118">
        <v>1347</v>
      </c>
      <c r="S83" s="118">
        <v>240</v>
      </c>
      <c r="T83" s="118">
        <v>430</v>
      </c>
      <c r="U83" s="118">
        <v>2190</v>
      </c>
      <c r="V83" s="118">
        <v>2606</v>
      </c>
      <c r="W83" s="118">
        <v>1570</v>
      </c>
      <c r="X83" s="118">
        <v>2176</v>
      </c>
      <c r="Y83" s="21">
        <v>2177</v>
      </c>
      <c r="Z83" s="21">
        <v>648</v>
      </c>
    </row>
    <row r="84" spans="1:26" ht="18" x14ac:dyDescent="0.25">
      <c r="A84" s="8" t="s">
        <v>112</v>
      </c>
      <c r="B84" s="120">
        <v>405</v>
      </c>
      <c r="C84" s="120">
        <v>320</v>
      </c>
      <c r="D84" s="120">
        <v>95</v>
      </c>
      <c r="E84" s="120">
        <v>260</v>
      </c>
      <c r="F84" s="120">
        <v>65</v>
      </c>
      <c r="G84" s="120">
        <v>35</v>
      </c>
      <c r="H84" s="120">
        <v>130</v>
      </c>
      <c r="I84" s="120">
        <v>1455</v>
      </c>
      <c r="J84" s="120">
        <v>4102</v>
      </c>
      <c r="K84" s="65">
        <v>1900</v>
      </c>
      <c r="L84" s="120">
        <v>2017</v>
      </c>
      <c r="M84" s="22">
        <v>5190</v>
      </c>
      <c r="N84" s="120">
        <v>7233</v>
      </c>
      <c r="O84" s="120">
        <v>12632</v>
      </c>
      <c r="P84" s="120">
        <v>15786</v>
      </c>
      <c r="Q84" s="120">
        <v>22638</v>
      </c>
      <c r="R84" s="120">
        <v>6936</v>
      </c>
      <c r="S84" s="120">
        <v>2253</v>
      </c>
      <c r="T84" s="120">
        <v>2685</v>
      </c>
      <c r="U84" s="120">
        <v>10836</v>
      </c>
      <c r="V84" s="120">
        <v>12938</v>
      </c>
      <c r="W84" s="120">
        <v>7546</v>
      </c>
      <c r="X84" s="120">
        <v>7891</v>
      </c>
      <c r="Y84" s="22">
        <v>3745</v>
      </c>
      <c r="Z84" s="22">
        <v>2335</v>
      </c>
    </row>
    <row r="85" spans="1:26" x14ac:dyDescent="0.25">
      <c r="A85" s="9" t="s">
        <v>66</v>
      </c>
      <c r="B85" s="118" t="s">
        <v>96</v>
      </c>
      <c r="C85" s="118" t="s">
        <v>96</v>
      </c>
      <c r="D85" s="118" t="s">
        <v>96</v>
      </c>
      <c r="E85" s="118" t="s">
        <v>96</v>
      </c>
      <c r="F85" s="118" t="s">
        <v>96</v>
      </c>
      <c r="G85" s="118" t="s">
        <v>96</v>
      </c>
      <c r="H85" s="118" t="s">
        <v>96</v>
      </c>
      <c r="I85" s="118">
        <v>140</v>
      </c>
      <c r="J85" s="118" t="s">
        <v>96</v>
      </c>
      <c r="K85" s="118" t="s">
        <v>96</v>
      </c>
      <c r="L85" s="118" t="s">
        <v>96</v>
      </c>
      <c r="M85" s="21">
        <v>235</v>
      </c>
      <c r="N85" s="118">
        <v>65</v>
      </c>
      <c r="O85" s="118">
        <v>310</v>
      </c>
      <c r="P85" s="118">
        <v>200</v>
      </c>
      <c r="Q85" s="118">
        <v>730</v>
      </c>
      <c r="R85" s="118">
        <v>100</v>
      </c>
      <c r="S85" s="118" t="s">
        <v>96</v>
      </c>
      <c r="T85" s="118" t="s">
        <v>96</v>
      </c>
      <c r="U85" s="118">
        <v>380</v>
      </c>
      <c r="V85" s="118">
        <v>225</v>
      </c>
      <c r="W85" s="118">
        <v>910</v>
      </c>
      <c r="X85" s="118">
        <v>595</v>
      </c>
      <c r="Y85" s="21">
        <v>250</v>
      </c>
      <c r="Z85" s="21" t="s">
        <v>96</v>
      </c>
    </row>
    <row r="86" spans="1:26" x14ac:dyDescent="0.25">
      <c r="A86" s="9" t="s">
        <v>68</v>
      </c>
      <c r="B86" s="118" t="s">
        <v>96</v>
      </c>
      <c r="C86" s="118" t="s">
        <v>96</v>
      </c>
      <c r="D86" s="118" t="s">
        <v>96</v>
      </c>
      <c r="E86" s="118" t="s">
        <v>96</v>
      </c>
      <c r="F86" s="118" t="s">
        <v>96</v>
      </c>
      <c r="G86" s="118" t="s">
        <v>96</v>
      </c>
      <c r="H86" s="118" t="s">
        <v>96</v>
      </c>
      <c r="I86" s="118" t="s">
        <v>96</v>
      </c>
      <c r="J86" s="118" t="s">
        <v>96</v>
      </c>
      <c r="K86" s="118" t="s">
        <v>96</v>
      </c>
      <c r="L86" s="118" t="s">
        <v>96</v>
      </c>
      <c r="M86" s="21" t="s">
        <v>96</v>
      </c>
      <c r="N86" s="118">
        <v>50</v>
      </c>
      <c r="O86" s="118">
        <v>300</v>
      </c>
      <c r="P86" s="118">
        <v>335</v>
      </c>
      <c r="Q86" s="118">
        <v>420</v>
      </c>
      <c r="R86" s="118">
        <v>280</v>
      </c>
      <c r="S86" s="118">
        <v>320</v>
      </c>
      <c r="T86" s="118" t="s">
        <v>96</v>
      </c>
      <c r="U86" s="118" t="s">
        <v>96</v>
      </c>
      <c r="V86" s="118">
        <v>910</v>
      </c>
      <c r="W86" s="118">
        <v>60</v>
      </c>
      <c r="X86" s="118">
        <v>860</v>
      </c>
      <c r="Y86" s="21">
        <v>210</v>
      </c>
      <c r="Z86" s="21">
        <v>25</v>
      </c>
    </row>
    <row r="87" spans="1:26" x14ac:dyDescent="0.25">
      <c r="A87" s="9" t="s">
        <v>69</v>
      </c>
      <c r="B87" s="118" t="s">
        <v>96</v>
      </c>
      <c r="C87" s="118" t="s">
        <v>96</v>
      </c>
      <c r="D87" s="118" t="s">
        <v>96</v>
      </c>
      <c r="E87" s="118" t="s">
        <v>96</v>
      </c>
      <c r="F87" s="118" t="s">
        <v>96</v>
      </c>
      <c r="G87" s="118" t="s">
        <v>96</v>
      </c>
      <c r="H87" s="118" t="s">
        <v>96</v>
      </c>
      <c r="I87" s="118">
        <v>90</v>
      </c>
      <c r="J87" s="118">
        <v>260</v>
      </c>
      <c r="K87" s="118" t="s">
        <v>96</v>
      </c>
      <c r="L87" s="118">
        <v>260</v>
      </c>
      <c r="M87" s="21">
        <v>300</v>
      </c>
      <c r="N87" s="118" t="s">
        <v>96</v>
      </c>
      <c r="O87" s="118">
        <v>220</v>
      </c>
      <c r="P87" s="118">
        <v>680</v>
      </c>
      <c r="Q87" s="118">
        <v>260</v>
      </c>
      <c r="R87" s="118">
        <v>260</v>
      </c>
      <c r="S87" s="118" t="s">
        <v>96</v>
      </c>
      <c r="T87" s="118" t="s">
        <v>96</v>
      </c>
      <c r="U87" s="118">
        <v>765</v>
      </c>
      <c r="V87" s="118">
        <v>585</v>
      </c>
      <c r="W87" s="118">
        <v>380</v>
      </c>
      <c r="X87" s="118">
        <v>500</v>
      </c>
      <c r="Y87" s="21" t="s">
        <v>96</v>
      </c>
      <c r="Z87" s="21" t="s">
        <v>96</v>
      </c>
    </row>
    <row r="88" spans="1:26" x14ac:dyDescent="0.25">
      <c r="A88" s="9" t="s">
        <v>70</v>
      </c>
      <c r="B88" s="118" t="s">
        <v>96</v>
      </c>
      <c r="C88" s="118" t="s">
        <v>96</v>
      </c>
      <c r="D88" s="118" t="s">
        <v>96</v>
      </c>
      <c r="E88" s="118">
        <v>15</v>
      </c>
      <c r="F88" s="118" t="s">
        <v>96</v>
      </c>
      <c r="G88" s="118" t="s">
        <v>96</v>
      </c>
      <c r="H88" s="118" t="s">
        <v>96</v>
      </c>
      <c r="I88" s="118" t="s">
        <v>96</v>
      </c>
      <c r="J88" s="118">
        <v>520</v>
      </c>
      <c r="K88" s="66">
        <v>230</v>
      </c>
      <c r="L88" s="118">
        <v>375</v>
      </c>
      <c r="M88" s="21">
        <v>340</v>
      </c>
      <c r="N88" s="118">
        <v>425</v>
      </c>
      <c r="O88" s="118">
        <v>1085</v>
      </c>
      <c r="P88" s="118">
        <v>1046</v>
      </c>
      <c r="Q88" s="118">
        <v>2082</v>
      </c>
      <c r="R88" s="118">
        <v>1771</v>
      </c>
      <c r="S88" s="118">
        <v>25</v>
      </c>
      <c r="T88" s="118" t="s">
        <v>96</v>
      </c>
      <c r="U88" s="118">
        <v>1595</v>
      </c>
      <c r="V88" s="118">
        <v>1435</v>
      </c>
      <c r="W88" s="118">
        <v>1450</v>
      </c>
      <c r="X88" s="118">
        <v>1110</v>
      </c>
      <c r="Y88" s="21">
        <v>1090</v>
      </c>
      <c r="Z88" s="21">
        <v>470</v>
      </c>
    </row>
    <row r="89" spans="1:26" x14ac:dyDescent="0.25">
      <c r="A89" s="9" t="s">
        <v>72</v>
      </c>
      <c r="B89" s="118">
        <v>145</v>
      </c>
      <c r="C89" s="118">
        <v>40</v>
      </c>
      <c r="D89" s="118" t="s">
        <v>96</v>
      </c>
      <c r="E89" s="118">
        <v>95</v>
      </c>
      <c r="F89" s="118" t="s">
        <v>96</v>
      </c>
      <c r="G89" s="118" t="s">
        <v>96</v>
      </c>
      <c r="H89" s="118">
        <v>30</v>
      </c>
      <c r="I89" s="118">
        <v>50</v>
      </c>
      <c r="J89" s="118">
        <v>165</v>
      </c>
      <c r="K89" s="66">
        <v>380</v>
      </c>
      <c r="L89" s="118">
        <v>75</v>
      </c>
      <c r="M89" s="21">
        <v>540</v>
      </c>
      <c r="N89" s="118">
        <v>952</v>
      </c>
      <c r="O89" s="118">
        <v>2603</v>
      </c>
      <c r="P89" s="118">
        <v>1410</v>
      </c>
      <c r="Q89" s="118">
        <v>4530</v>
      </c>
      <c r="R89" s="118">
        <v>1480</v>
      </c>
      <c r="S89" s="118">
        <v>475</v>
      </c>
      <c r="T89" s="118">
        <v>615</v>
      </c>
      <c r="U89" s="118">
        <v>2075</v>
      </c>
      <c r="V89" s="118">
        <v>2850</v>
      </c>
      <c r="W89" s="118">
        <v>1001</v>
      </c>
      <c r="X89" s="118">
        <v>825</v>
      </c>
      <c r="Y89" s="21">
        <v>574</v>
      </c>
      <c r="Z89" s="21">
        <v>35</v>
      </c>
    </row>
    <row r="90" spans="1:26" x14ac:dyDescent="0.25">
      <c r="A90" s="9" t="s">
        <v>73</v>
      </c>
      <c r="B90" s="118" t="s">
        <v>96</v>
      </c>
      <c r="C90" s="118" t="s">
        <v>96</v>
      </c>
      <c r="D90" s="118" t="s">
        <v>96</v>
      </c>
      <c r="E90" s="118" t="s">
        <v>96</v>
      </c>
      <c r="F90" s="118">
        <v>15</v>
      </c>
      <c r="G90" s="118" t="s">
        <v>96</v>
      </c>
      <c r="H90" s="118" t="s">
        <v>96</v>
      </c>
      <c r="I90" s="118">
        <v>100</v>
      </c>
      <c r="J90" s="118">
        <v>110</v>
      </c>
      <c r="K90" s="66">
        <v>40</v>
      </c>
      <c r="L90" s="118" t="s">
        <v>96</v>
      </c>
      <c r="M90" s="21">
        <v>370</v>
      </c>
      <c r="N90" s="118">
        <v>615</v>
      </c>
      <c r="O90" s="118">
        <v>1169</v>
      </c>
      <c r="P90" s="118">
        <v>2684</v>
      </c>
      <c r="Q90" s="118">
        <v>3310</v>
      </c>
      <c r="R90" s="118">
        <v>1688</v>
      </c>
      <c r="S90" s="118" t="s">
        <v>96</v>
      </c>
      <c r="T90" s="118">
        <v>1230</v>
      </c>
      <c r="U90" s="118">
        <v>1109</v>
      </c>
      <c r="V90" s="118">
        <v>560</v>
      </c>
      <c r="W90" s="118">
        <v>725</v>
      </c>
      <c r="X90" s="118">
        <v>770</v>
      </c>
      <c r="Y90" s="21">
        <v>240</v>
      </c>
      <c r="Z90" s="21">
        <v>625</v>
      </c>
    </row>
    <row r="91" spans="1:26" x14ac:dyDescent="0.25">
      <c r="A91" s="9" t="s">
        <v>74</v>
      </c>
      <c r="B91" s="118" t="s">
        <v>96</v>
      </c>
      <c r="C91" s="118" t="s">
        <v>96</v>
      </c>
      <c r="D91" s="118" t="s">
        <v>96</v>
      </c>
      <c r="E91" s="118" t="s">
        <v>96</v>
      </c>
      <c r="F91" s="118">
        <v>50</v>
      </c>
      <c r="G91" s="118">
        <v>35</v>
      </c>
      <c r="H91" s="118" t="s">
        <v>96</v>
      </c>
      <c r="I91" s="118">
        <v>585</v>
      </c>
      <c r="J91" s="118">
        <v>974</v>
      </c>
      <c r="K91" s="66">
        <v>790</v>
      </c>
      <c r="L91" s="118">
        <v>692</v>
      </c>
      <c r="M91" s="21">
        <v>1501</v>
      </c>
      <c r="N91" s="118">
        <v>1755</v>
      </c>
      <c r="O91" s="118">
        <v>1620</v>
      </c>
      <c r="P91" s="118">
        <v>2532</v>
      </c>
      <c r="Q91" s="118">
        <v>1034</v>
      </c>
      <c r="R91" s="118">
        <v>155</v>
      </c>
      <c r="S91" s="118">
        <v>923</v>
      </c>
      <c r="T91" s="118">
        <v>140</v>
      </c>
      <c r="U91" s="118">
        <v>1064</v>
      </c>
      <c r="V91" s="118">
        <v>1903</v>
      </c>
      <c r="W91" s="118">
        <v>870</v>
      </c>
      <c r="X91" s="118">
        <v>819</v>
      </c>
      <c r="Y91" s="21">
        <v>680</v>
      </c>
      <c r="Z91" s="21">
        <v>660</v>
      </c>
    </row>
    <row r="92" spans="1:26" x14ac:dyDescent="0.25">
      <c r="A92" s="9" t="s">
        <v>75</v>
      </c>
      <c r="B92" s="118">
        <v>140</v>
      </c>
      <c r="C92" s="118">
        <v>280</v>
      </c>
      <c r="D92" s="118">
        <v>95</v>
      </c>
      <c r="E92" s="118">
        <v>115</v>
      </c>
      <c r="F92" s="118" t="s">
        <v>96</v>
      </c>
      <c r="G92" s="118" t="s">
        <v>96</v>
      </c>
      <c r="H92" s="118">
        <v>100</v>
      </c>
      <c r="I92" s="118">
        <v>280</v>
      </c>
      <c r="J92" s="118">
        <v>2073</v>
      </c>
      <c r="K92" s="66">
        <v>350</v>
      </c>
      <c r="L92" s="118">
        <v>140</v>
      </c>
      <c r="M92" s="21">
        <v>1507</v>
      </c>
      <c r="N92" s="118">
        <v>2891</v>
      </c>
      <c r="O92" s="118">
        <v>4152</v>
      </c>
      <c r="P92" s="118">
        <v>4669</v>
      </c>
      <c r="Q92" s="118">
        <v>5740</v>
      </c>
      <c r="R92" s="118">
        <v>460</v>
      </c>
      <c r="S92" s="118">
        <v>220</v>
      </c>
      <c r="T92" s="118">
        <v>330</v>
      </c>
      <c r="U92" s="118">
        <v>2790</v>
      </c>
      <c r="V92" s="118">
        <v>3390</v>
      </c>
      <c r="W92" s="118">
        <v>1215</v>
      </c>
      <c r="X92" s="118">
        <v>522</v>
      </c>
      <c r="Y92" s="21">
        <v>320</v>
      </c>
      <c r="Z92" s="21">
        <v>240</v>
      </c>
    </row>
    <row r="93" spans="1:26" x14ac:dyDescent="0.25">
      <c r="A93" s="9" t="s">
        <v>76</v>
      </c>
      <c r="B93" s="118" t="s">
        <v>96</v>
      </c>
      <c r="C93" s="118" t="s">
        <v>96</v>
      </c>
      <c r="D93" s="118" t="s">
        <v>96</v>
      </c>
      <c r="E93" s="118" t="s">
        <v>96</v>
      </c>
      <c r="F93" s="118" t="s">
        <v>96</v>
      </c>
      <c r="G93" s="118" t="s">
        <v>96</v>
      </c>
      <c r="H93" s="118" t="s">
        <v>96</v>
      </c>
      <c r="I93" s="118">
        <v>210</v>
      </c>
      <c r="J93" s="118" t="s">
        <v>96</v>
      </c>
      <c r="K93" s="118" t="s">
        <v>96</v>
      </c>
      <c r="L93" s="118">
        <v>255</v>
      </c>
      <c r="M93" s="21">
        <v>110</v>
      </c>
      <c r="N93" s="118">
        <v>140</v>
      </c>
      <c r="O93" s="118">
        <v>623</v>
      </c>
      <c r="P93" s="118">
        <v>675</v>
      </c>
      <c r="Q93" s="118">
        <v>2082</v>
      </c>
      <c r="R93" s="118">
        <v>670</v>
      </c>
      <c r="S93" s="118">
        <v>110</v>
      </c>
      <c r="T93" s="118">
        <v>80</v>
      </c>
      <c r="U93" s="118">
        <v>568</v>
      </c>
      <c r="V93" s="118">
        <v>290</v>
      </c>
      <c r="W93" s="118">
        <v>280</v>
      </c>
      <c r="X93" s="118">
        <v>1160</v>
      </c>
      <c r="Y93" s="21">
        <v>381</v>
      </c>
      <c r="Z93" s="21" t="s">
        <v>96</v>
      </c>
    </row>
    <row r="94" spans="1:26" x14ac:dyDescent="0.25">
      <c r="A94" s="9" t="s">
        <v>77</v>
      </c>
      <c r="B94" s="118">
        <v>120</v>
      </c>
      <c r="C94" s="118" t="s">
        <v>96</v>
      </c>
      <c r="D94" s="118" t="s">
        <v>96</v>
      </c>
      <c r="E94" s="118">
        <v>35</v>
      </c>
      <c r="F94" s="118" t="s">
        <v>96</v>
      </c>
      <c r="G94" s="118" t="s">
        <v>96</v>
      </c>
      <c r="H94" s="118" t="s">
        <v>96</v>
      </c>
      <c r="I94" s="118" t="s">
        <v>96</v>
      </c>
      <c r="J94" s="118" t="s">
        <v>96</v>
      </c>
      <c r="K94" s="66">
        <v>110</v>
      </c>
      <c r="L94" s="118">
        <v>220</v>
      </c>
      <c r="M94" s="21">
        <v>287</v>
      </c>
      <c r="N94" s="118">
        <v>340</v>
      </c>
      <c r="O94" s="118">
        <v>550</v>
      </c>
      <c r="P94" s="118">
        <v>1555</v>
      </c>
      <c r="Q94" s="118">
        <v>2450</v>
      </c>
      <c r="R94" s="118">
        <v>72</v>
      </c>
      <c r="S94" s="118">
        <v>180</v>
      </c>
      <c r="T94" s="118">
        <v>290</v>
      </c>
      <c r="U94" s="118">
        <v>490</v>
      </c>
      <c r="V94" s="118">
        <v>790</v>
      </c>
      <c r="W94" s="118">
        <v>655</v>
      </c>
      <c r="X94" s="118">
        <v>730</v>
      </c>
      <c r="Y94" s="21" t="s">
        <v>96</v>
      </c>
      <c r="Z94" s="21">
        <v>280</v>
      </c>
    </row>
    <row r="95" spans="1:26" ht="18" x14ac:dyDescent="0.25">
      <c r="A95" s="8" t="s">
        <v>146</v>
      </c>
      <c r="B95" s="120">
        <v>620</v>
      </c>
      <c r="C95" s="120">
        <v>302</v>
      </c>
      <c r="D95" s="120">
        <v>380</v>
      </c>
      <c r="E95" s="120">
        <v>190</v>
      </c>
      <c r="F95" s="120">
        <v>286</v>
      </c>
      <c r="G95" s="120">
        <v>422</v>
      </c>
      <c r="H95" s="120">
        <v>583</v>
      </c>
      <c r="I95" s="120">
        <v>970</v>
      </c>
      <c r="J95" s="120">
        <v>815</v>
      </c>
      <c r="K95" s="65">
        <v>1519</v>
      </c>
      <c r="L95" s="120">
        <v>1606</v>
      </c>
      <c r="M95" s="22">
        <v>2610</v>
      </c>
      <c r="N95" s="120">
        <v>2737</v>
      </c>
      <c r="O95" s="120">
        <v>3444</v>
      </c>
      <c r="P95" s="120">
        <v>6218</v>
      </c>
      <c r="Q95" s="120">
        <v>8112</v>
      </c>
      <c r="R95" s="120">
        <v>2575</v>
      </c>
      <c r="S95" s="120">
        <v>4453</v>
      </c>
      <c r="T95" s="120">
        <v>2909</v>
      </c>
      <c r="U95" s="120">
        <v>7810</v>
      </c>
      <c r="V95" s="120">
        <v>4336</v>
      </c>
      <c r="W95" s="120">
        <v>5914</v>
      </c>
      <c r="X95" s="120">
        <v>3446</v>
      </c>
      <c r="Y95" s="22">
        <v>2690</v>
      </c>
      <c r="Z95" s="22">
        <v>2525</v>
      </c>
    </row>
    <row r="96" spans="1:26" x14ac:dyDescent="0.25">
      <c r="A96" s="9" t="s">
        <v>67</v>
      </c>
      <c r="B96" s="118" t="s">
        <v>96</v>
      </c>
      <c r="C96" s="118" t="s">
        <v>96</v>
      </c>
      <c r="D96" s="118" t="s">
        <v>96</v>
      </c>
      <c r="E96" s="118" t="s">
        <v>96</v>
      </c>
      <c r="F96" s="118" t="s">
        <v>96</v>
      </c>
      <c r="G96" s="120" t="s">
        <v>96</v>
      </c>
      <c r="H96" s="118" t="s">
        <v>96</v>
      </c>
      <c r="I96" s="118" t="s">
        <v>96</v>
      </c>
      <c r="J96" s="118">
        <v>250</v>
      </c>
      <c r="K96" s="66">
        <v>240</v>
      </c>
      <c r="L96" s="118">
        <v>46</v>
      </c>
      <c r="M96" s="21">
        <v>905</v>
      </c>
      <c r="N96" s="118">
        <v>186</v>
      </c>
      <c r="O96" s="118">
        <v>120</v>
      </c>
      <c r="P96" s="118">
        <v>720</v>
      </c>
      <c r="Q96" s="118">
        <v>450</v>
      </c>
      <c r="R96" s="118" t="s">
        <v>96</v>
      </c>
      <c r="S96" s="118" t="s">
        <v>96</v>
      </c>
      <c r="T96" s="118" t="s">
        <v>96</v>
      </c>
      <c r="U96" s="118">
        <v>3010</v>
      </c>
      <c r="V96" s="118">
        <v>1270</v>
      </c>
      <c r="W96" s="118">
        <v>1140</v>
      </c>
      <c r="X96" s="118">
        <v>840</v>
      </c>
      <c r="Y96" s="21">
        <v>1510</v>
      </c>
      <c r="Z96" s="21">
        <v>850</v>
      </c>
    </row>
    <row r="97" spans="1:26" x14ac:dyDescent="0.25">
      <c r="A97" s="9" t="s">
        <v>78</v>
      </c>
      <c r="B97" s="118">
        <v>455</v>
      </c>
      <c r="C97" s="118">
        <v>190</v>
      </c>
      <c r="D97" s="118">
        <v>275</v>
      </c>
      <c r="E97" s="118">
        <v>190</v>
      </c>
      <c r="F97" s="118">
        <v>210</v>
      </c>
      <c r="G97" s="118">
        <v>372</v>
      </c>
      <c r="H97" s="118">
        <v>153</v>
      </c>
      <c r="I97" s="118">
        <v>65</v>
      </c>
      <c r="J97" s="118">
        <v>50</v>
      </c>
      <c r="K97" s="66">
        <v>590</v>
      </c>
      <c r="L97" s="118">
        <v>440</v>
      </c>
      <c r="M97" s="21">
        <v>845</v>
      </c>
      <c r="N97" s="118">
        <v>688</v>
      </c>
      <c r="O97" s="118">
        <v>513</v>
      </c>
      <c r="P97" s="118">
        <v>1225</v>
      </c>
      <c r="Q97" s="118">
        <v>2378</v>
      </c>
      <c r="R97" s="118">
        <v>555</v>
      </c>
      <c r="S97" s="118">
        <v>2163</v>
      </c>
      <c r="T97" s="118">
        <v>1663</v>
      </c>
      <c r="U97" s="118">
        <v>2651</v>
      </c>
      <c r="V97" s="118">
        <v>1240</v>
      </c>
      <c r="W97" s="118">
        <v>1825</v>
      </c>
      <c r="X97" s="118">
        <v>285</v>
      </c>
      <c r="Y97" s="21">
        <v>270</v>
      </c>
      <c r="Z97" s="21">
        <v>335</v>
      </c>
    </row>
    <row r="98" spans="1:26" x14ac:dyDescent="0.25">
      <c r="A98" s="9" t="s">
        <v>71</v>
      </c>
      <c r="B98" s="118" t="s">
        <v>96</v>
      </c>
      <c r="C98" s="118">
        <v>50</v>
      </c>
      <c r="D98" s="118">
        <v>95</v>
      </c>
      <c r="E98" s="118" t="s">
        <v>96</v>
      </c>
      <c r="F98" s="118" t="s">
        <v>96</v>
      </c>
      <c r="G98" s="118">
        <v>50</v>
      </c>
      <c r="H98" s="118">
        <v>270</v>
      </c>
      <c r="I98" s="118">
        <v>640</v>
      </c>
      <c r="J98" s="118">
        <v>315</v>
      </c>
      <c r="K98" s="66">
        <v>375</v>
      </c>
      <c r="L98" s="118">
        <v>40</v>
      </c>
      <c r="M98" s="21" t="s">
        <v>96</v>
      </c>
      <c r="N98" s="118">
        <v>118</v>
      </c>
      <c r="O98" s="118">
        <v>461</v>
      </c>
      <c r="P98" s="118">
        <v>490</v>
      </c>
      <c r="Q98" s="118">
        <v>1046</v>
      </c>
      <c r="R98" s="118">
        <v>395</v>
      </c>
      <c r="S98" s="118">
        <v>355</v>
      </c>
      <c r="T98" s="118">
        <v>406</v>
      </c>
      <c r="U98" s="118">
        <v>939</v>
      </c>
      <c r="V98" s="118">
        <v>516</v>
      </c>
      <c r="W98" s="118">
        <v>424</v>
      </c>
      <c r="X98" s="118">
        <v>444</v>
      </c>
      <c r="Y98" s="21">
        <v>230</v>
      </c>
      <c r="Z98" s="21">
        <v>330</v>
      </c>
    </row>
    <row r="99" spans="1:26" x14ac:dyDescent="0.25">
      <c r="A99" s="9" t="s">
        <v>79</v>
      </c>
      <c r="B99" s="118" t="s">
        <v>96</v>
      </c>
      <c r="C99" s="118" t="s">
        <v>96</v>
      </c>
      <c r="D99" s="118" t="s">
        <v>96</v>
      </c>
      <c r="E99" s="118" t="s">
        <v>96</v>
      </c>
      <c r="F99" s="118" t="s">
        <v>96</v>
      </c>
      <c r="G99" s="118" t="s">
        <v>96</v>
      </c>
      <c r="H99" s="118">
        <v>60</v>
      </c>
      <c r="I99" s="118" t="s">
        <v>96</v>
      </c>
      <c r="J99" s="118">
        <v>200</v>
      </c>
      <c r="K99" s="118" t="s">
        <v>96</v>
      </c>
      <c r="L99" s="118">
        <v>230</v>
      </c>
      <c r="M99" s="21" t="s">
        <v>96</v>
      </c>
      <c r="N99" s="118">
        <v>290</v>
      </c>
      <c r="O99" s="118">
        <v>260</v>
      </c>
      <c r="P99" s="118">
        <v>220</v>
      </c>
      <c r="Q99" s="118">
        <v>220</v>
      </c>
      <c r="R99" s="118" t="s">
        <v>96</v>
      </c>
      <c r="S99" s="118" t="s">
        <v>96</v>
      </c>
      <c r="T99" s="118">
        <v>260</v>
      </c>
      <c r="U99" s="118">
        <v>170</v>
      </c>
      <c r="V99" s="118">
        <v>150</v>
      </c>
      <c r="W99" s="118">
        <v>730</v>
      </c>
      <c r="X99" s="118">
        <v>260</v>
      </c>
      <c r="Y99" s="21">
        <v>160</v>
      </c>
      <c r="Z99" s="21" t="s">
        <v>96</v>
      </c>
    </row>
    <row r="100" spans="1:26" x14ac:dyDescent="0.25">
      <c r="A100" s="9" t="s">
        <v>80</v>
      </c>
      <c r="B100" s="118">
        <v>140</v>
      </c>
      <c r="C100" s="118" t="s">
        <v>96</v>
      </c>
      <c r="D100" s="118" t="s">
        <v>96</v>
      </c>
      <c r="E100" s="118" t="s">
        <v>96</v>
      </c>
      <c r="F100" s="118" t="s">
        <v>96</v>
      </c>
      <c r="G100" s="118" t="s">
        <v>96</v>
      </c>
      <c r="H100" s="118" t="s">
        <v>96</v>
      </c>
      <c r="I100" s="118">
        <v>205</v>
      </c>
      <c r="J100" s="118" t="s">
        <v>96</v>
      </c>
      <c r="K100" s="66">
        <v>55</v>
      </c>
      <c r="L100" s="118" t="s">
        <v>96</v>
      </c>
      <c r="M100" s="21">
        <v>480</v>
      </c>
      <c r="N100" s="118">
        <v>360</v>
      </c>
      <c r="O100" s="118">
        <v>220</v>
      </c>
      <c r="P100" s="118">
        <v>1540</v>
      </c>
      <c r="Q100" s="118">
        <v>1866</v>
      </c>
      <c r="R100" s="118">
        <v>360</v>
      </c>
      <c r="S100" s="118">
        <v>240</v>
      </c>
      <c r="T100" s="118" t="s">
        <v>96</v>
      </c>
      <c r="U100" s="118">
        <v>260</v>
      </c>
      <c r="V100" s="118">
        <v>845</v>
      </c>
      <c r="W100" s="118">
        <v>985</v>
      </c>
      <c r="X100" s="118">
        <v>942</v>
      </c>
      <c r="Y100" s="21" t="s">
        <v>96</v>
      </c>
      <c r="Z100" s="21">
        <v>230</v>
      </c>
    </row>
    <row r="101" spans="1:26" x14ac:dyDescent="0.25">
      <c r="A101" s="9" t="s">
        <v>81</v>
      </c>
      <c r="B101" s="118" t="s">
        <v>96</v>
      </c>
      <c r="C101" s="118" t="s">
        <v>96</v>
      </c>
      <c r="D101" s="118" t="s">
        <v>96</v>
      </c>
      <c r="E101" s="118" t="s">
        <v>96</v>
      </c>
      <c r="F101" s="118">
        <v>76</v>
      </c>
      <c r="G101" s="118" t="s">
        <v>96</v>
      </c>
      <c r="H101" s="118">
        <v>10</v>
      </c>
      <c r="I101" s="118">
        <v>20</v>
      </c>
      <c r="J101" s="118" t="s">
        <v>96</v>
      </c>
      <c r="K101" s="118" t="s">
        <v>96</v>
      </c>
      <c r="L101" s="118">
        <v>20</v>
      </c>
      <c r="M101" s="21">
        <v>105</v>
      </c>
      <c r="N101" s="118">
        <v>345</v>
      </c>
      <c r="O101" s="118">
        <v>840</v>
      </c>
      <c r="P101" s="118">
        <v>470</v>
      </c>
      <c r="Q101" s="118">
        <v>830</v>
      </c>
      <c r="R101" s="118" t="s">
        <v>96</v>
      </c>
      <c r="S101" s="118">
        <v>650</v>
      </c>
      <c r="T101" s="118">
        <v>20</v>
      </c>
      <c r="U101" s="118" t="s">
        <v>96</v>
      </c>
      <c r="V101" s="118">
        <v>205</v>
      </c>
      <c r="W101" s="118">
        <v>110</v>
      </c>
      <c r="X101" s="118">
        <v>200</v>
      </c>
      <c r="Y101" s="21" t="s">
        <v>96</v>
      </c>
      <c r="Z101" s="21">
        <v>190</v>
      </c>
    </row>
    <row r="102" spans="1:26" x14ac:dyDescent="0.25">
      <c r="A102" s="9" t="s">
        <v>82</v>
      </c>
      <c r="B102" s="118">
        <v>25</v>
      </c>
      <c r="C102" s="118">
        <v>62</v>
      </c>
      <c r="D102" s="118">
        <v>10</v>
      </c>
      <c r="E102" s="118" t="s">
        <v>96</v>
      </c>
      <c r="F102" s="118" t="s">
        <v>96</v>
      </c>
      <c r="G102" s="118" t="s">
        <v>96</v>
      </c>
      <c r="H102" s="118" t="s">
        <v>96</v>
      </c>
      <c r="I102" s="118" t="s">
        <v>96</v>
      </c>
      <c r="J102" s="118" t="s">
        <v>96</v>
      </c>
      <c r="K102" s="66">
        <v>219</v>
      </c>
      <c r="L102" s="118" t="s">
        <v>96</v>
      </c>
      <c r="M102" s="21" t="s">
        <v>96</v>
      </c>
      <c r="N102" s="118">
        <v>40</v>
      </c>
      <c r="O102" s="118">
        <v>270</v>
      </c>
      <c r="P102" s="118">
        <v>603</v>
      </c>
      <c r="Q102" s="118">
        <v>482</v>
      </c>
      <c r="R102" s="118">
        <v>420</v>
      </c>
      <c r="S102" s="118">
        <v>230</v>
      </c>
      <c r="T102" s="118" t="s">
        <v>96</v>
      </c>
      <c r="U102" s="118">
        <v>530</v>
      </c>
      <c r="V102" s="118" t="s">
        <v>96</v>
      </c>
      <c r="W102" s="118" t="s">
        <v>96</v>
      </c>
      <c r="X102" s="118">
        <v>240</v>
      </c>
      <c r="Y102" s="21" t="s">
        <v>96</v>
      </c>
      <c r="Z102" s="21">
        <v>420</v>
      </c>
    </row>
    <row r="103" spans="1:26" x14ac:dyDescent="0.25">
      <c r="A103" s="9" t="s">
        <v>83</v>
      </c>
      <c r="B103" s="118" t="s">
        <v>96</v>
      </c>
      <c r="C103" s="118" t="s">
        <v>96</v>
      </c>
      <c r="D103" s="118" t="s">
        <v>96</v>
      </c>
      <c r="E103" s="118" t="s">
        <v>96</v>
      </c>
      <c r="F103" s="118" t="s">
        <v>96</v>
      </c>
      <c r="G103" s="118" t="s">
        <v>96</v>
      </c>
      <c r="H103" s="118" t="s">
        <v>96</v>
      </c>
      <c r="I103" s="118" t="s">
        <v>96</v>
      </c>
      <c r="J103" s="118" t="s">
        <v>96</v>
      </c>
      <c r="K103" s="118" t="s">
        <v>96</v>
      </c>
      <c r="L103" s="118" t="s">
        <v>96</v>
      </c>
      <c r="M103" s="21" t="s">
        <v>96</v>
      </c>
      <c r="N103" s="118" t="s">
        <v>96</v>
      </c>
      <c r="O103" s="118" t="s">
        <v>96</v>
      </c>
      <c r="P103" s="118" t="s">
        <v>96</v>
      </c>
      <c r="Q103" s="118" t="s">
        <v>96</v>
      </c>
      <c r="R103" s="118" t="s">
        <v>96</v>
      </c>
      <c r="S103" s="118">
        <v>175</v>
      </c>
      <c r="T103" s="118" t="s">
        <v>96</v>
      </c>
      <c r="U103" s="118">
        <v>220</v>
      </c>
      <c r="V103" s="118" t="s">
        <v>96</v>
      </c>
      <c r="W103" s="118">
        <v>30</v>
      </c>
      <c r="X103" s="118">
        <v>135</v>
      </c>
      <c r="Y103" s="21" t="s">
        <v>96</v>
      </c>
      <c r="Z103" s="21" t="s">
        <v>96</v>
      </c>
    </row>
    <row r="104" spans="1:26" x14ac:dyDescent="0.25">
      <c r="A104" s="9" t="s">
        <v>84</v>
      </c>
      <c r="B104" s="118" t="s">
        <v>96</v>
      </c>
      <c r="C104" s="118" t="s">
        <v>96</v>
      </c>
      <c r="D104" s="118" t="s">
        <v>96</v>
      </c>
      <c r="E104" s="118" t="s">
        <v>96</v>
      </c>
      <c r="F104" s="118" t="s">
        <v>96</v>
      </c>
      <c r="G104" s="118" t="s">
        <v>96</v>
      </c>
      <c r="H104" s="118" t="s">
        <v>96</v>
      </c>
      <c r="I104" s="118" t="s">
        <v>96</v>
      </c>
      <c r="J104" s="118" t="s">
        <v>96</v>
      </c>
      <c r="K104" s="118" t="s">
        <v>96</v>
      </c>
      <c r="L104" s="118">
        <v>830</v>
      </c>
      <c r="M104" s="21">
        <v>275</v>
      </c>
      <c r="N104" s="118">
        <v>630</v>
      </c>
      <c r="O104" s="118">
        <v>680</v>
      </c>
      <c r="P104" s="118">
        <v>950</v>
      </c>
      <c r="Q104" s="118">
        <v>840</v>
      </c>
      <c r="R104" s="118">
        <v>730</v>
      </c>
      <c r="S104" s="118">
        <v>640</v>
      </c>
      <c r="T104" s="118">
        <v>560</v>
      </c>
      <c r="U104" s="118">
        <v>30</v>
      </c>
      <c r="V104" s="118">
        <v>110</v>
      </c>
      <c r="W104" s="118">
        <v>670</v>
      </c>
      <c r="X104" s="118">
        <v>100</v>
      </c>
      <c r="Y104" s="21">
        <v>520</v>
      </c>
      <c r="Z104" s="21">
        <v>110</v>
      </c>
    </row>
    <row r="105" spans="1:26" ht="12" customHeight="1" x14ac:dyDescent="0.25">
      <c r="A105" s="9" t="s">
        <v>85</v>
      </c>
      <c r="B105" s="118" t="s">
        <v>96</v>
      </c>
      <c r="C105" s="118" t="s">
        <v>96</v>
      </c>
      <c r="D105" s="118" t="s">
        <v>96</v>
      </c>
      <c r="E105" s="118" t="s">
        <v>96</v>
      </c>
      <c r="F105" s="118" t="s">
        <v>96</v>
      </c>
      <c r="G105" s="118" t="s">
        <v>96</v>
      </c>
      <c r="H105" s="118" t="s">
        <v>96</v>
      </c>
      <c r="I105" s="118">
        <v>40</v>
      </c>
      <c r="J105" s="118" t="s">
        <v>96</v>
      </c>
      <c r="K105" s="66">
        <v>40</v>
      </c>
      <c r="L105" s="118" t="s">
        <v>96</v>
      </c>
      <c r="M105" s="21" t="s">
        <v>96</v>
      </c>
      <c r="N105" s="118" t="s">
        <v>96</v>
      </c>
      <c r="O105" s="118">
        <v>80</v>
      </c>
      <c r="P105" s="118" t="s">
        <v>96</v>
      </c>
      <c r="Q105" s="118" t="s">
        <v>96</v>
      </c>
      <c r="R105" s="118">
        <v>115</v>
      </c>
      <c r="S105" s="118" t="s">
        <v>96</v>
      </c>
      <c r="T105" s="118" t="s">
        <v>96</v>
      </c>
      <c r="U105" s="118" t="s">
        <v>96</v>
      </c>
      <c r="V105" s="118" t="s">
        <v>96</v>
      </c>
      <c r="W105" s="118" t="s">
        <v>96</v>
      </c>
      <c r="X105" s="118" t="s">
        <v>96</v>
      </c>
      <c r="Y105" s="21" t="s">
        <v>96</v>
      </c>
      <c r="Z105" s="21" t="s">
        <v>96</v>
      </c>
    </row>
    <row r="106" spans="1:26" ht="15.75" customHeight="1" thickBot="1" x14ac:dyDescent="0.3">
      <c r="A106" s="71" t="s">
        <v>86</v>
      </c>
      <c r="B106" s="127" t="s">
        <v>96</v>
      </c>
      <c r="C106" s="127" t="s">
        <v>96</v>
      </c>
      <c r="D106" s="127" t="s">
        <v>96</v>
      </c>
      <c r="E106" s="127" t="s">
        <v>96</v>
      </c>
      <c r="F106" s="127" t="s">
        <v>96</v>
      </c>
      <c r="G106" s="127" t="s">
        <v>96</v>
      </c>
      <c r="H106" s="127">
        <v>90</v>
      </c>
      <c r="I106" s="127" t="s">
        <v>96</v>
      </c>
      <c r="J106" s="127" t="s">
        <v>96</v>
      </c>
      <c r="K106" s="127" t="s">
        <v>96</v>
      </c>
      <c r="L106" s="127" t="s">
        <v>96</v>
      </c>
      <c r="M106" s="64" t="s">
        <v>96</v>
      </c>
      <c r="N106" s="127">
        <v>80</v>
      </c>
      <c r="O106" s="127" t="s">
        <v>96</v>
      </c>
      <c r="P106" s="127" t="s">
        <v>96</v>
      </c>
      <c r="Q106" s="127" t="s">
        <v>96</v>
      </c>
      <c r="R106" s="127" t="s">
        <v>96</v>
      </c>
      <c r="S106" s="127" t="s">
        <v>96</v>
      </c>
      <c r="T106" s="127" t="s">
        <v>96</v>
      </c>
      <c r="U106" s="127" t="s">
        <v>96</v>
      </c>
      <c r="V106" s="127" t="s">
        <v>96</v>
      </c>
      <c r="W106" s="127" t="s">
        <v>96</v>
      </c>
      <c r="X106" s="127" t="s">
        <v>96</v>
      </c>
      <c r="Y106" s="127" t="s">
        <v>96</v>
      </c>
      <c r="Z106" s="127">
        <v>60</v>
      </c>
    </row>
    <row r="107" spans="1:26" x14ac:dyDescent="0.25">
      <c r="A107" s="189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2"/>
      <c r="U107" s="12"/>
      <c r="V107" s="12"/>
      <c r="W107" s="12"/>
      <c r="X107" s="12"/>
      <c r="Z107" s="12"/>
    </row>
    <row r="108" spans="1:26" x14ac:dyDescent="0.25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2"/>
      <c r="U108" s="12"/>
      <c r="V108" s="12"/>
      <c r="W108" s="12"/>
      <c r="X108" s="12"/>
      <c r="Z108" s="1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8">
    <tabColor rgb="FFC7E6A4"/>
  </sheetPr>
  <dimension ref="A1:Z108"/>
  <sheetViews>
    <sheetView zoomScale="80" zoomScaleNormal="80" workbookViewId="0">
      <pane ySplit="8" topLeftCell="A9" activePane="bottomLeft" state="frozen"/>
      <selection sqref="A1:T1"/>
      <selection pane="bottomLeft" activeCell="AB14" sqref="AB14"/>
    </sheetView>
  </sheetViews>
  <sheetFormatPr defaultRowHeight="15" x14ac:dyDescent="0.25"/>
  <cols>
    <col min="1" max="1" width="18.140625" customWidth="1"/>
    <col min="2" max="16" width="9.140625" customWidth="1"/>
    <col min="18" max="20" width="9.140625" customWidth="1"/>
    <col min="24" max="24" width="9.140625" style="1"/>
    <col min="25" max="25" width="9.140625" style="12"/>
    <col min="26" max="26" width="9.140625" style="1"/>
  </cols>
  <sheetData>
    <row r="1" spans="1:26" ht="30" customHeight="1" x14ac:dyDescent="0.25"/>
    <row r="2" spans="1:26" x14ac:dyDescent="0.25">
      <c r="A2" s="212" t="s">
        <v>180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</row>
    <row r="3" spans="1:26" ht="15" customHeight="1" x14ac:dyDescent="0.25">
      <c r="A3" s="213" t="s">
        <v>191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</row>
    <row r="4" spans="1:26" x14ac:dyDescent="0.25">
      <c r="A4" s="202" t="s">
        <v>119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</row>
    <row r="5" spans="1:26" x14ac:dyDescent="0.25">
      <c r="A5" s="11" t="s">
        <v>235</v>
      </c>
      <c r="B5" s="11"/>
      <c r="C5" s="11"/>
      <c r="D5" s="11"/>
      <c r="E5" s="11"/>
      <c r="F5" s="11"/>
      <c r="G5" s="34"/>
      <c r="H5" s="34"/>
      <c r="I5" s="34"/>
      <c r="J5" s="34"/>
      <c r="K5" s="34"/>
      <c r="L5" s="34"/>
      <c r="M5" s="34"/>
      <c r="N5" s="34"/>
      <c r="O5" s="54"/>
      <c r="P5" s="34"/>
      <c r="Q5" s="34"/>
      <c r="R5" s="34"/>
      <c r="S5" s="34"/>
      <c r="T5" s="12"/>
      <c r="U5" s="12"/>
      <c r="V5" s="12"/>
      <c r="W5" s="12"/>
      <c r="X5" s="12"/>
      <c r="Z5" s="12"/>
    </row>
    <row r="6" spans="1:26" x14ac:dyDescent="0.25">
      <c r="A6" s="11" t="s">
        <v>234</v>
      </c>
      <c r="B6" s="11"/>
      <c r="C6" s="11"/>
      <c r="D6" s="11"/>
      <c r="E6" s="11"/>
      <c r="F6" s="11"/>
      <c r="G6" s="34"/>
      <c r="H6" s="34"/>
      <c r="I6" s="34"/>
      <c r="J6" s="34"/>
      <c r="K6" s="34"/>
      <c r="L6" s="34"/>
      <c r="M6" s="34"/>
      <c r="N6" s="34"/>
      <c r="O6" s="54"/>
      <c r="P6" s="34"/>
      <c r="Q6" s="34"/>
      <c r="R6" s="34"/>
      <c r="S6" s="34"/>
      <c r="T6" s="12"/>
      <c r="U6" s="12"/>
      <c r="V6" s="12"/>
      <c r="W6" s="12"/>
      <c r="X6" s="12"/>
      <c r="Z6" s="12"/>
    </row>
    <row r="7" spans="1:26" ht="15.75" thickBot="1" x14ac:dyDescent="0.3">
      <c r="A7" s="68" t="s">
        <v>155</v>
      </c>
      <c r="B7" s="56"/>
      <c r="C7" s="56"/>
      <c r="D7" s="56"/>
      <c r="E7" s="56"/>
      <c r="F7" s="56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12"/>
      <c r="U7" s="12"/>
      <c r="V7" s="12"/>
      <c r="W7" s="12"/>
      <c r="X7" s="12"/>
      <c r="Z7" s="12"/>
    </row>
    <row r="8" spans="1:26" ht="15.75" thickBot="1" x14ac:dyDescent="0.3">
      <c r="A8" s="69"/>
      <c r="B8" s="6">
        <v>2000</v>
      </c>
      <c r="C8" s="70">
        <v>2001</v>
      </c>
      <c r="D8" s="70">
        <v>2002</v>
      </c>
      <c r="E8" s="70">
        <v>2003</v>
      </c>
      <c r="F8" s="70">
        <v>2004</v>
      </c>
      <c r="G8" s="6">
        <v>2005</v>
      </c>
      <c r="H8" s="70">
        <v>2006</v>
      </c>
      <c r="I8" s="70">
        <v>2007</v>
      </c>
      <c r="J8" s="70">
        <v>2008</v>
      </c>
      <c r="K8" s="70">
        <v>2009</v>
      </c>
      <c r="L8" s="6">
        <v>2010</v>
      </c>
      <c r="M8" s="70">
        <v>2011</v>
      </c>
      <c r="N8" s="70">
        <v>2012</v>
      </c>
      <c r="O8" s="70">
        <v>2013</v>
      </c>
      <c r="P8" s="70">
        <v>2014</v>
      </c>
      <c r="Q8" s="6">
        <v>2015</v>
      </c>
      <c r="R8" s="70">
        <v>2016</v>
      </c>
      <c r="S8" s="70">
        <v>2017</v>
      </c>
      <c r="T8" s="6">
        <v>2018</v>
      </c>
      <c r="U8" s="6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x14ac:dyDescent="0.25">
      <c r="A9" s="29" t="s">
        <v>0</v>
      </c>
      <c r="B9" s="120">
        <v>9534</v>
      </c>
      <c r="C9" s="120">
        <v>7551</v>
      </c>
      <c r="D9" s="120">
        <v>7017</v>
      </c>
      <c r="E9" s="120">
        <v>7835</v>
      </c>
      <c r="F9" s="120">
        <v>8069</v>
      </c>
      <c r="G9" s="120">
        <v>7025</v>
      </c>
      <c r="H9" s="120">
        <v>8989</v>
      </c>
      <c r="I9" s="120">
        <v>7920</v>
      </c>
      <c r="J9" s="120">
        <v>8110</v>
      </c>
      <c r="K9" s="65">
        <v>6334</v>
      </c>
      <c r="L9" s="120">
        <v>8747</v>
      </c>
      <c r="M9" s="22">
        <v>9536</v>
      </c>
      <c r="N9" s="126">
        <v>9523</v>
      </c>
      <c r="O9" s="120">
        <v>8647</v>
      </c>
      <c r="P9" s="120">
        <v>2699</v>
      </c>
      <c r="Q9" s="120">
        <v>4271</v>
      </c>
      <c r="R9" s="120">
        <v>6084</v>
      </c>
      <c r="S9" s="126">
        <v>3869</v>
      </c>
      <c r="T9" s="120">
        <v>2885</v>
      </c>
      <c r="U9" s="120">
        <v>3948</v>
      </c>
      <c r="V9" s="120">
        <v>3951</v>
      </c>
      <c r="W9" s="120">
        <v>3242</v>
      </c>
      <c r="X9" s="120">
        <v>5338</v>
      </c>
      <c r="Y9" s="22">
        <v>6529</v>
      </c>
      <c r="Z9" s="22">
        <v>5911</v>
      </c>
    </row>
    <row r="10" spans="1:26" ht="18" x14ac:dyDescent="0.25">
      <c r="A10" s="8" t="s">
        <v>92</v>
      </c>
      <c r="B10" s="120">
        <v>1329</v>
      </c>
      <c r="C10" s="120">
        <v>2145</v>
      </c>
      <c r="D10" s="120">
        <v>1654</v>
      </c>
      <c r="E10" s="120">
        <v>1378</v>
      </c>
      <c r="F10" s="120">
        <v>2017</v>
      </c>
      <c r="G10" s="120">
        <v>2260</v>
      </c>
      <c r="H10" s="120">
        <v>2975</v>
      </c>
      <c r="I10" s="118">
        <v>1498</v>
      </c>
      <c r="J10" s="120">
        <v>1477</v>
      </c>
      <c r="K10" s="65">
        <v>884</v>
      </c>
      <c r="L10" s="120">
        <v>1346</v>
      </c>
      <c r="M10" s="22">
        <v>2359</v>
      </c>
      <c r="N10" s="120">
        <v>2877</v>
      </c>
      <c r="O10" s="120">
        <v>2665</v>
      </c>
      <c r="P10" s="120">
        <v>492</v>
      </c>
      <c r="Q10" s="120">
        <v>939</v>
      </c>
      <c r="R10" s="120">
        <v>1070</v>
      </c>
      <c r="S10" s="120">
        <v>2012</v>
      </c>
      <c r="T10" s="133">
        <v>725</v>
      </c>
      <c r="U10" s="120">
        <v>2140</v>
      </c>
      <c r="V10" s="120">
        <v>926</v>
      </c>
      <c r="W10" s="120">
        <v>980</v>
      </c>
      <c r="X10" s="120">
        <v>1474</v>
      </c>
      <c r="Y10" s="22">
        <v>2962</v>
      </c>
      <c r="Z10" s="22">
        <v>1259</v>
      </c>
    </row>
    <row r="11" spans="1:26" x14ac:dyDescent="0.25">
      <c r="A11" s="9" t="s">
        <v>1</v>
      </c>
      <c r="B11" s="118">
        <v>310</v>
      </c>
      <c r="C11" s="118">
        <v>35</v>
      </c>
      <c r="D11" s="118">
        <v>150</v>
      </c>
      <c r="E11" s="118">
        <v>210</v>
      </c>
      <c r="F11" s="118">
        <v>266</v>
      </c>
      <c r="G11" s="118">
        <v>443</v>
      </c>
      <c r="H11" s="118">
        <v>209</v>
      </c>
      <c r="I11" s="118">
        <v>118</v>
      </c>
      <c r="J11" s="118">
        <v>6</v>
      </c>
      <c r="K11" s="66" t="s">
        <v>96</v>
      </c>
      <c r="L11" s="118">
        <v>110</v>
      </c>
      <c r="M11" s="21">
        <v>274</v>
      </c>
      <c r="N11" s="118" t="s">
        <v>96</v>
      </c>
      <c r="O11" s="118">
        <v>120</v>
      </c>
      <c r="P11" s="118">
        <v>53</v>
      </c>
      <c r="Q11" s="118">
        <v>140</v>
      </c>
      <c r="R11" s="118" t="s">
        <v>96</v>
      </c>
      <c r="S11" s="118">
        <v>12</v>
      </c>
      <c r="T11" s="134">
        <v>12</v>
      </c>
      <c r="U11" s="118">
        <v>30</v>
      </c>
      <c r="V11" s="118">
        <v>209</v>
      </c>
      <c r="W11" s="118" t="s">
        <v>96</v>
      </c>
      <c r="X11" s="118" t="s">
        <v>96</v>
      </c>
      <c r="Y11" s="21" t="s">
        <v>96</v>
      </c>
      <c r="Z11" s="21" t="s">
        <v>96</v>
      </c>
    </row>
    <row r="12" spans="1:26" x14ac:dyDescent="0.25">
      <c r="A12" s="9" t="s">
        <v>2</v>
      </c>
      <c r="B12" s="118">
        <v>140</v>
      </c>
      <c r="C12" s="118">
        <v>56</v>
      </c>
      <c r="D12" s="118" t="s">
        <v>96</v>
      </c>
      <c r="E12" s="118" t="s">
        <v>96</v>
      </c>
      <c r="F12" s="118">
        <v>50</v>
      </c>
      <c r="G12" s="118">
        <v>210</v>
      </c>
      <c r="H12" s="118">
        <v>150</v>
      </c>
      <c r="I12" s="118" t="s">
        <v>96</v>
      </c>
      <c r="J12" s="118">
        <v>60</v>
      </c>
      <c r="K12" s="66">
        <v>206</v>
      </c>
      <c r="L12" s="118" t="s">
        <v>96</v>
      </c>
      <c r="M12" s="21">
        <v>88</v>
      </c>
      <c r="N12" s="118">
        <v>60</v>
      </c>
      <c r="O12" s="118">
        <v>66</v>
      </c>
      <c r="P12" s="118">
        <v>98</v>
      </c>
      <c r="Q12" s="118" t="s">
        <v>96</v>
      </c>
      <c r="R12" s="118" t="s">
        <v>96</v>
      </c>
      <c r="S12" s="118">
        <v>130</v>
      </c>
      <c r="T12" s="134" t="s">
        <v>96</v>
      </c>
      <c r="U12" s="118">
        <v>50</v>
      </c>
      <c r="V12" s="118" t="s">
        <v>96</v>
      </c>
      <c r="W12" s="118" t="s">
        <v>96</v>
      </c>
      <c r="X12" s="118" t="s">
        <v>96</v>
      </c>
      <c r="Y12" s="21" t="s">
        <v>96</v>
      </c>
      <c r="Z12" s="21">
        <v>208</v>
      </c>
    </row>
    <row r="13" spans="1:26" x14ac:dyDescent="0.25">
      <c r="A13" s="9" t="s">
        <v>3</v>
      </c>
      <c r="B13" s="118">
        <v>40</v>
      </c>
      <c r="C13" s="118">
        <v>78</v>
      </c>
      <c r="D13" s="118">
        <v>120</v>
      </c>
      <c r="E13" s="118">
        <v>65</v>
      </c>
      <c r="F13" s="118">
        <v>240</v>
      </c>
      <c r="G13" s="118">
        <v>36</v>
      </c>
      <c r="H13" s="118">
        <v>33</v>
      </c>
      <c r="I13" s="118">
        <v>148</v>
      </c>
      <c r="J13" s="118" t="s">
        <v>96</v>
      </c>
      <c r="K13" s="66" t="s">
        <v>96</v>
      </c>
      <c r="L13" s="118" t="s">
        <v>96</v>
      </c>
      <c r="M13" s="21">
        <v>9</v>
      </c>
      <c r="N13" s="118">
        <v>100</v>
      </c>
      <c r="O13" s="118" t="s">
        <v>96</v>
      </c>
      <c r="P13" s="118" t="s">
        <v>96</v>
      </c>
      <c r="Q13" s="118" t="s">
        <v>96</v>
      </c>
      <c r="R13" s="118" t="s">
        <v>96</v>
      </c>
      <c r="S13" s="118" t="s">
        <v>96</v>
      </c>
      <c r="T13" s="134" t="s">
        <v>96</v>
      </c>
      <c r="U13" s="118" t="s">
        <v>96</v>
      </c>
      <c r="V13" s="118" t="s">
        <v>96</v>
      </c>
      <c r="W13" s="118" t="s">
        <v>96</v>
      </c>
      <c r="X13" s="118" t="s">
        <v>96</v>
      </c>
      <c r="Y13" s="21" t="s">
        <v>96</v>
      </c>
      <c r="Z13" s="21" t="s">
        <v>96</v>
      </c>
    </row>
    <row r="14" spans="1:26" x14ac:dyDescent="0.25">
      <c r="A14" s="9" t="s">
        <v>4</v>
      </c>
      <c r="B14" s="118">
        <v>50</v>
      </c>
      <c r="C14" s="118">
        <v>45</v>
      </c>
      <c r="D14" s="118">
        <v>122</v>
      </c>
      <c r="E14" s="118">
        <v>36</v>
      </c>
      <c r="F14" s="118" t="s">
        <v>96</v>
      </c>
      <c r="G14" s="118">
        <v>25</v>
      </c>
      <c r="H14" s="118">
        <v>333</v>
      </c>
      <c r="I14" s="118" t="s">
        <v>96</v>
      </c>
      <c r="J14" s="118">
        <v>135</v>
      </c>
      <c r="K14" s="66">
        <v>30</v>
      </c>
      <c r="L14" s="118">
        <v>66</v>
      </c>
      <c r="M14" s="21">
        <v>549</v>
      </c>
      <c r="N14" s="118">
        <v>356</v>
      </c>
      <c r="O14" s="118">
        <v>346</v>
      </c>
      <c r="P14" s="118" t="s">
        <v>96</v>
      </c>
      <c r="Q14" s="118" t="s">
        <v>96</v>
      </c>
      <c r="R14" s="118" t="s">
        <v>96</v>
      </c>
      <c r="S14" s="118">
        <v>40</v>
      </c>
      <c r="T14" s="134" t="s">
        <v>96</v>
      </c>
      <c r="U14" s="118" t="s">
        <v>96</v>
      </c>
      <c r="V14" s="118">
        <v>105</v>
      </c>
      <c r="W14" s="118">
        <v>100</v>
      </c>
      <c r="X14" s="118" t="s">
        <v>96</v>
      </c>
      <c r="Y14" s="21">
        <v>340</v>
      </c>
      <c r="Z14" s="21">
        <v>270</v>
      </c>
    </row>
    <row r="15" spans="1:26" x14ac:dyDescent="0.25">
      <c r="A15" s="9" t="s">
        <v>5</v>
      </c>
      <c r="B15" s="118" t="s">
        <v>96</v>
      </c>
      <c r="C15" s="118" t="s">
        <v>96</v>
      </c>
      <c r="D15" s="118" t="s">
        <v>96</v>
      </c>
      <c r="E15" s="118">
        <v>28</v>
      </c>
      <c r="F15" s="118">
        <v>140</v>
      </c>
      <c r="G15" s="118" t="s">
        <v>96</v>
      </c>
      <c r="H15" s="118" t="s">
        <v>96</v>
      </c>
      <c r="I15" s="118">
        <v>81</v>
      </c>
      <c r="J15" s="118" t="s">
        <v>96</v>
      </c>
      <c r="K15" s="66" t="s">
        <v>96</v>
      </c>
      <c r="L15" s="118" t="s">
        <v>96</v>
      </c>
      <c r="M15" s="21" t="s">
        <v>96</v>
      </c>
      <c r="N15" s="118" t="s">
        <v>96</v>
      </c>
      <c r="O15" s="118">
        <v>103</v>
      </c>
      <c r="P15" s="118" t="s">
        <v>96</v>
      </c>
      <c r="Q15" s="118" t="s">
        <v>96</v>
      </c>
      <c r="R15" s="118" t="s">
        <v>96</v>
      </c>
      <c r="S15" s="118" t="s">
        <v>96</v>
      </c>
      <c r="T15" s="134" t="s">
        <v>96</v>
      </c>
      <c r="U15" s="118" t="s">
        <v>96</v>
      </c>
      <c r="V15" s="118" t="s">
        <v>96</v>
      </c>
      <c r="W15" s="118" t="s">
        <v>96</v>
      </c>
      <c r="X15" s="118" t="s">
        <v>96</v>
      </c>
      <c r="Y15" s="21" t="s">
        <v>96</v>
      </c>
      <c r="Z15" s="21" t="s">
        <v>96</v>
      </c>
    </row>
    <row r="16" spans="1:26" x14ac:dyDescent="0.25">
      <c r="A16" s="9" t="s">
        <v>6</v>
      </c>
      <c r="B16" s="118" t="s">
        <v>96</v>
      </c>
      <c r="C16" s="118" t="s">
        <v>96</v>
      </c>
      <c r="D16" s="118" t="s">
        <v>96</v>
      </c>
      <c r="E16" s="118">
        <v>15</v>
      </c>
      <c r="F16" s="118">
        <v>110</v>
      </c>
      <c r="G16" s="118" t="s">
        <v>96</v>
      </c>
      <c r="H16" s="118">
        <v>41</v>
      </c>
      <c r="I16" s="118">
        <v>212</v>
      </c>
      <c r="J16" s="118" t="s">
        <v>96</v>
      </c>
      <c r="K16" s="66" t="s">
        <v>96</v>
      </c>
      <c r="L16" s="118" t="s">
        <v>96</v>
      </c>
      <c r="M16" s="21" t="s">
        <v>96</v>
      </c>
      <c r="N16" s="118" t="s">
        <v>96</v>
      </c>
      <c r="O16" s="118" t="s">
        <v>96</v>
      </c>
      <c r="P16" s="118">
        <v>125</v>
      </c>
      <c r="Q16" s="118" t="s">
        <v>96</v>
      </c>
      <c r="R16" s="118">
        <v>171</v>
      </c>
      <c r="S16" s="118" t="s">
        <v>96</v>
      </c>
      <c r="T16" s="134" t="s">
        <v>96</v>
      </c>
      <c r="U16" s="118" t="s">
        <v>96</v>
      </c>
      <c r="V16" s="118" t="s">
        <v>96</v>
      </c>
      <c r="W16" s="118">
        <v>350</v>
      </c>
      <c r="X16" s="118" t="s">
        <v>96</v>
      </c>
      <c r="Y16" s="21">
        <v>31</v>
      </c>
      <c r="Z16" s="21" t="s">
        <v>96</v>
      </c>
    </row>
    <row r="17" spans="1:26" x14ac:dyDescent="0.25">
      <c r="A17" s="9" t="s">
        <v>7</v>
      </c>
      <c r="B17" s="118" t="s">
        <v>96</v>
      </c>
      <c r="C17" s="118">
        <v>20</v>
      </c>
      <c r="D17" s="118" t="s">
        <v>96</v>
      </c>
      <c r="E17" s="118" t="s">
        <v>96</v>
      </c>
      <c r="F17" s="118">
        <v>30</v>
      </c>
      <c r="G17" s="118" t="s">
        <v>96</v>
      </c>
      <c r="H17" s="118" t="s">
        <v>96</v>
      </c>
      <c r="I17" s="118">
        <v>112</v>
      </c>
      <c r="J17" s="118" t="s">
        <v>96</v>
      </c>
      <c r="K17" s="66" t="s">
        <v>96</v>
      </c>
      <c r="L17" s="118" t="s">
        <v>96</v>
      </c>
      <c r="M17" s="21">
        <v>85</v>
      </c>
      <c r="N17" s="118" t="s">
        <v>96</v>
      </c>
      <c r="O17" s="118" t="s">
        <v>96</v>
      </c>
      <c r="P17" s="118" t="s">
        <v>96</v>
      </c>
      <c r="Q17" s="118" t="s">
        <v>96</v>
      </c>
      <c r="R17" s="118" t="s">
        <v>96</v>
      </c>
      <c r="S17" s="118" t="s">
        <v>96</v>
      </c>
      <c r="T17" s="134" t="s">
        <v>96</v>
      </c>
      <c r="U17" s="118" t="s">
        <v>96</v>
      </c>
      <c r="V17" s="118" t="s">
        <v>96</v>
      </c>
      <c r="W17" s="118" t="s">
        <v>96</v>
      </c>
      <c r="X17" s="118" t="s">
        <v>96</v>
      </c>
      <c r="Y17" s="21">
        <v>50</v>
      </c>
      <c r="Z17" s="21" t="s">
        <v>96</v>
      </c>
    </row>
    <row r="18" spans="1:26" x14ac:dyDescent="0.25">
      <c r="A18" s="9" t="s">
        <v>8</v>
      </c>
      <c r="B18" s="118">
        <v>40</v>
      </c>
      <c r="C18" s="118">
        <v>269</v>
      </c>
      <c r="D18" s="118">
        <v>35</v>
      </c>
      <c r="E18" s="118">
        <v>28</v>
      </c>
      <c r="F18" s="118">
        <v>51</v>
      </c>
      <c r="G18" s="118">
        <v>157</v>
      </c>
      <c r="H18" s="118" t="s">
        <v>96</v>
      </c>
      <c r="I18" s="118">
        <v>30</v>
      </c>
      <c r="J18" s="118">
        <v>90</v>
      </c>
      <c r="K18" s="66" t="s">
        <v>96</v>
      </c>
      <c r="L18" s="118">
        <v>130</v>
      </c>
      <c r="M18" s="21" t="s">
        <v>96</v>
      </c>
      <c r="N18" s="118">
        <v>142</v>
      </c>
      <c r="O18" s="118" t="s">
        <v>96</v>
      </c>
      <c r="P18" s="118">
        <v>5</v>
      </c>
      <c r="Q18" s="118">
        <v>6</v>
      </c>
      <c r="R18" s="118">
        <v>120</v>
      </c>
      <c r="S18" s="118" t="s">
        <v>96</v>
      </c>
      <c r="T18" s="134" t="s">
        <v>96</v>
      </c>
      <c r="U18" s="118">
        <v>340</v>
      </c>
      <c r="V18" s="118" t="s">
        <v>96</v>
      </c>
      <c r="W18" s="118">
        <v>232</v>
      </c>
      <c r="X18" s="118" t="s">
        <v>96</v>
      </c>
      <c r="Y18" s="21">
        <v>25</v>
      </c>
      <c r="Z18" s="21" t="s">
        <v>96</v>
      </c>
    </row>
    <row r="19" spans="1:26" x14ac:dyDescent="0.25">
      <c r="A19" s="9" t="s">
        <v>9</v>
      </c>
      <c r="B19" s="118">
        <v>30</v>
      </c>
      <c r="C19" s="118">
        <v>118</v>
      </c>
      <c r="D19" s="118">
        <v>170</v>
      </c>
      <c r="E19" s="118">
        <v>120</v>
      </c>
      <c r="F19" s="118">
        <v>58</v>
      </c>
      <c r="G19" s="118">
        <v>75</v>
      </c>
      <c r="H19" s="118">
        <v>140</v>
      </c>
      <c r="I19" s="118" t="s">
        <v>96</v>
      </c>
      <c r="J19" s="118">
        <v>175</v>
      </c>
      <c r="K19" s="66">
        <v>4</v>
      </c>
      <c r="L19" s="118" t="s">
        <v>96</v>
      </c>
      <c r="M19" s="21" t="s">
        <v>96</v>
      </c>
      <c r="N19" s="118" t="s">
        <v>96</v>
      </c>
      <c r="O19" s="118" t="s">
        <v>96</v>
      </c>
      <c r="P19" s="118">
        <v>65</v>
      </c>
      <c r="Q19" s="118">
        <v>25</v>
      </c>
      <c r="R19" s="118">
        <v>170</v>
      </c>
      <c r="S19" s="118" t="s">
        <v>96</v>
      </c>
      <c r="T19" s="134" t="s">
        <v>96</v>
      </c>
      <c r="U19" s="118" t="s">
        <v>96</v>
      </c>
      <c r="V19" s="118" t="s">
        <v>96</v>
      </c>
      <c r="W19" s="118" t="s">
        <v>96</v>
      </c>
      <c r="X19" s="118">
        <v>20</v>
      </c>
      <c r="Y19" s="21" t="s">
        <v>96</v>
      </c>
      <c r="Z19" s="21" t="s">
        <v>96</v>
      </c>
    </row>
    <row r="20" spans="1:26" x14ac:dyDescent="0.25">
      <c r="A20" s="9" t="s">
        <v>10</v>
      </c>
      <c r="B20" s="118">
        <v>20</v>
      </c>
      <c r="C20" s="118">
        <v>160</v>
      </c>
      <c r="D20" s="118">
        <v>448</v>
      </c>
      <c r="E20" s="118">
        <v>354</v>
      </c>
      <c r="F20" s="118">
        <v>275</v>
      </c>
      <c r="G20" s="118">
        <v>174</v>
      </c>
      <c r="H20" s="118">
        <v>305</v>
      </c>
      <c r="I20" s="118">
        <v>173</v>
      </c>
      <c r="J20" s="118">
        <v>230</v>
      </c>
      <c r="K20" s="66">
        <v>340</v>
      </c>
      <c r="L20" s="118" t="s">
        <v>96</v>
      </c>
      <c r="M20" s="21">
        <v>130</v>
      </c>
      <c r="N20" s="118">
        <v>320</v>
      </c>
      <c r="O20" s="118">
        <v>605</v>
      </c>
      <c r="P20" s="118">
        <v>25</v>
      </c>
      <c r="Q20" s="118">
        <v>120</v>
      </c>
      <c r="R20" s="118">
        <v>100</v>
      </c>
      <c r="S20" s="118">
        <v>826</v>
      </c>
      <c r="T20" s="134">
        <v>99</v>
      </c>
      <c r="U20" s="118">
        <v>242</v>
      </c>
      <c r="V20" s="118" t="s">
        <v>96</v>
      </c>
      <c r="W20" s="118" t="s">
        <v>96</v>
      </c>
      <c r="X20" s="118">
        <v>200</v>
      </c>
      <c r="Y20" s="21" t="s">
        <v>96</v>
      </c>
      <c r="Z20" s="21">
        <v>480</v>
      </c>
    </row>
    <row r="21" spans="1:26" x14ac:dyDescent="0.25">
      <c r="A21" s="9" t="s">
        <v>11</v>
      </c>
      <c r="B21" s="118">
        <v>40</v>
      </c>
      <c r="C21" s="118">
        <v>60</v>
      </c>
      <c r="D21" s="118" t="s">
        <v>96</v>
      </c>
      <c r="E21" s="118" t="s">
        <v>96</v>
      </c>
      <c r="F21" s="118" t="s">
        <v>96</v>
      </c>
      <c r="G21" s="118">
        <v>82</v>
      </c>
      <c r="H21" s="118" t="s">
        <v>96</v>
      </c>
      <c r="I21" s="118" t="s">
        <v>96</v>
      </c>
      <c r="J21" s="118" t="s">
        <v>96</v>
      </c>
      <c r="K21" s="66" t="s">
        <v>96</v>
      </c>
      <c r="L21" s="118" t="s">
        <v>96</v>
      </c>
      <c r="M21" s="21">
        <v>56</v>
      </c>
      <c r="N21" s="118">
        <v>336</v>
      </c>
      <c r="O21" s="118" t="s">
        <v>96</v>
      </c>
      <c r="P21" s="118" t="s">
        <v>96</v>
      </c>
      <c r="Q21" s="118" t="s">
        <v>96</v>
      </c>
      <c r="R21" s="118">
        <v>96</v>
      </c>
      <c r="S21" s="118">
        <v>30</v>
      </c>
      <c r="T21" s="134" t="s">
        <v>96</v>
      </c>
      <c r="U21" s="118" t="s">
        <v>96</v>
      </c>
      <c r="V21" s="118" t="s">
        <v>96</v>
      </c>
      <c r="W21" s="118" t="s">
        <v>96</v>
      </c>
      <c r="X21" s="118" t="s">
        <v>96</v>
      </c>
      <c r="Y21" s="21" t="s">
        <v>96</v>
      </c>
      <c r="Z21" s="21" t="s">
        <v>96</v>
      </c>
    </row>
    <row r="22" spans="1:26" x14ac:dyDescent="0.25">
      <c r="A22" s="9" t="s">
        <v>12</v>
      </c>
      <c r="B22" s="118" t="s">
        <v>96</v>
      </c>
      <c r="C22" s="118">
        <v>120</v>
      </c>
      <c r="D22" s="118">
        <v>40</v>
      </c>
      <c r="E22" s="118">
        <v>60</v>
      </c>
      <c r="F22" s="118">
        <v>110</v>
      </c>
      <c r="G22" s="118">
        <v>150</v>
      </c>
      <c r="H22" s="118">
        <v>117</v>
      </c>
      <c r="I22" s="118" t="s">
        <v>96</v>
      </c>
      <c r="J22" s="118">
        <v>120</v>
      </c>
      <c r="K22" s="66">
        <v>30</v>
      </c>
      <c r="L22" s="118">
        <v>500</v>
      </c>
      <c r="M22" s="21">
        <v>214</v>
      </c>
      <c r="N22" s="118">
        <v>105</v>
      </c>
      <c r="O22" s="118">
        <v>77</v>
      </c>
      <c r="P22" s="118" t="s">
        <v>96</v>
      </c>
      <c r="Q22" s="118" t="s">
        <v>96</v>
      </c>
      <c r="R22" s="118">
        <v>253</v>
      </c>
      <c r="S22" s="118" t="s">
        <v>96</v>
      </c>
      <c r="T22" s="134" t="s">
        <v>96</v>
      </c>
      <c r="U22" s="118">
        <v>540</v>
      </c>
      <c r="V22" s="118" t="s">
        <v>96</v>
      </c>
      <c r="W22" s="118" t="s">
        <v>96</v>
      </c>
      <c r="X22" s="118" t="s">
        <v>96</v>
      </c>
      <c r="Y22" s="21">
        <v>250</v>
      </c>
      <c r="Z22" s="21" t="s">
        <v>96</v>
      </c>
    </row>
    <row r="23" spans="1:26" x14ac:dyDescent="0.25">
      <c r="A23" s="9" t="s">
        <v>13</v>
      </c>
      <c r="B23" s="118">
        <v>100</v>
      </c>
      <c r="C23" s="118">
        <v>120</v>
      </c>
      <c r="D23" s="118" t="s">
        <v>96</v>
      </c>
      <c r="E23" s="118" t="s">
        <v>96</v>
      </c>
      <c r="F23" s="118" t="s">
        <v>96</v>
      </c>
      <c r="G23" s="118" t="s">
        <v>96</v>
      </c>
      <c r="H23" s="118">
        <v>106</v>
      </c>
      <c r="I23" s="118">
        <v>120</v>
      </c>
      <c r="J23" s="118">
        <v>92</v>
      </c>
      <c r="K23" s="66" t="s">
        <v>96</v>
      </c>
      <c r="L23" s="118" t="s">
        <v>96</v>
      </c>
      <c r="M23" s="21" t="s">
        <v>96</v>
      </c>
      <c r="N23" s="118">
        <v>165</v>
      </c>
      <c r="O23" s="118" t="s">
        <v>96</v>
      </c>
      <c r="P23" s="118" t="s">
        <v>96</v>
      </c>
      <c r="Q23" s="118">
        <v>145</v>
      </c>
      <c r="R23" s="118" t="s">
        <v>96</v>
      </c>
      <c r="S23" s="118" t="s">
        <v>96</v>
      </c>
      <c r="T23" s="134">
        <v>130</v>
      </c>
      <c r="U23" s="118" t="s">
        <v>96</v>
      </c>
      <c r="V23" s="118" t="s">
        <v>96</v>
      </c>
      <c r="W23" s="118" t="s">
        <v>96</v>
      </c>
      <c r="X23" s="118" t="s">
        <v>96</v>
      </c>
      <c r="Y23" s="21" t="s">
        <v>96</v>
      </c>
      <c r="Z23" s="21" t="s">
        <v>96</v>
      </c>
    </row>
    <row r="24" spans="1:26" x14ac:dyDescent="0.25">
      <c r="A24" s="9" t="s">
        <v>14</v>
      </c>
      <c r="B24" s="118">
        <v>80</v>
      </c>
      <c r="C24" s="118" t="s">
        <v>96</v>
      </c>
      <c r="D24" s="118">
        <v>6</v>
      </c>
      <c r="E24" s="118">
        <v>112</v>
      </c>
      <c r="F24" s="118">
        <v>16</v>
      </c>
      <c r="G24" s="118">
        <v>54</v>
      </c>
      <c r="H24" s="118">
        <v>264</v>
      </c>
      <c r="I24" s="118">
        <v>154</v>
      </c>
      <c r="J24" s="118">
        <v>178</v>
      </c>
      <c r="K24" s="66">
        <v>75</v>
      </c>
      <c r="L24" s="118">
        <v>138</v>
      </c>
      <c r="M24" s="21">
        <v>181</v>
      </c>
      <c r="N24" s="118">
        <v>205</v>
      </c>
      <c r="O24" s="118" t="s">
        <v>96</v>
      </c>
      <c r="P24" s="118" t="s">
        <v>96</v>
      </c>
      <c r="Q24" s="118" t="s">
        <v>96</v>
      </c>
      <c r="R24" s="118" t="s">
        <v>96</v>
      </c>
      <c r="S24" s="118">
        <v>324</v>
      </c>
      <c r="T24" s="134" t="s">
        <v>96</v>
      </c>
      <c r="U24" s="118" t="s">
        <v>96</v>
      </c>
      <c r="V24" s="118" t="s">
        <v>96</v>
      </c>
      <c r="W24" s="118" t="s">
        <v>96</v>
      </c>
      <c r="X24" s="118">
        <v>85</v>
      </c>
      <c r="Y24" s="21" t="s">
        <v>96</v>
      </c>
      <c r="Z24" s="21" t="s">
        <v>96</v>
      </c>
    </row>
    <row r="25" spans="1:26" x14ac:dyDescent="0.25">
      <c r="A25" s="9" t="s">
        <v>15</v>
      </c>
      <c r="B25" s="118">
        <v>103</v>
      </c>
      <c r="C25" s="118">
        <v>112</v>
      </c>
      <c r="D25" s="118">
        <v>25</v>
      </c>
      <c r="E25" s="118">
        <v>120</v>
      </c>
      <c r="F25" s="118" t="s">
        <v>96</v>
      </c>
      <c r="G25" s="118">
        <v>38</v>
      </c>
      <c r="H25" s="118" t="s">
        <v>96</v>
      </c>
      <c r="I25" s="118">
        <v>50</v>
      </c>
      <c r="J25" s="118">
        <v>31</v>
      </c>
      <c r="K25" s="66">
        <v>23</v>
      </c>
      <c r="L25" s="118">
        <v>214</v>
      </c>
      <c r="M25" s="21">
        <v>121</v>
      </c>
      <c r="N25" s="118" t="s">
        <v>96</v>
      </c>
      <c r="O25" s="118" t="s">
        <v>96</v>
      </c>
      <c r="P25" s="118" t="s">
        <v>96</v>
      </c>
      <c r="Q25" s="118">
        <v>62</v>
      </c>
      <c r="R25" s="118" t="s">
        <v>96</v>
      </c>
      <c r="S25" s="118" t="s">
        <v>96</v>
      </c>
      <c r="T25" s="134">
        <v>24</v>
      </c>
      <c r="U25" s="118" t="s">
        <v>96</v>
      </c>
      <c r="V25" s="118" t="s">
        <v>96</v>
      </c>
      <c r="W25" s="118" t="s">
        <v>96</v>
      </c>
      <c r="X25" s="118" t="s">
        <v>96</v>
      </c>
      <c r="Y25" s="21" t="s">
        <v>96</v>
      </c>
      <c r="Z25" s="21" t="s">
        <v>96</v>
      </c>
    </row>
    <row r="26" spans="1:26" x14ac:dyDescent="0.25">
      <c r="A26" s="9" t="s">
        <v>16</v>
      </c>
      <c r="B26" s="118">
        <v>246</v>
      </c>
      <c r="C26" s="118">
        <v>102</v>
      </c>
      <c r="D26" s="118" t="s">
        <v>96</v>
      </c>
      <c r="E26" s="118">
        <v>20</v>
      </c>
      <c r="F26" s="118">
        <v>123</v>
      </c>
      <c r="G26" s="118" t="s">
        <v>96</v>
      </c>
      <c r="H26" s="118">
        <v>55</v>
      </c>
      <c r="I26" s="118">
        <v>60</v>
      </c>
      <c r="J26" s="118" t="s">
        <v>96</v>
      </c>
      <c r="K26" s="66" t="s">
        <v>96</v>
      </c>
      <c r="L26" s="118">
        <v>30</v>
      </c>
      <c r="M26" s="21" t="s">
        <v>96</v>
      </c>
      <c r="N26" s="118" t="s">
        <v>96</v>
      </c>
      <c r="O26" s="118" t="s">
        <v>96</v>
      </c>
      <c r="P26" s="118" t="s">
        <v>96</v>
      </c>
      <c r="Q26" s="118" t="s">
        <v>96</v>
      </c>
      <c r="R26" s="118" t="s">
        <v>96</v>
      </c>
      <c r="S26" s="118" t="s">
        <v>96</v>
      </c>
      <c r="T26" s="134" t="s">
        <v>96</v>
      </c>
      <c r="U26" s="118">
        <v>142</v>
      </c>
      <c r="V26" s="118" t="s">
        <v>96</v>
      </c>
      <c r="W26" s="118" t="s">
        <v>96</v>
      </c>
      <c r="X26" s="118">
        <v>140</v>
      </c>
      <c r="Y26" s="21">
        <v>340</v>
      </c>
      <c r="Z26" s="21" t="s">
        <v>96</v>
      </c>
    </row>
    <row r="27" spans="1:26" x14ac:dyDescent="0.25">
      <c r="A27" s="9" t="s">
        <v>17</v>
      </c>
      <c r="B27" s="118">
        <v>130</v>
      </c>
      <c r="C27" s="118">
        <v>42</v>
      </c>
      <c r="D27" s="118">
        <v>178</v>
      </c>
      <c r="E27" s="118" t="s">
        <v>96</v>
      </c>
      <c r="F27" s="118">
        <v>8</v>
      </c>
      <c r="G27" s="118">
        <v>198</v>
      </c>
      <c r="H27" s="118" t="s">
        <v>96</v>
      </c>
      <c r="I27" s="118" t="s">
        <v>96</v>
      </c>
      <c r="J27" s="118" t="s">
        <v>96</v>
      </c>
      <c r="K27" s="66" t="s">
        <v>96</v>
      </c>
      <c r="L27" s="118" t="s">
        <v>96</v>
      </c>
      <c r="M27" s="21">
        <v>180</v>
      </c>
      <c r="N27" s="118">
        <v>125</v>
      </c>
      <c r="O27" s="118">
        <v>28</v>
      </c>
      <c r="P27" s="118">
        <v>30</v>
      </c>
      <c r="Q27" s="118" t="s">
        <v>96</v>
      </c>
      <c r="R27" s="118" t="s">
        <v>96</v>
      </c>
      <c r="S27" s="118" t="s">
        <v>96</v>
      </c>
      <c r="T27" s="134" t="s">
        <v>96</v>
      </c>
      <c r="U27" s="118" t="s">
        <v>96</v>
      </c>
      <c r="V27" s="118" t="s">
        <v>96</v>
      </c>
      <c r="W27" s="118">
        <v>15</v>
      </c>
      <c r="X27" s="118" t="s">
        <v>96</v>
      </c>
      <c r="Y27" s="21">
        <v>266</v>
      </c>
      <c r="Z27" s="21" t="s">
        <v>96</v>
      </c>
    </row>
    <row r="28" spans="1:26" x14ac:dyDescent="0.25">
      <c r="A28" s="9" t="s">
        <v>18</v>
      </c>
      <c r="B28" s="118" t="s">
        <v>96</v>
      </c>
      <c r="C28" s="118">
        <v>808</v>
      </c>
      <c r="D28" s="118">
        <v>360</v>
      </c>
      <c r="E28" s="118">
        <v>210</v>
      </c>
      <c r="F28" s="118">
        <v>540</v>
      </c>
      <c r="G28" s="118">
        <v>618</v>
      </c>
      <c r="H28" s="118">
        <v>1222</v>
      </c>
      <c r="I28" s="118">
        <v>240</v>
      </c>
      <c r="J28" s="118">
        <v>360</v>
      </c>
      <c r="K28" s="66">
        <v>176</v>
      </c>
      <c r="L28" s="118">
        <v>158</v>
      </c>
      <c r="M28" s="21">
        <v>472</v>
      </c>
      <c r="N28" s="118">
        <v>963</v>
      </c>
      <c r="O28" s="118">
        <v>1320</v>
      </c>
      <c r="P28" s="118">
        <v>91</v>
      </c>
      <c r="Q28" s="118">
        <v>441</v>
      </c>
      <c r="R28" s="118">
        <v>160</v>
      </c>
      <c r="S28" s="118">
        <v>650</v>
      </c>
      <c r="T28" s="134">
        <v>460</v>
      </c>
      <c r="U28" s="118">
        <v>796</v>
      </c>
      <c r="V28" s="118">
        <v>612</v>
      </c>
      <c r="W28" s="118">
        <v>283</v>
      </c>
      <c r="X28" s="118">
        <v>1029</v>
      </c>
      <c r="Y28" s="21">
        <v>1660</v>
      </c>
      <c r="Z28" s="21">
        <v>301</v>
      </c>
    </row>
    <row r="29" spans="1:26" ht="18" x14ac:dyDescent="0.25">
      <c r="A29" s="8" t="s">
        <v>129</v>
      </c>
      <c r="B29" s="120">
        <v>180</v>
      </c>
      <c r="C29" s="120">
        <v>581</v>
      </c>
      <c r="D29" s="120">
        <v>520</v>
      </c>
      <c r="E29" s="120">
        <v>534</v>
      </c>
      <c r="F29" s="120">
        <v>503</v>
      </c>
      <c r="G29" s="120">
        <v>507</v>
      </c>
      <c r="H29" s="120">
        <v>445</v>
      </c>
      <c r="I29" s="120">
        <v>317</v>
      </c>
      <c r="J29" s="120">
        <v>1014</v>
      </c>
      <c r="K29" s="65">
        <v>1161</v>
      </c>
      <c r="L29" s="120">
        <v>898</v>
      </c>
      <c r="M29" s="22">
        <v>970</v>
      </c>
      <c r="N29" s="120">
        <v>436</v>
      </c>
      <c r="O29" s="120">
        <v>405</v>
      </c>
      <c r="P29" s="120">
        <v>53</v>
      </c>
      <c r="Q29" s="120">
        <v>675</v>
      </c>
      <c r="R29" s="120">
        <v>866</v>
      </c>
      <c r="S29" s="120" t="s">
        <v>96</v>
      </c>
      <c r="T29" s="133">
        <v>515</v>
      </c>
      <c r="U29" s="120">
        <v>357</v>
      </c>
      <c r="V29" s="120">
        <v>196</v>
      </c>
      <c r="W29" s="120">
        <v>469</v>
      </c>
      <c r="X29" s="120">
        <v>518</v>
      </c>
      <c r="Y29" s="22">
        <v>507</v>
      </c>
      <c r="Z29" s="22">
        <v>880</v>
      </c>
    </row>
    <row r="30" spans="1:26" x14ac:dyDescent="0.25">
      <c r="A30" s="9" t="s">
        <v>19</v>
      </c>
      <c r="B30" s="118" t="s">
        <v>96</v>
      </c>
      <c r="C30" s="118">
        <v>65</v>
      </c>
      <c r="D30" s="118">
        <v>12</v>
      </c>
      <c r="E30" s="118">
        <v>20</v>
      </c>
      <c r="F30" s="118" t="s">
        <v>96</v>
      </c>
      <c r="G30" s="118">
        <v>100</v>
      </c>
      <c r="H30" s="118">
        <v>170</v>
      </c>
      <c r="I30" s="118" t="s">
        <v>96</v>
      </c>
      <c r="J30" s="118" t="s">
        <v>96</v>
      </c>
      <c r="K30" s="66">
        <v>81</v>
      </c>
      <c r="L30" s="118" t="s">
        <v>96</v>
      </c>
      <c r="M30" s="21" t="s">
        <v>96</v>
      </c>
      <c r="N30" s="118">
        <v>47</v>
      </c>
      <c r="O30" s="118" t="s">
        <v>96</v>
      </c>
      <c r="P30" s="118" t="s">
        <v>96</v>
      </c>
      <c r="Q30" s="118" t="s">
        <v>96</v>
      </c>
      <c r="R30" s="118">
        <v>200</v>
      </c>
      <c r="S30" s="118" t="s">
        <v>96</v>
      </c>
      <c r="T30" s="134">
        <v>130</v>
      </c>
      <c r="U30" s="118" t="s">
        <v>96</v>
      </c>
      <c r="V30" s="118" t="s">
        <v>96</v>
      </c>
      <c r="W30" s="118" t="s">
        <v>96</v>
      </c>
      <c r="X30" s="118" t="s">
        <v>96</v>
      </c>
      <c r="Y30" s="21" t="s">
        <v>96</v>
      </c>
      <c r="Z30" s="21" t="s">
        <v>96</v>
      </c>
    </row>
    <row r="31" spans="1:26" x14ac:dyDescent="0.25">
      <c r="A31" s="9" t="s">
        <v>20</v>
      </c>
      <c r="B31" s="118" t="s">
        <v>96</v>
      </c>
      <c r="C31" s="118">
        <v>105</v>
      </c>
      <c r="D31" s="118">
        <v>50</v>
      </c>
      <c r="E31" s="118" t="s">
        <v>96</v>
      </c>
      <c r="F31" s="118">
        <v>52</v>
      </c>
      <c r="G31" s="118">
        <v>25</v>
      </c>
      <c r="H31" s="118" t="s">
        <v>96</v>
      </c>
      <c r="I31" s="118" t="s">
        <v>96</v>
      </c>
      <c r="J31" s="118">
        <v>50</v>
      </c>
      <c r="K31" s="66">
        <v>10</v>
      </c>
      <c r="L31" s="118" t="s">
        <v>96</v>
      </c>
      <c r="M31" s="21" t="s">
        <v>96</v>
      </c>
      <c r="N31" s="118" t="s">
        <v>96</v>
      </c>
      <c r="O31" s="118" t="s">
        <v>96</v>
      </c>
      <c r="P31" s="118" t="s">
        <v>96</v>
      </c>
      <c r="Q31" s="118" t="s">
        <v>96</v>
      </c>
      <c r="R31" s="118" t="s">
        <v>96</v>
      </c>
      <c r="S31" s="118" t="s">
        <v>96</v>
      </c>
      <c r="T31" s="134" t="s">
        <v>96</v>
      </c>
      <c r="U31" s="118" t="s">
        <v>96</v>
      </c>
      <c r="V31" s="118">
        <v>63</v>
      </c>
      <c r="W31" s="118" t="s">
        <v>96</v>
      </c>
      <c r="X31" s="118" t="s">
        <v>96</v>
      </c>
      <c r="Y31" s="21">
        <v>63</v>
      </c>
      <c r="Z31" s="21" t="s">
        <v>96</v>
      </c>
    </row>
    <row r="32" spans="1:26" x14ac:dyDescent="0.25">
      <c r="A32" s="9" t="s">
        <v>21</v>
      </c>
      <c r="B32" s="118">
        <v>70</v>
      </c>
      <c r="C32" s="118">
        <v>4</v>
      </c>
      <c r="D32" s="118">
        <v>30</v>
      </c>
      <c r="E32" s="118">
        <v>10</v>
      </c>
      <c r="F32" s="118">
        <v>77</v>
      </c>
      <c r="G32" s="118">
        <v>268</v>
      </c>
      <c r="H32" s="118">
        <v>79</v>
      </c>
      <c r="I32" s="118" t="s">
        <v>96</v>
      </c>
      <c r="J32" s="118">
        <v>50</v>
      </c>
      <c r="K32" s="66">
        <v>140</v>
      </c>
      <c r="L32" s="118" t="s">
        <v>96</v>
      </c>
      <c r="M32" s="21">
        <v>480</v>
      </c>
      <c r="N32" s="118" t="s">
        <v>96</v>
      </c>
      <c r="O32" s="118">
        <v>360</v>
      </c>
      <c r="P32" s="118">
        <v>53</v>
      </c>
      <c r="Q32" s="118" t="s">
        <v>96</v>
      </c>
      <c r="R32" s="118" t="s">
        <v>96</v>
      </c>
      <c r="S32" s="118" t="s">
        <v>96</v>
      </c>
      <c r="T32" s="134">
        <v>130</v>
      </c>
      <c r="U32" s="118">
        <v>15</v>
      </c>
      <c r="V32" s="118" t="s">
        <v>96</v>
      </c>
      <c r="W32" s="118">
        <v>45</v>
      </c>
      <c r="X32" s="118">
        <v>75</v>
      </c>
      <c r="Y32" s="21" t="s">
        <v>96</v>
      </c>
      <c r="Z32" s="21">
        <v>40</v>
      </c>
    </row>
    <row r="33" spans="1:26" x14ac:dyDescent="0.25">
      <c r="A33" s="4" t="s">
        <v>63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21"/>
      <c r="N33" s="118"/>
      <c r="O33" s="118"/>
      <c r="P33" s="118"/>
      <c r="Q33" s="118"/>
      <c r="R33" s="118"/>
      <c r="S33" s="118"/>
      <c r="T33" s="134"/>
      <c r="U33" s="118"/>
      <c r="V33" s="118"/>
      <c r="W33" s="118"/>
      <c r="X33" s="118"/>
      <c r="Y33" s="21"/>
      <c r="Z33" s="21"/>
    </row>
    <row r="34" spans="1:26" ht="19.5" x14ac:dyDescent="0.25">
      <c r="A34" s="14" t="s">
        <v>23</v>
      </c>
      <c r="B34" s="118" t="s">
        <v>96</v>
      </c>
      <c r="C34" s="118" t="s">
        <v>96</v>
      </c>
      <c r="D34" s="118">
        <v>30</v>
      </c>
      <c r="E34" s="118">
        <v>10</v>
      </c>
      <c r="F34" s="118">
        <v>52</v>
      </c>
      <c r="G34" s="118" t="s">
        <v>96</v>
      </c>
      <c r="H34" s="118" t="s">
        <v>96</v>
      </c>
      <c r="I34" s="118" t="s">
        <v>96</v>
      </c>
      <c r="J34" s="118">
        <v>50</v>
      </c>
      <c r="K34" s="66">
        <v>10</v>
      </c>
      <c r="L34" s="118" t="s">
        <v>96</v>
      </c>
      <c r="M34" s="21" t="s">
        <v>96</v>
      </c>
      <c r="N34" s="118" t="s">
        <v>96</v>
      </c>
      <c r="O34" s="118" t="s">
        <v>96</v>
      </c>
      <c r="P34" s="118">
        <v>10</v>
      </c>
      <c r="Q34" s="118" t="s">
        <v>96</v>
      </c>
      <c r="R34" s="118" t="s">
        <v>96</v>
      </c>
      <c r="S34" s="118" t="s">
        <v>96</v>
      </c>
      <c r="T34" s="134" t="s">
        <v>96</v>
      </c>
      <c r="U34" s="118" t="s">
        <v>96</v>
      </c>
      <c r="V34" s="118" t="s">
        <v>96</v>
      </c>
      <c r="W34" s="118" t="s">
        <v>96</v>
      </c>
      <c r="X34" s="118" t="s">
        <v>96</v>
      </c>
      <c r="Y34" s="21" t="s">
        <v>96</v>
      </c>
      <c r="Z34" s="21" t="s">
        <v>96</v>
      </c>
    </row>
    <row r="35" spans="1:26" ht="19.5" x14ac:dyDescent="0.25">
      <c r="A35" s="14" t="s">
        <v>114</v>
      </c>
      <c r="B35" s="118">
        <v>70</v>
      </c>
      <c r="C35" s="118">
        <v>4</v>
      </c>
      <c r="D35" s="118" t="s">
        <v>96</v>
      </c>
      <c r="E35" s="118" t="s">
        <v>96</v>
      </c>
      <c r="F35" s="118">
        <v>25</v>
      </c>
      <c r="G35" s="118">
        <v>268</v>
      </c>
      <c r="H35" s="118">
        <v>79</v>
      </c>
      <c r="I35" s="118" t="s">
        <v>96</v>
      </c>
      <c r="J35" s="118" t="s">
        <v>96</v>
      </c>
      <c r="K35" s="118">
        <v>130</v>
      </c>
      <c r="L35" s="118" t="s">
        <v>96</v>
      </c>
      <c r="M35" s="21">
        <v>480</v>
      </c>
      <c r="N35" s="118" t="s">
        <v>96</v>
      </c>
      <c r="O35" s="118">
        <v>360</v>
      </c>
      <c r="P35" s="118">
        <v>43</v>
      </c>
      <c r="Q35" s="118" t="s">
        <v>96</v>
      </c>
      <c r="R35" s="118" t="s">
        <v>96</v>
      </c>
      <c r="S35" s="118" t="s">
        <v>96</v>
      </c>
      <c r="T35" s="134">
        <v>130</v>
      </c>
      <c r="U35" s="118">
        <v>15</v>
      </c>
      <c r="V35" s="118" t="s">
        <v>96</v>
      </c>
      <c r="W35" s="118">
        <v>45</v>
      </c>
      <c r="X35" s="118">
        <v>75</v>
      </c>
      <c r="Y35" s="21" t="s">
        <v>96</v>
      </c>
      <c r="Z35" s="21">
        <v>40</v>
      </c>
    </row>
    <row r="36" spans="1:26" x14ac:dyDescent="0.25">
      <c r="A36" s="9" t="s">
        <v>24</v>
      </c>
      <c r="B36" s="118">
        <v>50</v>
      </c>
      <c r="C36" s="118">
        <v>227</v>
      </c>
      <c r="D36" s="118">
        <v>112</v>
      </c>
      <c r="E36" s="118">
        <v>50</v>
      </c>
      <c r="F36" s="118">
        <v>45</v>
      </c>
      <c r="G36" s="118" t="s">
        <v>96</v>
      </c>
      <c r="H36" s="118">
        <v>10</v>
      </c>
      <c r="I36" s="118">
        <v>35</v>
      </c>
      <c r="J36" s="118">
        <v>134</v>
      </c>
      <c r="K36" s="66" t="s">
        <v>96</v>
      </c>
      <c r="L36" s="118" t="s">
        <v>96</v>
      </c>
      <c r="M36" s="21" t="s">
        <v>96</v>
      </c>
      <c r="N36" s="118" t="s">
        <v>96</v>
      </c>
      <c r="O36" s="118">
        <v>10</v>
      </c>
      <c r="P36" s="118" t="s">
        <v>96</v>
      </c>
      <c r="Q36" s="118" t="s">
        <v>96</v>
      </c>
      <c r="R36" s="118" t="s">
        <v>96</v>
      </c>
      <c r="S36" s="118" t="s">
        <v>96</v>
      </c>
      <c r="T36" s="134">
        <v>15</v>
      </c>
      <c r="U36" s="118" t="s">
        <v>96</v>
      </c>
      <c r="V36" s="118">
        <v>64</v>
      </c>
      <c r="W36" s="118" t="s">
        <v>96</v>
      </c>
      <c r="X36" s="118" t="s">
        <v>96</v>
      </c>
      <c r="Y36" s="21" t="s">
        <v>96</v>
      </c>
      <c r="Z36" s="21" t="s">
        <v>96</v>
      </c>
    </row>
    <row r="37" spans="1:26" x14ac:dyDescent="0.25">
      <c r="A37" s="9" t="s">
        <v>25</v>
      </c>
      <c r="B37" s="118">
        <v>60</v>
      </c>
      <c r="C37" s="118" t="s">
        <v>96</v>
      </c>
      <c r="D37" s="118" t="s">
        <v>96</v>
      </c>
      <c r="E37" s="118">
        <v>57</v>
      </c>
      <c r="F37" s="118">
        <v>52</v>
      </c>
      <c r="G37" s="118">
        <v>54</v>
      </c>
      <c r="H37" s="118" t="s">
        <v>96</v>
      </c>
      <c r="I37" s="118" t="s">
        <v>96</v>
      </c>
      <c r="J37" s="118">
        <v>600</v>
      </c>
      <c r="K37" s="66">
        <v>150</v>
      </c>
      <c r="L37" s="118" t="s">
        <v>96</v>
      </c>
      <c r="M37" s="21">
        <v>100</v>
      </c>
      <c r="N37" s="118">
        <v>150</v>
      </c>
      <c r="O37" s="118" t="s">
        <v>96</v>
      </c>
      <c r="P37" s="118" t="s">
        <v>96</v>
      </c>
      <c r="Q37" s="118" t="s">
        <v>96</v>
      </c>
      <c r="R37" s="118" t="s">
        <v>96</v>
      </c>
      <c r="S37" s="118" t="s">
        <v>96</v>
      </c>
      <c r="T37" s="134" t="s">
        <v>96</v>
      </c>
      <c r="U37" s="118" t="s">
        <v>96</v>
      </c>
      <c r="V37" s="118" t="s">
        <v>96</v>
      </c>
      <c r="W37" s="118" t="s">
        <v>96</v>
      </c>
      <c r="X37" s="118" t="s">
        <v>96</v>
      </c>
      <c r="Y37" s="21">
        <v>99</v>
      </c>
      <c r="Z37" s="21" t="s">
        <v>96</v>
      </c>
    </row>
    <row r="38" spans="1:26" x14ac:dyDescent="0.25">
      <c r="A38" s="9" t="s">
        <v>26</v>
      </c>
      <c r="B38" s="118" t="s">
        <v>96</v>
      </c>
      <c r="C38" s="118">
        <v>130</v>
      </c>
      <c r="D38" s="118">
        <v>179</v>
      </c>
      <c r="E38" s="118" t="s">
        <v>96</v>
      </c>
      <c r="F38" s="118" t="s">
        <v>96</v>
      </c>
      <c r="G38" s="118" t="s">
        <v>96</v>
      </c>
      <c r="H38" s="118" t="s">
        <v>96</v>
      </c>
      <c r="I38" s="118">
        <v>165</v>
      </c>
      <c r="J38" s="118" t="s">
        <v>96</v>
      </c>
      <c r="K38" s="66">
        <v>120</v>
      </c>
      <c r="L38" s="118" t="s">
        <v>96</v>
      </c>
      <c r="M38" s="21" t="s">
        <v>96</v>
      </c>
      <c r="N38" s="118">
        <v>110</v>
      </c>
      <c r="O38" s="118" t="s">
        <v>96</v>
      </c>
      <c r="P38" s="118" t="s">
        <v>96</v>
      </c>
      <c r="Q38" s="118" t="s">
        <v>96</v>
      </c>
      <c r="R38" s="118" t="s">
        <v>96</v>
      </c>
      <c r="S38" s="118" t="s">
        <v>96</v>
      </c>
      <c r="T38" s="134">
        <v>130</v>
      </c>
      <c r="U38" s="118" t="s">
        <v>96</v>
      </c>
      <c r="V38" s="118" t="s">
        <v>96</v>
      </c>
      <c r="W38" s="118" t="s">
        <v>96</v>
      </c>
      <c r="X38" s="118" t="s">
        <v>96</v>
      </c>
      <c r="Y38" s="21">
        <v>345</v>
      </c>
      <c r="Z38" s="21" t="s">
        <v>96</v>
      </c>
    </row>
    <row r="39" spans="1:26" x14ac:dyDescent="0.25">
      <c r="A39" s="9" t="s">
        <v>27</v>
      </c>
      <c r="B39" s="118" t="s">
        <v>96</v>
      </c>
      <c r="C39" s="118">
        <v>50</v>
      </c>
      <c r="D39" s="118">
        <v>137</v>
      </c>
      <c r="E39" s="118">
        <v>30</v>
      </c>
      <c r="F39" s="118">
        <v>60</v>
      </c>
      <c r="G39" s="118">
        <v>40</v>
      </c>
      <c r="H39" s="118">
        <v>42</v>
      </c>
      <c r="I39" s="118">
        <v>22</v>
      </c>
      <c r="J39" s="118" t="s">
        <v>96</v>
      </c>
      <c r="K39" s="66">
        <v>40</v>
      </c>
      <c r="L39" s="118">
        <v>55</v>
      </c>
      <c r="M39" s="21" t="s">
        <v>96</v>
      </c>
      <c r="N39" s="118">
        <v>30</v>
      </c>
      <c r="O39" s="118" t="s">
        <v>96</v>
      </c>
      <c r="P39" s="118" t="s">
        <v>96</v>
      </c>
      <c r="Q39" s="118" t="s">
        <v>96</v>
      </c>
      <c r="R39" s="118" t="s">
        <v>96</v>
      </c>
      <c r="S39" s="118" t="s">
        <v>96</v>
      </c>
      <c r="T39" s="134" t="s">
        <v>96</v>
      </c>
      <c r="U39" s="118" t="s">
        <v>96</v>
      </c>
      <c r="V39" s="118" t="s">
        <v>96</v>
      </c>
      <c r="W39" s="118" t="s">
        <v>96</v>
      </c>
      <c r="X39" s="118" t="s">
        <v>96</v>
      </c>
      <c r="Y39" s="21" t="s">
        <v>96</v>
      </c>
      <c r="Z39" s="21" t="s">
        <v>96</v>
      </c>
    </row>
    <row r="40" spans="1:26" x14ac:dyDescent="0.25">
      <c r="A40" s="9" t="s">
        <v>28</v>
      </c>
      <c r="B40" s="118" t="s">
        <v>96</v>
      </c>
      <c r="C40" s="118" t="s">
        <v>96</v>
      </c>
      <c r="D40" s="118" t="s">
        <v>96</v>
      </c>
      <c r="E40" s="118" t="s">
        <v>96</v>
      </c>
      <c r="F40" s="118" t="s">
        <v>96</v>
      </c>
      <c r="G40" s="118">
        <v>20</v>
      </c>
      <c r="H40" s="118" t="s">
        <v>96</v>
      </c>
      <c r="I40" s="118">
        <v>26</v>
      </c>
      <c r="J40" s="118" t="s">
        <v>96</v>
      </c>
      <c r="K40" s="66">
        <v>70</v>
      </c>
      <c r="L40" s="118">
        <v>100</v>
      </c>
      <c r="M40" s="21" t="s">
        <v>96</v>
      </c>
      <c r="N40" s="118">
        <v>99</v>
      </c>
      <c r="O40" s="118" t="s">
        <v>96</v>
      </c>
      <c r="P40" s="118" t="s">
        <v>96</v>
      </c>
      <c r="Q40" s="118">
        <v>75</v>
      </c>
      <c r="R40" s="118" t="s">
        <v>96</v>
      </c>
      <c r="S40" s="118" t="s">
        <v>96</v>
      </c>
      <c r="T40" s="134" t="s">
        <v>96</v>
      </c>
      <c r="U40" s="118" t="s">
        <v>96</v>
      </c>
      <c r="V40" s="118" t="s">
        <v>96</v>
      </c>
      <c r="W40" s="118" t="s">
        <v>96</v>
      </c>
      <c r="X40" s="118" t="s">
        <v>96</v>
      </c>
      <c r="Y40" s="21" t="s">
        <v>96</v>
      </c>
      <c r="Z40" s="21" t="s">
        <v>96</v>
      </c>
    </row>
    <row r="41" spans="1:26" x14ac:dyDescent="0.25">
      <c r="A41" s="9" t="s">
        <v>29</v>
      </c>
      <c r="B41" s="118" t="s">
        <v>96</v>
      </c>
      <c r="C41" s="118" t="s">
        <v>96</v>
      </c>
      <c r="D41" s="118" t="s">
        <v>96</v>
      </c>
      <c r="E41" s="118">
        <v>287</v>
      </c>
      <c r="F41" s="118">
        <v>129</v>
      </c>
      <c r="G41" s="118" t="s">
        <v>96</v>
      </c>
      <c r="H41" s="118">
        <v>144</v>
      </c>
      <c r="I41" s="118">
        <v>48</v>
      </c>
      <c r="J41" s="118">
        <v>30</v>
      </c>
      <c r="K41" s="66" t="s">
        <v>96</v>
      </c>
      <c r="L41" s="118" t="s">
        <v>96</v>
      </c>
      <c r="M41" s="21">
        <v>10</v>
      </c>
      <c r="N41" s="118" t="s">
        <v>96</v>
      </c>
      <c r="O41" s="118">
        <v>35</v>
      </c>
      <c r="P41" s="118" t="s">
        <v>96</v>
      </c>
      <c r="Q41" s="118" t="s">
        <v>96</v>
      </c>
      <c r="R41" s="118">
        <v>92</v>
      </c>
      <c r="S41" s="118" t="s">
        <v>96</v>
      </c>
      <c r="T41" s="134">
        <v>110</v>
      </c>
      <c r="U41" s="118" t="s">
        <v>96</v>
      </c>
      <c r="V41" s="118" t="s">
        <v>96</v>
      </c>
      <c r="W41" s="118" t="s">
        <v>96</v>
      </c>
      <c r="X41" s="118" t="s">
        <v>96</v>
      </c>
      <c r="Y41" s="21" t="s">
        <v>96</v>
      </c>
      <c r="Z41" s="21">
        <v>3</v>
      </c>
    </row>
    <row r="42" spans="1:26" x14ac:dyDescent="0.25">
      <c r="A42" s="9" t="s">
        <v>30</v>
      </c>
      <c r="B42" s="118" t="s">
        <v>96</v>
      </c>
      <c r="C42" s="118" t="s">
        <v>96</v>
      </c>
      <c r="D42" s="118" t="s">
        <v>96</v>
      </c>
      <c r="E42" s="118">
        <v>80</v>
      </c>
      <c r="F42" s="118">
        <v>88</v>
      </c>
      <c r="G42" s="118" t="s">
        <v>96</v>
      </c>
      <c r="H42" s="118" t="s">
        <v>96</v>
      </c>
      <c r="I42" s="118">
        <v>21</v>
      </c>
      <c r="J42" s="118">
        <v>150</v>
      </c>
      <c r="K42" s="66">
        <v>550</v>
      </c>
      <c r="L42" s="118">
        <v>743</v>
      </c>
      <c r="M42" s="21">
        <v>380</v>
      </c>
      <c r="N42" s="118" t="s">
        <v>96</v>
      </c>
      <c r="O42" s="118" t="s">
        <v>96</v>
      </c>
      <c r="P42" s="118" t="s">
        <v>96</v>
      </c>
      <c r="Q42" s="118">
        <v>600</v>
      </c>
      <c r="R42" s="118">
        <v>574</v>
      </c>
      <c r="S42" s="118" t="s">
        <v>96</v>
      </c>
      <c r="T42" s="134" t="s">
        <v>96</v>
      </c>
      <c r="U42" s="118">
        <v>342</v>
      </c>
      <c r="V42" s="118">
        <v>69</v>
      </c>
      <c r="W42" s="118">
        <v>424</v>
      </c>
      <c r="X42" s="118">
        <v>443</v>
      </c>
      <c r="Y42" s="21" t="s">
        <v>96</v>
      </c>
      <c r="Z42" s="21">
        <v>837</v>
      </c>
    </row>
    <row r="43" spans="1:26" ht="18" x14ac:dyDescent="0.25">
      <c r="A43" s="8" t="s">
        <v>220</v>
      </c>
      <c r="B43" s="120">
        <v>456</v>
      </c>
      <c r="C43" s="120">
        <v>916</v>
      </c>
      <c r="D43" s="120">
        <v>436</v>
      </c>
      <c r="E43" s="120">
        <v>897</v>
      </c>
      <c r="F43" s="120">
        <v>476</v>
      </c>
      <c r="G43" s="120">
        <v>276</v>
      </c>
      <c r="H43" s="120">
        <v>656</v>
      </c>
      <c r="I43" s="120">
        <v>390</v>
      </c>
      <c r="J43" s="120">
        <v>170</v>
      </c>
      <c r="K43" s="120">
        <v>592</v>
      </c>
      <c r="L43" s="120">
        <v>1202</v>
      </c>
      <c r="M43" s="22">
        <v>678</v>
      </c>
      <c r="N43" s="120">
        <v>134</v>
      </c>
      <c r="O43" s="120">
        <v>440</v>
      </c>
      <c r="P43" s="120">
        <v>78</v>
      </c>
      <c r="Q43" s="120">
        <v>68</v>
      </c>
      <c r="R43" s="120">
        <v>170</v>
      </c>
      <c r="S43" s="120">
        <v>10</v>
      </c>
      <c r="T43" s="133">
        <v>367</v>
      </c>
      <c r="U43" s="120" t="s">
        <v>96</v>
      </c>
      <c r="V43" s="120">
        <v>914</v>
      </c>
      <c r="W43" s="120">
        <v>120</v>
      </c>
      <c r="X43" s="120">
        <v>730</v>
      </c>
      <c r="Y43" s="22">
        <v>398</v>
      </c>
      <c r="Z43" s="22">
        <v>289</v>
      </c>
    </row>
    <row r="44" spans="1:26" x14ac:dyDescent="0.25">
      <c r="A44" s="9" t="s">
        <v>31</v>
      </c>
      <c r="B44" s="118" t="s">
        <v>96</v>
      </c>
      <c r="C44" s="118">
        <v>300</v>
      </c>
      <c r="D44" s="118" t="s">
        <v>96</v>
      </c>
      <c r="E44" s="118" t="s">
        <v>96</v>
      </c>
      <c r="F44" s="118" t="s">
        <v>96</v>
      </c>
      <c r="G44" s="118" t="s">
        <v>96</v>
      </c>
      <c r="H44" s="118" t="s">
        <v>96</v>
      </c>
      <c r="I44" s="118">
        <v>50</v>
      </c>
      <c r="J44" s="118" t="s">
        <v>96</v>
      </c>
      <c r="K44" s="66">
        <v>150</v>
      </c>
      <c r="L44" s="118">
        <v>150</v>
      </c>
      <c r="M44" s="21">
        <v>100</v>
      </c>
      <c r="N44" s="118" t="s">
        <v>96</v>
      </c>
      <c r="O44" s="118" t="s">
        <v>96</v>
      </c>
      <c r="P44" s="118" t="s">
        <v>96</v>
      </c>
      <c r="Q44" s="118" t="s">
        <v>96</v>
      </c>
      <c r="R44" s="118">
        <v>40</v>
      </c>
      <c r="S44" s="118" t="s">
        <v>96</v>
      </c>
      <c r="T44" s="134">
        <v>63</v>
      </c>
      <c r="U44" s="118" t="s">
        <v>96</v>
      </c>
      <c r="V44" s="118">
        <v>62</v>
      </c>
      <c r="W44" s="118" t="s">
        <v>96</v>
      </c>
      <c r="X44" s="118" t="s">
        <v>96</v>
      </c>
      <c r="Y44" s="21" t="s">
        <v>96</v>
      </c>
      <c r="Z44" s="21" t="s">
        <v>96</v>
      </c>
    </row>
    <row r="45" spans="1:26" x14ac:dyDescent="0.25">
      <c r="A45" s="9" t="s">
        <v>32</v>
      </c>
      <c r="B45" s="118" t="s">
        <v>96</v>
      </c>
      <c r="C45" s="118">
        <v>35</v>
      </c>
      <c r="D45" s="118" t="s">
        <v>96</v>
      </c>
      <c r="E45" s="118" t="s">
        <v>96</v>
      </c>
      <c r="F45" s="118">
        <v>30</v>
      </c>
      <c r="G45" s="118">
        <v>10</v>
      </c>
      <c r="H45" s="118" t="s">
        <v>96</v>
      </c>
      <c r="I45" s="118">
        <v>30</v>
      </c>
      <c r="J45" s="118" t="s">
        <v>96</v>
      </c>
      <c r="K45" s="118" t="s">
        <v>96</v>
      </c>
      <c r="L45" s="118" t="s">
        <v>96</v>
      </c>
      <c r="M45" s="21">
        <v>60</v>
      </c>
      <c r="N45" s="118">
        <v>90</v>
      </c>
      <c r="O45" s="118">
        <v>40</v>
      </c>
      <c r="P45" s="118">
        <v>30</v>
      </c>
      <c r="Q45" s="118" t="s">
        <v>96</v>
      </c>
      <c r="R45" s="118" t="s">
        <v>96</v>
      </c>
      <c r="S45" s="118" t="s">
        <v>96</v>
      </c>
      <c r="T45" s="134" t="s">
        <v>96</v>
      </c>
      <c r="U45" s="118" t="s">
        <v>96</v>
      </c>
      <c r="V45" s="118" t="s">
        <v>96</v>
      </c>
      <c r="W45" s="118" t="s">
        <v>96</v>
      </c>
      <c r="X45" s="118" t="s">
        <v>96</v>
      </c>
      <c r="Y45" s="21" t="s">
        <v>96</v>
      </c>
      <c r="Z45" s="21" t="s">
        <v>96</v>
      </c>
    </row>
    <row r="46" spans="1:26" x14ac:dyDescent="0.25">
      <c r="A46" s="9" t="s">
        <v>150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21"/>
      <c r="N46" s="118"/>
      <c r="O46" s="118"/>
      <c r="P46" s="118" t="s">
        <v>96</v>
      </c>
      <c r="Q46" s="118" t="s">
        <v>96</v>
      </c>
      <c r="R46" s="118" t="s">
        <v>96</v>
      </c>
      <c r="S46" s="118" t="s">
        <v>96</v>
      </c>
      <c r="T46" s="134" t="s">
        <v>96</v>
      </c>
      <c r="U46" s="118" t="s">
        <v>96</v>
      </c>
      <c r="V46" s="118">
        <v>734</v>
      </c>
      <c r="W46" s="118" t="s">
        <v>96</v>
      </c>
      <c r="X46" s="118" t="s">
        <v>96</v>
      </c>
      <c r="Y46" s="21" t="s">
        <v>96</v>
      </c>
      <c r="Z46" s="21" t="s">
        <v>96</v>
      </c>
    </row>
    <row r="47" spans="1:26" x14ac:dyDescent="0.25">
      <c r="A47" s="9" t="s">
        <v>34</v>
      </c>
      <c r="B47" s="118" t="s">
        <v>96</v>
      </c>
      <c r="C47" s="118" t="s">
        <v>96</v>
      </c>
      <c r="D47" s="118">
        <v>215</v>
      </c>
      <c r="E47" s="118">
        <v>15</v>
      </c>
      <c r="F47" s="118">
        <v>130</v>
      </c>
      <c r="G47" s="118" t="s">
        <v>96</v>
      </c>
      <c r="H47" s="118">
        <v>143</v>
      </c>
      <c r="I47" s="118">
        <v>130</v>
      </c>
      <c r="J47" s="118">
        <v>24</v>
      </c>
      <c r="K47" s="66">
        <v>30</v>
      </c>
      <c r="L47" s="118">
        <v>185</v>
      </c>
      <c r="M47" s="21">
        <v>458</v>
      </c>
      <c r="N47" s="118">
        <v>44</v>
      </c>
      <c r="O47" s="118">
        <v>340</v>
      </c>
      <c r="P47" s="118" t="s">
        <v>96</v>
      </c>
      <c r="Q47" s="118">
        <v>48</v>
      </c>
      <c r="R47" s="118" t="s">
        <v>96</v>
      </c>
      <c r="S47" s="118" t="s">
        <v>96</v>
      </c>
      <c r="T47" s="134">
        <v>154</v>
      </c>
      <c r="U47" s="118" t="s">
        <v>96</v>
      </c>
      <c r="V47" s="118" t="s">
        <v>96</v>
      </c>
      <c r="W47" s="118">
        <v>60</v>
      </c>
      <c r="X47" s="118">
        <v>410</v>
      </c>
      <c r="Y47" s="21">
        <v>152</v>
      </c>
      <c r="Z47" s="21" t="s">
        <v>96</v>
      </c>
    </row>
    <row r="48" spans="1:26" x14ac:dyDescent="0.25">
      <c r="A48" s="9" t="s">
        <v>35</v>
      </c>
      <c r="B48" s="118">
        <v>24</v>
      </c>
      <c r="C48" s="118">
        <v>150</v>
      </c>
      <c r="D48" s="118" t="s">
        <v>96</v>
      </c>
      <c r="E48" s="118" t="s">
        <v>96</v>
      </c>
      <c r="F48" s="118" t="s">
        <v>96</v>
      </c>
      <c r="G48" s="118">
        <v>60</v>
      </c>
      <c r="H48" s="118">
        <v>222</v>
      </c>
      <c r="I48" s="118">
        <v>140</v>
      </c>
      <c r="J48" s="118">
        <v>96</v>
      </c>
      <c r="K48" s="66">
        <v>167</v>
      </c>
      <c r="L48" s="118">
        <v>337</v>
      </c>
      <c r="M48" s="21" t="s">
        <v>96</v>
      </c>
      <c r="N48" s="118" t="s">
        <v>96</v>
      </c>
      <c r="O48" s="118" t="s">
        <v>96</v>
      </c>
      <c r="P48" s="118" t="s">
        <v>96</v>
      </c>
      <c r="Q48" s="118" t="s">
        <v>96</v>
      </c>
      <c r="R48" s="118" t="s">
        <v>96</v>
      </c>
      <c r="S48" s="118" t="s">
        <v>96</v>
      </c>
      <c r="T48" s="134" t="s">
        <v>96</v>
      </c>
      <c r="U48" s="118" t="s">
        <v>96</v>
      </c>
      <c r="V48" s="118" t="s">
        <v>96</v>
      </c>
      <c r="W48" s="118" t="s">
        <v>96</v>
      </c>
      <c r="X48" s="118" t="s">
        <v>96</v>
      </c>
      <c r="Y48" s="21">
        <v>30</v>
      </c>
      <c r="Z48" s="21">
        <v>9</v>
      </c>
    </row>
    <row r="49" spans="1:26" x14ac:dyDescent="0.25">
      <c r="A49" s="9" t="s">
        <v>36</v>
      </c>
      <c r="B49" s="118">
        <v>232</v>
      </c>
      <c r="C49" s="118">
        <v>250</v>
      </c>
      <c r="D49" s="118" t="s">
        <v>96</v>
      </c>
      <c r="E49" s="118">
        <v>33</v>
      </c>
      <c r="F49" s="118">
        <v>55</v>
      </c>
      <c r="G49" s="118" t="s">
        <v>96</v>
      </c>
      <c r="H49" s="118">
        <v>240</v>
      </c>
      <c r="I49" s="118" t="s">
        <v>96</v>
      </c>
      <c r="J49" s="118">
        <v>25</v>
      </c>
      <c r="K49" s="66">
        <v>65</v>
      </c>
      <c r="L49" s="118">
        <v>400</v>
      </c>
      <c r="M49" s="21" t="s">
        <v>96</v>
      </c>
      <c r="N49" s="118" t="s">
        <v>96</v>
      </c>
      <c r="O49" s="118">
        <v>49</v>
      </c>
      <c r="P49" s="118" t="s">
        <v>96</v>
      </c>
      <c r="Q49" s="118" t="s">
        <v>96</v>
      </c>
      <c r="R49" s="118" t="s">
        <v>96</v>
      </c>
      <c r="S49" s="118">
        <v>3</v>
      </c>
      <c r="T49" s="134">
        <v>150</v>
      </c>
      <c r="U49" s="118" t="s">
        <v>96</v>
      </c>
      <c r="V49" s="118">
        <v>118</v>
      </c>
      <c r="W49" s="118">
        <v>60</v>
      </c>
      <c r="X49" s="118">
        <v>120</v>
      </c>
      <c r="Y49" s="21">
        <v>70</v>
      </c>
      <c r="Z49" s="21" t="s">
        <v>96</v>
      </c>
    </row>
    <row r="50" spans="1:26" x14ac:dyDescent="0.25">
      <c r="A50" s="9" t="s">
        <v>37</v>
      </c>
      <c r="B50" s="118">
        <v>200</v>
      </c>
      <c r="C50" s="118">
        <v>181</v>
      </c>
      <c r="D50" s="118">
        <v>221</v>
      </c>
      <c r="E50" s="118">
        <v>849</v>
      </c>
      <c r="F50" s="118">
        <v>261</v>
      </c>
      <c r="G50" s="118">
        <v>206</v>
      </c>
      <c r="H50" s="118">
        <v>51</v>
      </c>
      <c r="I50" s="118">
        <v>40</v>
      </c>
      <c r="J50" s="118">
        <v>25</v>
      </c>
      <c r="K50" s="66">
        <v>180</v>
      </c>
      <c r="L50" s="118">
        <v>130</v>
      </c>
      <c r="M50" s="21">
        <v>60</v>
      </c>
      <c r="N50" s="118" t="s">
        <v>96</v>
      </c>
      <c r="O50" s="118">
        <v>11</v>
      </c>
      <c r="P50" s="118">
        <v>48</v>
      </c>
      <c r="Q50" s="118" t="s">
        <v>96</v>
      </c>
      <c r="R50" s="118">
        <v>130</v>
      </c>
      <c r="S50" s="118">
        <v>7</v>
      </c>
      <c r="T50" s="134" t="s">
        <v>96</v>
      </c>
      <c r="U50" s="118" t="s">
        <v>96</v>
      </c>
      <c r="V50" s="118" t="s">
        <v>96</v>
      </c>
      <c r="W50" s="118" t="s">
        <v>96</v>
      </c>
      <c r="X50" s="118">
        <v>200</v>
      </c>
      <c r="Y50" s="21">
        <v>146</v>
      </c>
      <c r="Z50" s="21">
        <v>280</v>
      </c>
    </row>
    <row r="51" spans="1:26" x14ac:dyDescent="0.25">
      <c r="A51" s="9" t="s">
        <v>38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66"/>
      <c r="L51" s="118"/>
      <c r="M51" s="21"/>
      <c r="N51" s="118"/>
      <c r="O51" s="118"/>
      <c r="P51" s="118" t="s">
        <v>96</v>
      </c>
      <c r="Q51" s="118">
        <v>20</v>
      </c>
      <c r="R51" s="118" t="s">
        <v>96</v>
      </c>
      <c r="S51" s="118" t="s">
        <v>96</v>
      </c>
      <c r="T51" s="134" t="s">
        <v>96</v>
      </c>
      <c r="U51" s="118" t="s">
        <v>96</v>
      </c>
      <c r="V51" s="118" t="s">
        <v>96</v>
      </c>
      <c r="W51" s="118" t="s">
        <v>96</v>
      </c>
      <c r="X51" s="118" t="s">
        <v>96</v>
      </c>
      <c r="Y51" s="21" t="s">
        <v>96</v>
      </c>
      <c r="Z51" s="21" t="s">
        <v>96</v>
      </c>
    </row>
    <row r="52" spans="1:26" ht="18" x14ac:dyDescent="0.25">
      <c r="A52" s="8" t="s">
        <v>132</v>
      </c>
      <c r="B52" s="120">
        <v>663</v>
      </c>
      <c r="C52" s="120">
        <v>302</v>
      </c>
      <c r="D52" s="120">
        <v>414</v>
      </c>
      <c r="E52" s="120">
        <v>289</v>
      </c>
      <c r="F52" s="120">
        <v>375</v>
      </c>
      <c r="G52" s="120">
        <v>136</v>
      </c>
      <c r="H52" s="120">
        <v>392</v>
      </c>
      <c r="I52" s="120">
        <v>330</v>
      </c>
      <c r="J52" s="120">
        <v>575</v>
      </c>
      <c r="K52" s="120">
        <v>415</v>
      </c>
      <c r="L52" s="120">
        <v>325</v>
      </c>
      <c r="M52" s="22">
        <v>2796</v>
      </c>
      <c r="N52" s="120">
        <v>913</v>
      </c>
      <c r="O52" s="120">
        <v>1018</v>
      </c>
      <c r="P52" s="120">
        <v>255</v>
      </c>
      <c r="Q52" s="120">
        <v>644</v>
      </c>
      <c r="R52" s="120">
        <v>1108</v>
      </c>
      <c r="S52" s="120">
        <v>723</v>
      </c>
      <c r="T52" s="133">
        <v>276</v>
      </c>
      <c r="U52" s="120">
        <v>630</v>
      </c>
      <c r="V52" s="120">
        <v>404</v>
      </c>
      <c r="W52" s="120">
        <v>130</v>
      </c>
      <c r="X52" s="120">
        <v>325</v>
      </c>
      <c r="Y52" s="22">
        <v>392</v>
      </c>
      <c r="Z52" s="22">
        <v>178</v>
      </c>
    </row>
    <row r="53" spans="1:26" x14ac:dyDescent="0.25">
      <c r="A53" s="9" t="s">
        <v>39</v>
      </c>
      <c r="B53" s="118">
        <v>93</v>
      </c>
      <c r="C53" s="118">
        <v>62</v>
      </c>
      <c r="D53" s="118">
        <v>32</v>
      </c>
      <c r="E53" s="118">
        <v>245</v>
      </c>
      <c r="F53" s="118">
        <v>11</v>
      </c>
      <c r="G53" s="118">
        <v>136</v>
      </c>
      <c r="H53" s="118">
        <v>81</v>
      </c>
      <c r="I53" s="118">
        <v>330</v>
      </c>
      <c r="J53" s="118">
        <v>205</v>
      </c>
      <c r="K53" s="66">
        <v>390</v>
      </c>
      <c r="L53" s="118" t="s">
        <v>96</v>
      </c>
      <c r="M53" s="21">
        <v>150</v>
      </c>
      <c r="N53" s="118">
        <v>18</v>
      </c>
      <c r="O53" s="118">
        <v>95</v>
      </c>
      <c r="P53" s="118">
        <v>205</v>
      </c>
      <c r="Q53" s="118">
        <v>83</v>
      </c>
      <c r="R53" s="118">
        <v>248</v>
      </c>
      <c r="S53" s="118">
        <v>150</v>
      </c>
      <c r="T53" s="134" t="s">
        <v>96</v>
      </c>
      <c r="U53" s="118" t="s">
        <v>96</v>
      </c>
      <c r="V53" s="118" t="s">
        <v>96</v>
      </c>
      <c r="W53" s="118" t="s">
        <v>96</v>
      </c>
      <c r="X53" s="118" t="s">
        <v>96</v>
      </c>
      <c r="Y53" s="21">
        <v>40</v>
      </c>
      <c r="Z53" s="21" t="s">
        <v>96</v>
      </c>
    </row>
    <row r="54" spans="1:26" x14ac:dyDescent="0.25">
      <c r="A54" s="9" t="s">
        <v>99</v>
      </c>
      <c r="B54" s="118">
        <v>100</v>
      </c>
      <c r="C54" s="118" t="s">
        <v>96</v>
      </c>
      <c r="D54" s="118" t="s">
        <v>96</v>
      </c>
      <c r="E54" s="118" t="s">
        <v>96</v>
      </c>
      <c r="F54" s="118" t="s">
        <v>96</v>
      </c>
      <c r="G54" s="118" t="s">
        <v>96</v>
      </c>
      <c r="H54" s="118">
        <v>41</v>
      </c>
      <c r="I54" s="118" t="s">
        <v>96</v>
      </c>
      <c r="J54" s="118" t="s">
        <v>96</v>
      </c>
      <c r="K54" s="118" t="s">
        <v>96</v>
      </c>
      <c r="L54" s="118" t="s">
        <v>96</v>
      </c>
      <c r="M54" s="21">
        <v>50</v>
      </c>
      <c r="N54" s="118" t="s">
        <v>96</v>
      </c>
      <c r="O54" s="118" t="s">
        <v>96</v>
      </c>
      <c r="P54" s="118">
        <v>50</v>
      </c>
      <c r="Q54" s="118" t="s">
        <v>96</v>
      </c>
      <c r="R54" s="118">
        <v>360</v>
      </c>
      <c r="S54" s="118" t="s">
        <v>96</v>
      </c>
      <c r="T54" s="134" t="s">
        <v>96</v>
      </c>
      <c r="U54" s="118" t="s">
        <v>96</v>
      </c>
      <c r="V54" s="118">
        <v>110</v>
      </c>
      <c r="W54" s="118" t="s">
        <v>96</v>
      </c>
      <c r="X54" s="118" t="s">
        <v>96</v>
      </c>
      <c r="Y54" s="21">
        <v>310</v>
      </c>
      <c r="Z54" s="21">
        <v>50</v>
      </c>
    </row>
    <row r="55" spans="1:26" ht="19.5" x14ac:dyDescent="0.25">
      <c r="A55" s="9" t="s">
        <v>41</v>
      </c>
      <c r="B55" s="118">
        <v>220</v>
      </c>
      <c r="C55" s="118" t="s">
        <v>96</v>
      </c>
      <c r="D55" s="118">
        <v>262</v>
      </c>
      <c r="E55" s="118">
        <v>44</v>
      </c>
      <c r="F55" s="118">
        <v>216</v>
      </c>
      <c r="G55" s="118" t="s">
        <v>96</v>
      </c>
      <c r="H55" s="118" t="s">
        <v>96</v>
      </c>
      <c r="I55" s="118" t="s">
        <v>96</v>
      </c>
      <c r="J55" s="118">
        <v>260</v>
      </c>
      <c r="K55" s="118" t="s">
        <v>96</v>
      </c>
      <c r="L55" s="118" t="s">
        <v>96</v>
      </c>
      <c r="M55" s="21" t="s">
        <v>96</v>
      </c>
      <c r="N55" s="118" t="s">
        <v>96</v>
      </c>
      <c r="O55" s="118" t="s">
        <v>96</v>
      </c>
      <c r="P55" s="118" t="s">
        <v>96</v>
      </c>
      <c r="Q55" s="118">
        <v>25</v>
      </c>
      <c r="R55" s="118">
        <v>120</v>
      </c>
      <c r="S55" s="118">
        <v>130</v>
      </c>
      <c r="T55" s="134" t="s">
        <v>96</v>
      </c>
      <c r="U55" s="118" t="s">
        <v>96</v>
      </c>
      <c r="V55" s="118">
        <v>180</v>
      </c>
      <c r="W55" s="118" t="s">
        <v>96</v>
      </c>
      <c r="X55" s="118" t="s">
        <v>96</v>
      </c>
      <c r="Y55" s="21" t="s">
        <v>96</v>
      </c>
      <c r="Z55" s="21" t="s">
        <v>96</v>
      </c>
    </row>
    <row r="56" spans="1:26" ht="19.5" x14ac:dyDescent="0.25">
      <c r="A56" s="9" t="s">
        <v>42</v>
      </c>
      <c r="B56" s="118">
        <v>50</v>
      </c>
      <c r="C56" s="118" t="s">
        <v>96</v>
      </c>
      <c r="D56" s="118" t="s">
        <v>96</v>
      </c>
      <c r="E56" s="118" t="s">
        <v>96</v>
      </c>
      <c r="F56" s="118" t="s">
        <v>96</v>
      </c>
      <c r="G56" s="118" t="s">
        <v>96</v>
      </c>
      <c r="H56" s="118" t="s">
        <v>96</v>
      </c>
      <c r="I56" s="118" t="s">
        <v>96</v>
      </c>
      <c r="J56" s="118" t="s">
        <v>96</v>
      </c>
      <c r="K56" s="118" t="s">
        <v>96</v>
      </c>
      <c r="L56" s="118">
        <v>25</v>
      </c>
      <c r="M56" s="21" t="s">
        <v>96</v>
      </c>
      <c r="N56" s="118" t="s">
        <v>96</v>
      </c>
      <c r="O56" s="118" t="s">
        <v>96</v>
      </c>
      <c r="P56" s="118" t="s">
        <v>96</v>
      </c>
      <c r="Q56" s="118">
        <v>80</v>
      </c>
      <c r="R56" s="118" t="s">
        <v>96</v>
      </c>
      <c r="S56" s="118">
        <v>210</v>
      </c>
      <c r="T56" s="134" t="s">
        <v>96</v>
      </c>
      <c r="U56" s="118" t="s">
        <v>96</v>
      </c>
      <c r="V56" s="118" t="s">
        <v>96</v>
      </c>
      <c r="W56" s="118" t="s">
        <v>96</v>
      </c>
      <c r="X56" s="118" t="s">
        <v>96</v>
      </c>
      <c r="Y56" s="21" t="s">
        <v>96</v>
      </c>
      <c r="Z56" s="21" t="s">
        <v>96</v>
      </c>
    </row>
    <row r="57" spans="1:26" ht="19.5" x14ac:dyDescent="0.25">
      <c r="A57" s="9" t="s">
        <v>43</v>
      </c>
      <c r="B57" s="118">
        <v>135</v>
      </c>
      <c r="C57" s="118">
        <v>150</v>
      </c>
      <c r="D57" s="118">
        <v>120</v>
      </c>
      <c r="E57" s="118" t="s">
        <v>96</v>
      </c>
      <c r="F57" s="118">
        <v>58</v>
      </c>
      <c r="G57" s="118" t="s">
        <v>96</v>
      </c>
      <c r="H57" s="118" t="s">
        <v>96</v>
      </c>
      <c r="I57" s="118" t="s">
        <v>96</v>
      </c>
      <c r="J57" s="118" t="s">
        <v>96</v>
      </c>
      <c r="K57" s="118" t="s">
        <v>96</v>
      </c>
      <c r="L57" s="118">
        <v>300</v>
      </c>
      <c r="M57" s="21" t="s">
        <v>96</v>
      </c>
      <c r="N57" s="118">
        <v>39</v>
      </c>
      <c r="O57" s="118" t="s">
        <v>96</v>
      </c>
      <c r="P57" s="118" t="s">
        <v>96</v>
      </c>
      <c r="Q57" s="118" t="s">
        <v>96</v>
      </c>
      <c r="R57" s="118" t="s">
        <v>96</v>
      </c>
      <c r="S57" s="118">
        <v>100</v>
      </c>
      <c r="T57" s="134">
        <v>276</v>
      </c>
      <c r="U57" s="118" t="s">
        <v>96</v>
      </c>
      <c r="V57" s="118" t="s">
        <v>96</v>
      </c>
      <c r="W57" s="118" t="s">
        <v>96</v>
      </c>
      <c r="X57" s="118" t="s">
        <v>96</v>
      </c>
      <c r="Y57" s="21" t="s">
        <v>96</v>
      </c>
      <c r="Z57" s="21" t="s">
        <v>96</v>
      </c>
    </row>
    <row r="58" spans="1:26" x14ac:dyDescent="0.25">
      <c r="A58" s="9" t="s">
        <v>97</v>
      </c>
      <c r="B58" s="118" t="s">
        <v>96</v>
      </c>
      <c r="C58" s="118" t="s">
        <v>96</v>
      </c>
      <c r="D58" s="118" t="s">
        <v>96</v>
      </c>
      <c r="E58" s="118" t="s">
        <v>96</v>
      </c>
      <c r="F58" s="118" t="s">
        <v>96</v>
      </c>
      <c r="G58" s="118" t="s">
        <v>96</v>
      </c>
      <c r="H58" s="118" t="s">
        <v>96</v>
      </c>
      <c r="I58" s="118" t="s">
        <v>96</v>
      </c>
      <c r="J58" s="118" t="s">
        <v>96</v>
      </c>
      <c r="K58" s="118" t="s">
        <v>96</v>
      </c>
      <c r="L58" s="118" t="s">
        <v>96</v>
      </c>
      <c r="M58" s="21">
        <v>2596</v>
      </c>
      <c r="N58" s="118">
        <v>645</v>
      </c>
      <c r="O58" s="118">
        <v>880</v>
      </c>
      <c r="P58" s="118" t="s">
        <v>96</v>
      </c>
      <c r="Q58" s="118">
        <v>436</v>
      </c>
      <c r="R58" s="118">
        <v>250</v>
      </c>
      <c r="S58" s="118" t="s">
        <v>96</v>
      </c>
      <c r="T58" s="134" t="s">
        <v>96</v>
      </c>
      <c r="U58" s="118">
        <v>597</v>
      </c>
      <c r="V58" s="118">
        <v>100</v>
      </c>
      <c r="W58" s="118">
        <v>130</v>
      </c>
      <c r="X58" s="118">
        <v>325</v>
      </c>
      <c r="Y58" s="21">
        <v>25</v>
      </c>
      <c r="Z58" s="21">
        <v>128</v>
      </c>
    </row>
    <row r="59" spans="1:26" x14ac:dyDescent="0.25">
      <c r="A59" s="9" t="s">
        <v>45</v>
      </c>
      <c r="B59" s="118">
        <v>65</v>
      </c>
      <c r="C59" s="118">
        <v>90</v>
      </c>
      <c r="D59" s="118" t="s">
        <v>96</v>
      </c>
      <c r="E59" s="118" t="s">
        <v>96</v>
      </c>
      <c r="F59" s="118">
        <v>90</v>
      </c>
      <c r="G59" s="118" t="s">
        <v>96</v>
      </c>
      <c r="H59" s="118">
        <v>270</v>
      </c>
      <c r="I59" s="118" t="s">
        <v>96</v>
      </c>
      <c r="J59" s="118">
        <v>110</v>
      </c>
      <c r="K59" s="66">
        <v>25</v>
      </c>
      <c r="L59" s="118" t="s">
        <v>96</v>
      </c>
      <c r="M59" s="21" t="s">
        <v>96</v>
      </c>
      <c r="N59" s="118">
        <v>211</v>
      </c>
      <c r="O59" s="118">
        <v>43</v>
      </c>
      <c r="P59" s="118" t="s">
        <v>96</v>
      </c>
      <c r="Q59" s="118">
        <v>20</v>
      </c>
      <c r="R59" s="118">
        <v>130</v>
      </c>
      <c r="S59" s="118">
        <v>133</v>
      </c>
      <c r="T59" s="134" t="s">
        <v>96</v>
      </c>
      <c r="U59" s="118">
        <v>33</v>
      </c>
      <c r="V59" s="118">
        <v>14</v>
      </c>
      <c r="W59" s="118" t="s">
        <v>96</v>
      </c>
      <c r="X59" s="118" t="s">
        <v>96</v>
      </c>
      <c r="Y59" s="21">
        <v>17</v>
      </c>
      <c r="Z59" s="21" t="s">
        <v>96</v>
      </c>
    </row>
    <row r="60" spans="1:26" ht="18" x14ac:dyDescent="0.25">
      <c r="A60" s="8" t="s">
        <v>90</v>
      </c>
      <c r="B60" s="120">
        <v>2986</v>
      </c>
      <c r="C60" s="120">
        <v>1479</v>
      </c>
      <c r="D60" s="120">
        <v>1931</v>
      </c>
      <c r="E60" s="120">
        <v>1127</v>
      </c>
      <c r="F60" s="120">
        <v>1917</v>
      </c>
      <c r="G60" s="120">
        <v>1211</v>
      </c>
      <c r="H60" s="120">
        <v>2436</v>
      </c>
      <c r="I60" s="120">
        <v>2128</v>
      </c>
      <c r="J60" s="120">
        <v>1757</v>
      </c>
      <c r="K60" s="65">
        <v>1992</v>
      </c>
      <c r="L60" s="120">
        <v>1683</v>
      </c>
      <c r="M60" s="22">
        <v>1246</v>
      </c>
      <c r="N60" s="120">
        <v>3285</v>
      </c>
      <c r="O60" s="120">
        <v>2007</v>
      </c>
      <c r="P60" s="120">
        <v>756</v>
      </c>
      <c r="Q60" s="120">
        <v>555</v>
      </c>
      <c r="R60" s="120">
        <v>1137</v>
      </c>
      <c r="S60" s="120">
        <v>453</v>
      </c>
      <c r="T60" s="133">
        <v>297</v>
      </c>
      <c r="U60" s="120">
        <v>127</v>
      </c>
      <c r="V60" s="120">
        <v>1001</v>
      </c>
      <c r="W60" s="120">
        <v>376</v>
      </c>
      <c r="X60" s="120">
        <v>1226</v>
      </c>
      <c r="Y60" s="22">
        <v>1798</v>
      </c>
      <c r="Z60" s="22">
        <v>1473</v>
      </c>
    </row>
    <row r="61" spans="1:26" x14ac:dyDescent="0.25">
      <c r="A61" s="9" t="s">
        <v>46</v>
      </c>
      <c r="B61" s="118">
        <v>513</v>
      </c>
      <c r="C61" s="118">
        <v>420</v>
      </c>
      <c r="D61" s="118">
        <v>140</v>
      </c>
      <c r="E61" s="118">
        <v>282</v>
      </c>
      <c r="F61" s="118">
        <v>90</v>
      </c>
      <c r="G61" s="118">
        <v>60</v>
      </c>
      <c r="H61" s="118">
        <v>171</v>
      </c>
      <c r="I61" s="118">
        <v>760</v>
      </c>
      <c r="J61" s="118">
        <v>260</v>
      </c>
      <c r="K61" s="66">
        <v>351</v>
      </c>
      <c r="L61" s="118">
        <v>100</v>
      </c>
      <c r="M61" s="21">
        <v>50</v>
      </c>
      <c r="N61" s="118">
        <v>1350</v>
      </c>
      <c r="O61" s="118">
        <v>30</v>
      </c>
      <c r="P61" s="118">
        <v>565</v>
      </c>
      <c r="Q61" s="118">
        <v>180</v>
      </c>
      <c r="R61" s="118">
        <v>191</v>
      </c>
      <c r="S61" s="118">
        <v>20</v>
      </c>
      <c r="T61" s="134" t="s">
        <v>96</v>
      </c>
      <c r="U61" s="118">
        <v>35</v>
      </c>
      <c r="V61" s="118">
        <v>204</v>
      </c>
      <c r="W61" s="118" t="s">
        <v>96</v>
      </c>
      <c r="X61" s="118">
        <v>175</v>
      </c>
      <c r="Y61" s="21">
        <v>193</v>
      </c>
      <c r="Z61" s="21" t="s">
        <v>96</v>
      </c>
    </row>
    <row r="62" spans="1:26" x14ac:dyDescent="0.25">
      <c r="A62" s="9" t="s">
        <v>47</v>
      </c>
      <c r="B62" s="118" t="s">
        <v>96</v>
      </c>
      <c r="C62" s="118" t="s">
        <v>96</v>
      </c>
      <c r="D62" s="118" t="s">
        <v>96</v>
      </c>
      <c r="E62" s="118">
        <v>85</v>
      </c>
      <c r="F62" s="118">
        <v>140</v>
      </c>
      <c r="G62" s="118" t="s">
        <v>96</v>
      </c>
      <c r="H62" s="118">
        <v>50</v>
      </c>
      <c r="I62" s="118">
        <v>70</v>
      </c>
      <c r="J62" s="118" t="s">
        <v>96</v>
      </c>
      <c r="K62" s="66" t="s">
        <v>96</v>
      </c>
      <c r="L62" s="118">
        <v>116</v>
      </c>
      <c r="M62" s="21" t="s">
        <v>96</v>
      </c>
      <c r="N62" s="118" t="s">
        <v>96</v>
      </c>
      <c r="O62" s="118" t="s">
        <v>96</v>
      </c>
      <c r="P62" s="118">
        <v>41</v>
      </c>
      <c r="Q62" s="118">
        <v>16</v>
      </c>
      <c r="R62" s="118" t="s">
        <v>96</v>
      </c>
      <c r="S62" s="118" t="s">
        <v>96</v>
      </c>
      <c r="T62" s="134" t="s">
        <v>96</v>
      </c>
      <c r="U62" s="118" t="s">
        <v>96</v>
      </c>
      <c r="V62" s="118" t="s">
        <v>96</v>
      </c>
      <c r="W62" s="118" t="s">
        <v>96</v>
      </c>
      <c r="X62" s="118">
        <v>68</v>
      </c>
      <c r="Y62" s="21" t="s">
        <v>96</v>
      </c>
      <c r="Z62" s="21" t="s">
        <v>96</v>
      </c>
    </row>
    <row r="63" spans="1:26" x14ac:dyDescent="0.25">
      <c r="A63" s="9" t="s">
        <v>48</v>
      </c>
      <c r="B63" s="118" t="s">
        <v>96</v>
      </c>
      <c r="C63" s="118">
        <v>18</v>
      </c>
      <c r="D63" s="118">
        <v>522</v>
      </c>
      <c r="E63" s="118">
        <v>24</v>
      </c>
      <c r="F63" s="118">
        <v>140</v>
      </c>
      <c r="G63" s="118">
        <v>281</v>
      </c>
      <c r="H63" s="118" t="s">
        <v>96</v>
      </c>
      <c r="I63" s="118" t="s">
        <v>96</v>
      </c>
      <c r="J63" s="118" t="s">
        <v>96</v>
      </c>
      <c r="K63" s="66" t="s">
        <v>96</v>
      </c>
      <c r="L63" s="118">
        <v>191</v>
      </c>
      <c r="M63" s="21" t="s">
        <v>96</v>
      </c>
      <c r="N63" s="118">
        <v>540</v>
      </c>
      <c r="O63" s="118">
        <v>420</v>
      </c>
      <c r="P63" s="118">
        <v>20</v>
      </c>
      <c r="Q63" s="118" t="s">
        <v>96</v>
      </c>
      <c r="R63" s="118" t="s">
        <v>96</v>
      </c>
      <c r="S63" s="118">
        <v>15</v>
      </c>
      <c r="T63" s="134" t="s">
        <v>96</v>
      </c>
      <c r="U63" s="118" t="s">
        <v>96</v>
      </c>
      <c r="V63" s="118" t="s">
        <v>96</v>
      </c>
      <c r="W63" s="118">
        <v>150</v>
      </c>
      <c r="X63" s="118" t="s">
        <v>96</v>
      </c>
      <c r="Y63" s="21" t="s">
        <v>96</v>
      </c>
      <c r="Z63" s="21" t="s">
        <v>96</v>
      </c>
    </row>
    <row r="64" spans="1:26" x14ac:dyDescent="0.25">
      <c r="A64" s="9" t="s">
        <v>49</v>
      </c>
      <c r="B64" s="118">
        <v>546</v>
      </c>
      <c r="C64" s="118">
        <v>311</v>
      </c>
      <c r="D64" s="118">
        <v>245</v>
      </c>
      <c r="E64" s="118">
        <v>95</v>
      </c>
      <c r="F64" s="118">
        <v>530</v>
      </c>
      <c r="G64" s="118">
        <v>230</v>
      </c>
      <c r="H64" s="118">
        <v>401</v>
      </c>
      <c r="I64" s="118">
        <v>596</v>
      </c>
      <c r="J64" s="118">
        <v>504</v>
      </c>
      <c r="K64" s="66" t="s">
        <v>96</v>
      </c>
      <c r="L64" s="118">
        <v>373</v>
      </c>
      <c r="M64" s="21">
        <v>465</v>
      </c>
      <c r="N64" s="118">
        <v>609</v>
      </c>
      <c r="O64" s="118">
        <v>493</v>
      </c>
      <c r="P64" s="118">
        <v>100</v>
      </c>
      <c r="Q64" s="118">
        <v>35</v>
      </c>
      <c r="R64" s="118">
        <v>196</v>
      </c>
      <c r="S64" s="118" t="s">
        <v>96</v>
      </c>
      <c r="T64" s="134" t="s">
        <v>96</v>
      </c>
      <c r="U64" s="118">
        <v>70</v>
      </c>
      <c r="V64" s="118">
        <v>260</v>
      </c>
      <c r="W64" s="118">
        <v>120</v>
      </c>
      <c r="X64" s="118">
        <v>339</v>
      </c>
      <c r="Y64" s="21">
        <v>267</v>
      </c>
      <c r="Z64" s="21">
        <v>388</v>
      </c>
    </row>
    <row r="65" spans="1:26" x14ac:dyDescent="0.25">
      <c r="A65" s="9" t="s">
        <v>50</v>
      </c>
      <c r="B65" s="118">
        <v>380</v>
      </c>
      <c r="C65" s="118">
        <v>83</v>
      </c>
      <c r="D65" s="118">
        <v>85</v>
      </c>
      <c r="E65" s="118">
        <v>60</v>
      </c>
      <c r="F65" s="118" t="s">
        <v>96</v>
      </c>
      <c r="G65" s="118" t="s">
        <v>96</v>
      </c>
      <c r="H65" s="118">
        <v>342</v>
      </c>
      <c r="I65" s="118">
        <v>108</v>
      </c>
      <c r="J65" s="118">
        <v>116</v>
      </c>
      <c r="K65" s="66">
        <v>397</v>
      </c>
      <c r="L65" s="118" t="s">
        <v>96</v>
      </c>
      <c r="M65" s="21" t="s">
        <v>96</v>
      </c>
      <c r="N65" s="118" t="s">
        <v>96</v>
      </c>
      <c r="O65" s="118" t="s">
        <v>96</v>
      </c>
      <c r="P65" s="118" t="s">
        <v>96</v>
      </c>
      <c r="Q65" s="118">
        <v>138</v>
      </c>
      <c r="R65" s="118" t="s">
        <v>96</v>
      </c>
      <c r="S65" s="118" t="s">
        <v>96</v>
      </c>
      <c r="T65" s="134" t="s">
        <v>96</v>
      </c>
      <c r="U65" s="118" t="s">
        <v>96</v>
      </c>
      <c r="V65" s="118" t="s">
        <v>96</v>
      </c>
      <c r="W65" s="118" t="s">
        <v>96</v>
      </c>
      <c r="X65" s="118" t="s">
        <v>96</v>
      </c>
      <c r="Y65" s="21" t="s">
        <v>96</v>
      </c>
      <c r="Z65" s="21" t="s">
        <v>96</v>
      </c>
    </row>
    <row r="66" spans="1:26" x14ac:dyDescent="0.25">
      <c r="A66" s="9" t="s">
        <v>51</v>
      </c>
      <c r="B66" s="118">
        <v>65</v>
      </c>
      <c r="C66" s="118">
        <v>47</v>
      </c>
      <c r="D66" s="118">
        <v>124</v>
      </c>
      <c r="E66" s="118">
        <v>66</v>
      </c>
      <c r="F66" s="118">
        <v>125</v>
      </c>
      <c r="G66" s="118">
        <v>162</v>
      </c>
      <c r="H66" s="118">
        <v>165</v>
      </c>
      <c r="I66" s="118">
        <v>34</v>
      </c>
      <c r="J66" s="118">
        <v>50</v>
      </c>
      <c r="K66" s="66">
        <v>621</v>
      </c>
      <c r="L66" s="118">
        <v>105</v>
      </c>
      <c r="M66" s="21" t="s">
        <v>96</v>
      </c>
      <c r="N66" s="118">
        <v>60</v>
      </c>
      <c r="O66" s="118" t="s">
        <v>96</v>
      </c>
      <c r="P66" s="118" t="s">
        <v>96</v>
      </c>
      <c r="Q66" s="118" t="s">
        <v>96</v>
      </c>
      <c r="R66" s="118">
        <v>104</v>
      </c>
      <c r="S66" s="118" t="s">
        <v>96</v>
      </c>
      <c r="T66" s="134" t="s">
        <v>96</v>
      </c>
      <c r="U66" s="118" t="s">
        <v>96</v>
      </c>
      <c r="V66" s="118">
        <v>50</v>
      </c>
      <c r="W66" s="118" t="s">
        <v>96</v>
      </c>
      <c r="X66" s="118">
        <v>40</v>
      </c>
      <c r="Y66" s="21" t="s">
        <v>96</v>
      </c>
      <c r="Z66" s="21" t="s">
        <v>96</v>
      </c>
    </row>
    <row r="67" spans="1:26" x14ac:dyDescent="0.25">
      <c r="A67" s="9" t="s">
        <v>52</v>
      </c>
      <c r="B67" s="118">
        <v>562</v>
      </c>
      <c r="C67" s="118">
        <v>147</v>
      </c>
      <c r="D67" s="118">
        <v>255</v>
      </c>
      <c r="E67" s="118">
        <v>71</v>
      </c>
      <c r="F67" s="118">
        <v>70</v>
      </c>
      <c r="G67" s="118">
        <v>125</v>
      </c>
      <c r="H67" s="118">
        <v>438</v>
      </c>
      <c r="I67" s="118">
        <v>44</v>
      </c>
      <c r="J67" s="118">
        <v>100</v>
      </c>
      <c r="K67" s="66" t="s">
        <v>96</v>
      </c>
      <c r="L67" s="118">
        <v>349</v>
      </c>
      <c r="M67" s="21">
        <v>200</v>
      </c>
      <c r="N67" s="118">
        <v>417</v>
      </c>
      <c r="O67" s="118">
        <v>105</v>
      </c>
      <c r="P67" s="118" t="s">
        <v>96</v>
      </c>
      <c r="Q67" s="118" t="s">
        <v>96</v>
      </c>
      <c r="R67" s="118">
        <v>50</v>
      </c>
      <c r="S67" s="118">
        <v>7</v>
      </c>
      <c r="T67" s="134">
        <v>5</v>
      </c>
      <c r="U67" s="118">
        <v>22</v>
      </c>
      <c r="V67" s="118" t="s">
        <v>96</v>
      </c>
      <c r="W67" s="118">
        <v>6</v>
      </c>
      <c r="X67" s="118">
        <v>13</v>
      </c>
      <c r="Y67" s="21">
        <v>540</v>
      </c>
      <c r="Z67" s="21">
        <v>398</v>
      </c>
    </row>
    <row r="68" spans="1:26" x14ac:dyDescent="0.25">
      <c r="A68" s="9" t="s">
        <v>53</v>
      </c>
      <c r="B68" s="118">
        <v>195</v>
      </c>
      <c r="C68" s="118">
        <v>138</v>
      </c>
      <c r="D68" s="118">
        <v>373</v>
      </c>
      <c r="E68" s="118">
        <v>70</v>
      </c>
      <c r="F68" s="118">
        <v>120</v>
      </c>
      <c r="G68" s="118" t="s">
        <v>96</v>
      </c>
      <c r="H68" s="118">
        <v>75</v>
      </c>
      <c r="I68" s="118">
        <v>16</v>
      </c>
      <c r="J68" s="118">
        <v>296</v>
      </c>
      <c r="K68" s="66">
        <v>40</v>
      </c>
      <c r="L68" s="118">
        <v>121</v>
      </c>
      <c r="M68" s="21">
        <v>40</v>
      </c>
      <c r="N68" s="118" t="s">
        <v>96</v>
      </c>
      <c r="O68" s="118" t="s">
        <v>96</v>
      </c>
      <c r="P68" s="118" t="s">
        <v>96</v>
      </c>
      <c r="Q68" s="118" t="s">
        <v>96</v>
      </c>
      <c r="R68" s="118" t="s">
        <v>96</v>
      </c>
      <c r="S68" s="118">
        <v>22</v>
      </c>
      <c r="T68" s="134" t="s">
        <v>96</v>
      </c>
      <c r="U68" s="118" t="s">
        <v>96</v>
      </c>
      <c r="V68" s="118" t="s">
        <v>96</v>
      </c>
      <c r="W68" s="118" t="s">
        <v>96</v>
      </c>
      <c r="X68" s="118" t="s">
        <v>96</v>
      </c>
      <c r="Y68" s="21">
        <v>16</v>
      </c>
      <c r="Z68" s="21" t="s">
        <v>96</v>
      </c>
    </row>
    <row r="69" spans="1:26" x14ac:dyDescent="0.25">
      <c r="A69" s="9" t="s">
        <v>54</v>
      </c>
      <c r="B69" s="118" t="s">
        <v>96</v>
      </c>
      <c r="C69" s="118">
        <v>20</v>
      </c>
      <c r="D69" s="118" t="s">
        <v>96</v>
      </c>
      <c r="E69" s="118">
        <v>55</v>
      </c>
      <c r="F69" s="118">
        <v>87</v>
      </c>
      <c r="G69" s="118">
        <v>43</v>
      </c>
      <c r="H69" s="118">
        <v>120</v>
      </c>
      <c r="I69" s="118">
        <v>45</v>
      </c>
      <c r="J69" s="118">
        <v>145</v>
      </c>
      <c r="K69" s="66">
        <v>210</v>
      </c>
      <c r="L69" s="118">
        <v>60</v>
      </c>
      <c r="M69" s="21" t="s">
        <v>96</v>
      </c>
      <c r="N69" s="118">
        <v>100</v>
      </c>
      <c r="O69" s="118">
        <v>348</v>
      </c>
      <c r="P69" s="118" t="s">
        <v>96</v>
      </c>
      <c r="Q69" s="118">
        <v>150</v>
      </c>
      <c r="R69" s="118">
        <v>180</v>
      </c>
      <c r="S69" s="118" t="s">
        <v>96</v>
      </c>
      <c r="T69" s="134" t="s">
        <v>96</v>
      </c>
      <c r="U69" s="118" t="s">
        <v>96</v>
      </c>
      <c r="V69" s="118" t="s">
        <v>96</v>
      </c>
      <c r="W69" s="118" t="s">
        <v>96</v>
      </c>
      <c r="X69" s="118" t="s">
        <v>96</v>
      </c>
      <c r="Y69" s="21" t="s">
        <v>96</v>
      </c>
      <c r="Z69" s="21">
        <v>34</v>
      </c>
    </row>
    <row r="70" spans="1:26" x14ac:dyDescent="0.25">
      <c r="A70" s="9" t="s">
        <v>55</v>
      </c>
      <c r="B70" s="118">
        <v>165</v>
      </c>
      <c r="C70" s="118">
        <v>15</v>
      </c>
      <c r="D70" s="118" t="s">
        <v>96</v>
      </c>
      <c r="E70" s="118">
        <v>179</v>
      </c>
      <c r="F70" s="118">
        <v>25</v>
      </c>
      <c r="G70" s="118">
        <v>220</v>
      </c>
      <c r="H70" s="118">
        <v>62</v>
      </c>
      <c r="I70" s="118">
        <v>284</v>
      </c>
      <c r="J70" s="118">
        <v>17</v>
      </c>
      <c r="K70" s="66" t="s">
        <v>96</v>
      </c>
      <c r="L70" s="118">
        <v>70</v>
      </c>
      <c r="M70" s="21">
        <v>61</v>
      </c>
      <c r="N70" s="118">
        <v>40</v>
      </c>
      <c r="O70" s="118">
        <v>126</v>
      </c>
      <c r="P70" s="118">
        <v>30</v>
      </c>
      <c r="Q70" s="118" t="s">
        <v>96</v>
      </c>
      <c r="R70" s="118">
        <v>170</v>
      </c>
      <c r="S70" s="118">
        <v>45</v>
      </c>
      <c r="T70" s="134" t="s">
        <v>96</v>
      </c>
      <c r="U70" s="118" t="s">
        <v>96</v>
      </c>
      <c r="V70" s="118">
        <v>180</v>
      </c>
      <c r="W70" s="118" t="s">
        <v>96</v>
      </c>
      <c r="X70" s="118">
        <v>186</v>
      </c>
      <c r="Y70" s="21">
        <v>430</v>
      </c>
      <c r="Z70" s="21" t="s">
        <v>96</v>
      </c>
    </row>
    <row r="71" spans="1:26" x14ac:dyDescent="0.25">
      <c r="A71" s="9" t="s">
        <v>56</v>
      </c>
      <c r="B71" s="118" t="s">
        <v>96</v>
      </c>
      <c r="C71" s="118" t="s">
        <v>96</v>
      </c>
      <c r="D71" s="118" t="s">
        <v>96</v>
      </c>
      <c r="E71" s="118" t="s">
        <v>96</v>
      </c>
      <c r="F71" s="118">
        <v>45</v>
      </c>
      <c r="G71" s="118" t="s">
        <v>96</v>
      </c>
      <c r="H71" s="118">
        <v>49</v>
      </c>
      <c r="I71" s="118">
        <v>111</v>
      </c>
      <c r="J71" s="118">
        <v>167</v>
      </c>
      <c r="K71" s="66">
        <v>200</v>
      </c>
      <c r="L71" s="118">
        <v>25</v>
      </c>
      <c r="M71" s="21" t="s">
        <v>96</v>
      </c>
      <c r="N71" s="118">
        <v>84</v>
      </c>
      <c r="O71" s="118">
        <v>422</v>
      </c>
      <c r="P71" s="118" t="s">
        <v>96</v>
      </c>
      <c r="Q71" s="118" t="s">
        <v>96</v>
      </c>
      <c r="R71" s="118" t="s">
        <v>96</v>
      </c>
      <c r="S71" s="118">
        <v>130</v>
      </c>
      <c r="T71" s="134" t="s">
        <v>96</v>
      </c>
      <c r="U71" s="118" t="s">
        <v>96</v>
      </c>
      <c r="V71" s="118">
        <v>307</v>
      </c>
      <c r="W71" s="118" t="s">
        <v>96</v>
      </c>
      <c r="X71" s="118">
        <v>5</v>
      </c>
      <c r="Y71" s="21">
        <v>252</v>
      </c>
      <c r="Z71" s="21" t="s">
        <v>96</v>
      </c>
    </row>
    <row r="72" spans="1:26" x14ac:dyDescent="0.25">
      <c r="A72" s="9" t="s">
        <v>57</v>
      </c>
      <c r="B72" s="118" t="s">
        <v>96</v>
      </c>
      <c r="C72" s="118">
        <v>40</v>
      </c>
      <c r="D72" s="118" t="s">
        <v>96</v>
      </c>
      <c r="E72" s="118">
        <v>85</v>
      </c>
      <c r="F72" s="118">
        <v>195</v>
      </c>
      <c r="G72" s="118">
        <v>60</v>
      </c>
      <c r="H72" s="118">
        <v>370</v>
      </c>
      <c r="I72" s="118" t="s">
        <v>96</v>
      </c>
      <c r="J72" s="118" t="s">
        <v>96</v>
      </c>
      <c r="K72" s="66">
        <v>131</v>
      </c>
      <c r="L72" s="118">
        <v>80</v>
      </c>
      <c r="M72" s="21">
        <v>40</v>
      </c>
      <c r="N72" s="118">
        <v>85</v>
      </c>
      <c r="O72" s="118">
        <v>36</v>
      </c>
      <c r="P72" s="118" t="s">
        <v>96</v>
      </c>
      <c r="Q72" s="118" t="s">
        <v>96</v>
      </c>
      <c r="R72" s="118">
        <v>145</v>
      </c>
      <c r="S72" s="118">
        <v>22</v>
      </c>
      <c r="T72" s="134">
        <v>196</v>
      </c>
      <c r="U72" s="118" t="s">
        <v>96</v>
      </c>
      <c r="V72" s="118" t="s">
        <v>96</v>
      </c>
      <c r="W72" s="118">
        <v>100</v>
      </c>
      <c r="X72" s="118" t="s">
        <v>96</v>
      </c>
      <c r="Y72" s="21">
        <v>100</v>
      </c>
      <c r="Z72" s="21" t="s">
        <v>96</v>
      </c>
    </row>
    <row r="73" spans="1:26" x14ac:dyDescent="0.25">
      <c r="A73" s="9" t="s">
        <v>58</v>
      </c>
      <c r="B73" s="118">
        <v>240</v>
      </c>
      <c r="C73" s="118">
        <v>240</v>
      </c>
      <c r="D73" s="118">
        <v>87</v>
      </c>
      <c r="E73" s="118">
        <v>55</v>
      </c>
      <c r="F73" s="118">
        <v>350</v>
      </c>
      <c r="G73" s="118">
        <v>30</v>
      </c>
      <c r="H73" s="118">
        <v>167</v>
      </c>
      <c r="I73" s="118">
        <v>60</v>
      </c>
      <c r="J73" s="118">
        <v>102</v>
      </c>
      <c r="K73" s="66">
        <v>42</v>
      </c>
      <c r="L73" s="118">
        <v>93</v>
      </c>
      <c r="M73" s="21">
        <v>390</v>
      </c>
      <c r="N73" s="118" t="s">
        <v>96</v>
      </c>
      <c r="O73" s="118" t="s">
        <v>96</v>
      </c>
      <c r="P73" s="118" t="s">
        <v>96</v>
      </c>
      <c r="Q73" s="118">
        <v>36</v>
      </c>
      <c r="R73" s="118">
        <v>101</v>
      </c>
      <c r="S73" s="118">
        <v>42</v>
      </c>
      <c r="T73" s="134" t="s">
        <v>96</v>
      </c>
      <c r="U73" s="118" t="s">
        <v>96</v>
      </c>
      <c r="V73" s="118" t="s">
        <v>96</v>
      </c>
      <c r="W73" s="118" t="s">
        <v>96</v>
      </c>
      <c r="X73" s="118">
        <v>400</v>
      </c>
      <c r="Y73" s="21" t="s">
        <v>96</v>
      </c>
      <c r="Z73" s="21">
        <v>653</v>
      </c>
    </row>
    <row r="74" spans="1:26" x14ac:dyDescent="0.25">
      <c r="A74" s="9" t="s">
        <v>59</v>
      </c>
      <c r="B74" s="118">
        <v>320</v>
      </c>
      <c r="C74" s="118" t="s">
        <v>96</v>
      </c>
      <c r="D74" s="118">
        <v>100</v>
      </c>
      <c r="E74" s="118" t="s">
        <v>96</v>
      </c>
      <c r="F74" s="118" t="s">
        <v>96</v>
      </c>
      <c r="G74" s="118" t="s">
        <v>96</v>
      </c>
      <c r="H74" s="118">
        <v>26</v>
      </c>
      <c r="I74" s="118" t="s">
        <v>96</v>
      </c>
      <c r="J74" s="118" t="s">
        <v>96</v>
      </c>
      <c r="K74" s="66" t="s">
        <v>96</v>
      </c>
      <c r="L74" s="118" t="s">
        <v>96</v>
      </c>
      <c r="M74" s="21" t="s">
        <v>96</v>
      </c>
      <c r="N74" s="118" t="s">
        <v>96</v>
      </c>
      <c r="O74" s="118">
        <v>27</v>
      </c>
      <c r="P74" s="118" t="s">
        <v>96</v>
      </c>
      <c r="Q74" s="118" t="s">
        <v>96</v>
      </c>
      <c r="R74" s="118" t="s">
        <v>96</v>
      </c>
      <c r="S74" s="118">
        <v>150</v>
      </c>
      <c r="T74" s="134">
        <v>96</v>
      </c>
      <c r="U74" s="118" t="s">
        <v>96</v>
      </c>
      <c r="V74" s="118" t="s">
        <v>96</v>
      </c>
      <c r="W74" s="118" t="s">
        <v>96</v>
      </c>
      <c r="X74" s="118" t="s">
        <v>96</v>
      </c>
      <c r="Y74" s="21" t="s">
        <v>96</v>
      </c>
      <c r="Z74" s="21" t="s">
        <v>96</v>
      </c>
    </row>
    <row r="75" spans="1:26" ht="18" x14ac:dyDescent="0.25">
      <c r="A75" s="8" t="s">
        <v>133</v>
      </c>
      <c r="B75" s="120">
        <v>1667</v>
      </c>
      <c r="C75" s="120">
        <v>1312</v>
      </c>
      <c r="D75" s="120">
        <v>791</v>
      </c>
      <c r="E75" s="120">
        <v>1160</v>
      </c>
      <c r="F75" s="120">
        <v>738</v>
      </c>
      <c r="G75" s="120">
        <v>882</v>
      </c>
      <c r="H75" s="120">
        <v>638</v>
      </c>
      <c r="I75" s="120">
        <v>1001</v>
      </c>
      <c r="J75" s="120">
        <v>1061</v>
      </c>
      <c r="K75" s="65">
        <v>401</v>
      </c>
      <c r="L75" s="120">
        <v>1224</v>
      </c>
      <c r="M75" s="22">
        <v>175</v>
      </c>
      <c r="N75" s="120">
        <v>477</v>
      </c>
      <c r="O75" s="120">
        <v>631</v>
      </c>
      <c r="P75" s="120">
        <v>279</v>
      </c>
      <c r="Q75" s="120">
        <v>224</v>
      </c>
      <c r="R75" s="120">
        <v>220</v>
      </c>
      <c r="S75" s="120">
        <v>53</v>
      </c>
      <c r="T75" s="134" t="s">
        <v>96</v>
      </c>
      <c r="U75" s="120">
        <v>235</v>
      </c>
      <c r="V75" s="120">
        <v>172</v>
      </c>
      <c r="W75" s="120">
        <v>997</v>
      </c>
      <c r="X75" s="120">
        <v>54</v>
      </c>
      <c r="Y75" s="22">
        <v>77</v>
      </c>
      <c r="Z75" s="22">
        <v>1020</v>
      </c>
    </row>
    <row r="76" spans="1:26" x14ac:dyDescent="0.25">
      <c r="A76" s="9" t="s">
        <v>60</v>
      </c>
      <c r="B76" s="118">
        <v>40</v>
      </c>
      <c r="C76" s="118">
        <v>21</v>
      </c>
      <c r="D76" s="118">
        <v>28</v>
      </c>
      <c r="E76" s="118">
        <v>51</v>
      </c>
      <c r="F76" s="118">
        <v>29</v>
      </c>
      <c r="G76" s="118" t="s">
        <v>96</v>
      </c>
      <c r="H76" s="118" t="s">
        <v>96</v>
      </c>
      <c r="I76" s="118">
        <v>65</v>
      </c>
      <c r="J76" s="118" t="s">
        <v>96</v>
      </c>
      <c r="K76" s="66" t="s">
        <v>96</v>
      </c>
      <c r="L76" s="118">
        <v>180</v>
      </c>
      <c r="M76" s="21" t="s">
        <v>96</v>
      </c>
      <c r="N76" s="118">
        <v>130</v>
      </c>
      <c r="O76" s="118">
        <v>120</v>
      </c>
      <c r="P76" s="118" t="s">
        <v>96</v>
      </c>
      <c r="Q76" s="118" t="s">
        <v>96</v>
      </c>
      <c r="R76" s="118" t="s">
        <v>96</v>
      </c>
      <c r="S76" s="118" t="s">
        <v>96</v>
      </c>
      <c r="T76" s="134" t="s">
        <v>96</v>
      </c>
      <c r="U76" s="118" t="s">
        <v>96</v>
      </c>
      <c r="V76" s="118" t="s">
        <v>96</v>
      </c>
      <c r="W76" s="118" t="s">
        <v>96</v>
      </c>
      <c r="X76" s="118" t="s">
        <v>96</v>
      </c>
      <c r="Y76" s="21" t="s">
        <v>96</v>
      </c>
      <c r="Z76" s="21">
        <v>155</v>
      </c>
    </row>
    <row r="77" spans="1:26" x14ac:dyDescent="0.25">
      <c r="A77" s="9" t="s">
        <v>61</v>
      </c>
      <c r="B77" s="118">
        <v>232</v>
      </c>
      <c r="C77" s="118">
        <v>76</v>
      </c>
      <c r="D77" s="118">
        <v>120</v>
      </c>
      <c r="E77" s="118">
        <v>300</v>
      </c>
      <c r="F77" s="118">
        <v>44</v>
      </c>
      <c r="G77" s="118">
        <v>62</v>
      </c>
      <c r="H77" s="118">
        <v>20</v>
      </c>
      <c r="I77" s="118">
        <v>418</v>
      </c>
      <c r="J77" s="118">
        <v>287</v>
      </c>
      <c r="K77" s="66">
        <v>187</v>
      </c>
      <c r="L77" s="118">
        <v>382</v>
      </c>
      <c r="M77" s="21">
        <v>70</v>
      </c>
      <c r="N77" s="118">
        <v>37</v>
      </c>
      <c r="O77" s="118">
        <v>80</v>
      </c>
      <c r="P77" s="118">
        <v>194</v>
      </c>
      <c r="Q77" s="118">
        <v>54</v>
      </c>
      <c r="R77" s="118" t="s">
        <v>96</v>
      </c>
      <c r="S77" s="118">
        <v>14</v>
      </c>
      <c r="T77" s="134" t="s">
        <v>96</v>
      </c>
      <c r="U77" s="118" t="s">
        <v>96</v>
      </c>
      <c r="V77" s="118">
        <v>92</v>
      </c>
      <c r="W77" s="118" t="s">
        <v>96</v>
      </c>
      <c r="X77" s="118" t="s">
        <v>96</v>
      </c>
      <c r="Y77" s="21">
        <v>18</v>
      </c>
      <c r="Z77" s="21" t="s">
        <v>96</v>
      </c>
    </row>
    <row r="78" spans="1:26" x14ac:dyDescent="0.25">
      <c r="A78" s="9" t="s">
        <v>62</v>
      </c>
      <c r="B78" s="118">
        <v>868</v>
      </c>
      <c r="C78" s="118">
        <v>894</v>
      </c>
      <c r="D78" s="118">
        <v>430</v>
      </c>
      <c r="E78" s="118">
        <v>329</v>
      </c>
      <c r="F78" s="118">
        <v>505</v>
      </c>
      <c r="G78" s="118">
        <v>800</v>
      </c>
      <c r="H78" s="118">
        <v>416</v>
      </c>
      <c r="I78" s="118">
        <v>368</v>
      </c>
      <c r="J78" s="118">
        <v>352</v>
      </c>
      <c r="K78" s="66">
        <v>214</v>
      </c>
      <c r="L78" s="118">
        <v>225</v>
      </c>
      <c r="M78" s="21">
        <v>105</v>
      </c>
      <c r="N78" s="118">
        <v>295</v>
      </c>
      <c r="O78" s="118">
        <v>407</v>
      </c>
      <c r="P78" s="118">
        <v>55</v>
      </c>
      <c r="Q78" s="118">
        <v>162</v>
      </c>
      <c r="R78" s="118">
        <v>90</v>
      </c>
      <c r="S78" s="118">
        <v>39</v>
      </c>
      <c r="T78" s="134" t="s">
        <v>96</v>
      </c>
      <c r="U78" s="118">
        <v>110</v>
      </c>
      <c r="V78" s="118">
        <v>80</v>
      </c>
      <c r="W78" s="118">
        <v>997</v>
      </c>
      <c r="X78" s="118">
        <v>54</v>
      </c>
      <c r="Y78" s="21">
        <v>59</v>
      </c>
      <c r="Z78" s="21">
        <v>865</v>
      </c>
    </row>
    <row r="79" spans="1:26" x14ac:dyDescent="0.25">
      <c r="A79" s="4" t="s">
        <v>63</v>
      </c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21"/>
      <c r="N79" s="118"/>
      <c r="O79" s="118"/>
      <c r="P79" s="118"/>
      <c r="Q79" s="118"/>
      <c r="R79" s="118"/>
      <c r="S79" s="118"/>
      <c r="T79" s="134"/>
      <c r="U79" s="118"/>
      <c r="V79" s="118"/>
      <c r="W79" s="118"/>
      <c r="X79" s="118"/>
      <c r="Y79" s="21"/>
      <c r="Z79" s="21"/>
    </row>
    <row r="80" spans="1:26" ht="29.25" x14ac:dyDescent="0.25">
      <c r="A80" s="14" t="s">
        <v>88</v>
      </c>
      <c r="B80" s="118">
        <v>545</v>
      </c>
      <c r="C80" s="118">
        <v>390</v>
      </c>
      <c r="D80" s="118">
        <v>387</v>
      </c>
      <c r="E80" s="118">
        <v>209</v>
      </c>
      <c r="F80" s="118">
        <v>265</v>
      </c>
      <c r="G80" s="118">
        <v>480</v>
      </c>
      <c r="H80" s="118">
        <v>106</v>
      </c>
      <c r="I80" s="118">
        <v>350</v>
      </c>
      <c r="J80" s="118">
        <v>285</v>
      </c>
      <c r="K80" s="66">
        <v>85</v>
      </c>
      <c r="L80" s="118">
        <v>130</v>
      </c>
      <c r="M80" s="21" t="s">
        <v>96</v>
      </c>
      <c r="N80" s="118">
        <v>270</v>
      </c>
      <c r="O80" s="118">
        <v>340</v>
      </c>
      <c r="P80" s="118" t="s">
        <v>96</v>
      </c>
      <c r="Q80" s="118" t="s">
        <v>96</v>
      </c>
      <c r="R80" s="118">
        <v>90</v>
      </c>
      <c r="S80" s="118">
        <v>15</v>
      </c>
      <c r="T80" s="134" t="s">
        <v>96</v>
      </c>
      <c r="U80" s="118">
        <v>25</v>
      </c>
      <c r="V80" s="118">
        <v>80</v>
      </c>
      <c r="W80" s="118">
        <v>665</v>
      </c>
      <c r="X80" s="118">
        <v>50</v>
      </c>
      <c r="Y80" s="21" t="s">
        <v>96</v>
      </c>
      <c r="Z80" s="21">
        <v>675</v>
      </c>
    </row>
    <row r="81" spans="1:26" ht="19.5" x14ac:dyDescent="0.25">
      <c r="A81" s="14" t="s">
        <v>64</v>
      </c>
      <c r="B81" s="118">
        <v>255</v>
      </c>
      <c r="C81" s="118">
        <v>90</v>
      </c>
      <c r="D81" s="118">
        <v>33</v>
      </c>
      <c r="E81" s="118">
        <v>20</v>
      </c>
      <c r="F81" s="118">
        <v>165</v>
      </c>
      <c r="G81" s="118">
        <v>320</v>
      </c>
      <c r="H81" s="118">
        <v>190</v>
      </c>
      <c r="I81" s="118" t="s">
        <v>96</v>
      </c>
      <c r="J81" s="118">
        <v>67</v>
      </c>
      <c r="K81" s="66">
        <v>94</v>
      </c>
      <c r="L81" s="118" t="s">
        <v>96</v>
      </c>
      <c r="M81" s="21">
        <v>40</v>
      </c>
      <c r="N81" s="118">
        <v>25</v>
      </c>
      <c r="O81" s="118">
        <v>67</v>
      </c>
      <c r="P81" s="118">
        <v>55</v>
      </c>
      <c r="Q81" s="118">
        <v>162</v>
      </c>
      <c r="R81" s="118" t="s">
        <v>96</v>
      </c>
      <c r="S81" s="118">
        <v>24</v>
      </c>
      <c r="T81" s="134" t="s">
        <v>96</v>
      </c>
      <c r="U81" s="118" t="s">
        <v>96</v>
      </c>
      <c r="V81" s="118" t="s">
        <v>96</v>
      </c>
      <c r="W81" s="118">
        <v>327</v>
      </c>
      <c r="X81" s="118">
        <v>4</v>
      </c>
      <c r="Y81" s="21">
        <v>59</v>
      </c>
      <c r="Z81" s="21">
        <v>190</v>
      </c>
    </row>
    <row r="82" spans="1:26" ht="19.5" x14ac:dyDescent="0.25">
      <c r="A82" s="14" t="s">
        <v>87</v>
      </c>
      <c r="B82" s="118">
        <v>68</v>
      </c>
      <c r="C82" s="118">
        <v>414</v>
      </c>
      <c r="D82" s="118">
        <v>10</v>
      </c>
      <c r="E82" s="118">
        <v>100</v>
      </c>
      <c r="F82" s="118">
        <v>75</v>
      </c>
      <c r="G82" s="118" t="s">
        <v>96</v>
      </c>
      <c r="H82" s="118">
        <v>120</v>
      </c>
      <c r="I82" s="118">
        <v>18</v>
      </c>
      <c r="J82" s="118" t="s">
        <v>96</v>
      </c>
      <c r="K82" s="118">
        <v>35</v>
      </c>
      <c r="L82" s="118">
        <v>95</v>
      </c>
      <c r="M82" s="21">
        <v>65</v>
      </c>
      <c r="N82" s="118" t="s">
        <v>96</v>
      </c>
      <c r="O82" s="118" t="s">
        <v>96</v>
      </c>
      <c r="P82" s="118" t="s">
        <v>96</v>
      </c>
      <c r="Q82" s="118" t="s">
        <v>96</v>
      </c>
      <c r="R82" s="118" t="s">
        <v>96</v>
      </c>
      <c r="S82" s="118" t="s">
        <v>96</v>
      </c>
      <c r="T82" s="134" t="s">
        <v>96</v>
      </c>
      <c r="U82" s="118">
        <v>85</v>
      </c>
      <c r="V82" s="118" t="s">
        <v>96</v>
      </c>
      <c r="W82" s="118">
        <v>5</v>
      </c>
      <c r="X82" s="118" t="s">
        <v>96</v>
      </c>
      <c r="Y82" s="21" t="s">
        <v>96</v>
      </c>
      <c r="Z82" s="21" t="s">
        <v>96</v>
      </c>
    </row>
    <row r="83" spans="1:26" x14ac:dyDescent="0.25">
      <c r="A83" s="9" t="s">
        <v>65</v>
      </c>
      <c r="B83" s="118">
        <v>527</v>
      </c>
      <c r="C83" s="118">
        <v>321</v>
      </c>
      <c r="D83" s="118">
        <v>213</v>
      </c>
      <c r="E83" s="118">
        <v>480</v>
      </c>
      <c r="F83" s="118">
        <v>160</v>
      </c>
      <c r="G83" s="118">
        <v>20</v>
      </c>
      <c r="H83" s="118">
        <v>202</v>
      </c>
      <c r="I83" s="118">
        <v>150</v>
      </c>
      <c r="J83" s="118">
        <v>422</v>
      </c>
      <c r="K83" s="118" t="s">
        <v>96</v>
      </c>
      <c r="L83" s="118">
        <v>437</v>
      </c>
      <c r="M83" s="21" t="s">
        <v>96</v>
      </c>
      <c r="N83" s="118">
        <v>15</v>
      </c>
      <c r="O83" s="118">
        <v>24</v>
      </c>
      <c r="P83" s="118">
        <v>30</v>
      </c>
      <c r="Q83" s="118">
        <v>8</v>
      </c>
      <c r="R83" s="118">
        <v>130</v>
      </c>
      <c r="S83" s="118" t="s">
        <v>96</v>
      </c>
      <c r="T83" s="134" t="s">
        <v>96</v>
      </c>
      <c r="U83" s="118">
        <v>125</v>
      </c>
      <c r="V83" s="118" t="s">
        <v>96</v>
      </c>
      <c r="W83" s="118" t="s">
        <v>96</v>
      </c>
      <c r="X83" s="118" t="s">
        <v>96</v>
      </c>
      <c r="Y83" s="21" t="s">
        <v>96</v>
      </c>
      <c r="Z83" s="21" t="s">
        <v>96</v>
      </c>
    </row>
    <row r="84" spans="1:26" ht="18" x14ac:dyDescent="0.25">
      <c r="A84" s="8" t="s">
        <v>103</v>
      </c>
      <c r="B84" s="120">
        <v>1776</v>
      </c>
      <c r="C84" s="120">
        <v>493</v>
      </c>
      <c r="D84" s="120">
        <v>853</v>
      </c>
      <c r="E84" s="120">
        <v>943</v>
      </c>
      <c r="F84" s="120">
        <v>1106</v>
      </c>
      <c r="G84" s="120">
        <v>1314</v>
      </c>
      <c r="H84" s="120">
        <v>968</v>
      </c>
      <c r="I84" s="120">
        <v>1413</v>
      </c>
      <c r="J84" s="120">
        <v>1463</v>
      </c>
      <c r="K84" s="65">
        <v>319</v>
      </c>
      <c r="L84" s="120">
        <v>1374</v>
      </c>
      <c r="M84" s="22">
        <v>804</v>
      </c>
      <c r="N84" s="120">
        <v>942</v>
      </c>
      <c r="O84" s="120">
        <v>860</v>
      </c>
      <c r="P84" s="120">
        <v>439</v>
      </c>
      <c r="Q84" s="120">
        <v>316</v>
      </c>
      <c r="R84" s="120">
        <v>1260</v>
      </c>
      <c r="S84" s="120">
        <v>43</v>
      </c>
      <c r="T84" s="133">
        <v>440</v>
      </c>
      <c r="U84" s="120">
        <v>459</v>
      </c>
      <c r="V84" s="120">
        <v>271</v>
      </c>
      <c r="W84" s="120">
        <v>131</v>
      </c>
      <c r="X84" s="120">
        <v>638</v>
      </c>
      <c r="Y84" s="22">
        <v>250</v>
      </c>
      <c r="Z84" s="22">
        <v>504</v>
      </c>
    </row>
    <row r="85" spans="1:26" x14ac:dyDescent="0.25">
      <c r="A85" s="9" t="s">
        <v>66</v>
      </c>
      <c r="B85" s="118" t="s">
        <v>96</v>
      </c>
      <c r="C85" s="118" t="s">
        <v>96</v>
      </c>
      <c r="D85" s="118" t="s">
        <v>96</v>
      </c>
      <c r="E85" s="118" t="s">
        <v>96</v>
      </c>
      <c r="F85" s="118" t="s">
        <v>96</v>
      </c>
      <c r="G85" s="118">
        <v>26</v>
      </c>
      <c r="H85" s="118" t="s">
        <v>96</v>
      </c>
      <c r="I85" s="118" t="s">
        <v>96</v>
      </c>
      <c r="J85" s="118">
        <v>142</v>
      </c>
      <c r="K85" s="66" t="s">
        <v>96</v>
      </c>
      <c r="L85" s="118">
        <v>156</v>
      </c>
      <c r="M85" s="21">
        <v>68</v>
      </c>
      <c r="N85" s="118" t="s">
        <v>96</v>
      </c>
      <c r="O85" s="118" t="s">
        <v>96</v>
      </c>
      <c r="P85" s="118">
        <v>70</v>
      </c>
      <c r="Q85" s="118">
        <v>30</v>
      </c>
      <c r="R85" s="118">
        <v>90</v>
      </c>
      <c r="S85" s="118" t="s">
        <v>96</v>
      </c>
      <c r="T85" s="134" t="s">
        <v>96</v>
      </c>
      <c r="U85" s="118">
        <v>30</v>
      </c>
      <c r="V85" s="118">
        <v>14</v>
      </c>
      <c r="W85" s="118">
        <v>20</v>
      </c>
      <c r="X85" s="118" t="s">
        <v>96</v>
      </c>
      <c r="Y85" s="21" t="s">
        <v>96</v>
      </c>
      <c r="Z85" s="21" t="s">
        <v>96</v>
      </c>
    </row>
    <row r="86" spans="1:26" x14ac:dyDescent="0.25">
      <c r="A86" s="9" t="s">
        <v>68</v>
      </c>
      <c r="B86" s="118">
        <v>135</v>
      </c>
      <c r="C86" s="118">
        <v>38</v>
      </c>
      <c r="D86" s="118" t="s">
        <v>96</v>
      </c>
      <c r="E86" s="118">
        <v>120</v>
      </c>
      <c r="F86" s="118">
        <v>40</v>
      </c>
      <c r="G86" s="118" t="s">
        <v>96</v>
      </c>
      <c r="H86" s="118" t="s">
        <v>96</v>
      </c>
      <c r="I86" s="118" t="s">
        <v>96</v>
      </c>
      <c r="J86" s="118">
        <v>120</v>
      </c>
      <c r="K86" s="118" t="s">
        <v>96</v>
      </c>
      <c r="L86" s="118">
        <v>30</v>
      </c>
      <c r="M86" s="21">
        <v>9</v>
      </c>
      <c r="N86" s="118" t="s">
        <v>96</v>
      </c>
      <c r="O86" s="118" t="s">
        <v>96</v>
      </c>
      <c r="P86" s="118" t="s">
        <v>96</v>
      </c>
      <c r="Q86" s="118" t="s">
        <v>96</v>
      </c>
      <c r="R86" s="118" t="s">
        <v>96</v>
      </c>
      <c r="S86" s="118" t="s">
        <v>96</v>
      </c>
      <c r="T86" s="190" t="s">
        <v>96</v>
      </c>
      <c r="U86" s="118" t="s">
        <v>96</v>
      </c>
      <c r="V86" s="118" t="s">
        <v>96</v>
      </c>
      <c r="W86" s="118" t="s">
        <v>96</v>
      </c>
      <c r="X86" s="118" t="s">
        <v>96</v>
      </c>
      <c r="Y86" s="21" t="s">
        <v>96</v>
      </c>
      <c r="Z86" s="21" t="s">
        <v>96</v>
      </c>
    </row>
    <row r="87" spans="1:26" x14ac:dyDescent="0.25">
      <c r="A87" s="9" t="s">
        <v>69</v>
      </c>
      <c r="B87" s="118" t="s">
        <v>96</v>
      </c>
      <c r="C87" s="118" t="s">
        <v>96</v>
      </c>
      <c r="D87" s="118" t="s">
        <v>96</v>
      </c>
      <c r="E87" s="118" t="s">
        <v>96</v>
      </c>
      <c r="F87" s="118" t="s">
        <v>96</v>
      </c>
      <c r="G87" s="118">
        <v>59</v>
      </c>
      <c r="H87" s="118" t="s">
        <v>96</v>
      </c>
      <c r="I87" s="118">
        <v>515</v>
      </c>
      <c r="J87" s="118" t="s">
        <v>96</v>
      </c>
      <c r="K87" s="118" t="s">
        <v>96</v>
      </c>
      <c r="L87" s="118">
        <v>150</v>
      </c>
      <c r="M87" s="21" t="s">
        <v>96</v>
      </c>
      <c r="N87" s="118" t="s">
        <v>96</v>
      </c>
      <c r="O87" s="118">
        <v>170</v>
      </c>
      <c r="P87" s="118" t="s">
        <v>96</v>
      </c>
      <c r="Q87" s="118" t="s">
        <v>96</v>
      </c>
      <c r="R87" s="118">
        <v>440</v>
      </c>
      <c r="S87" s="118" t="s">
        <v>96</v>
      </c>
      <c r="T87" s="134">
        <v>8</v>
      </c>
      <c r="U87" s="118" t="s">
        <v>96</v>
      </c>
      <c r="V87" s="118" t="s">
        <v>96</v>
      </c>
      <c r="W87" s="118" t="s">
        <v>96</v>
      </c>
      <c r="X87" s="118" t="s">
        <v>96</v>
      </c>
      <c r="Y87" s="21" t="s">
        <v>96</v>
      </c>
      <c r="Z87" s="21" t="s">
        <v>96</v>
      </c>
    </row>
    <row r="88" spans="1:26" x14ac:dyDescent="0.25">
      <c r="A88" s="9" t="s">
        <v>70</v>
      </c>
      <c r="B88" s="118">
        <v>157</v>
      </c>
      <c r="C88" s="118">
        <v>98</v>
      </c>
      <c r="D88" s="118">
        <v>426</v>
      </c>
      <c r="E88" s="118">
        <v>317</v>
      </c>
      <c r="F88" s="118">
        <v>30</v>
      </c>
      <c r="G88" s="118">
        <v>138</v>
      </c>
      <c r="H88" s="118">
        <v>25</v>
      </c>
      <c r="I88" s="118">
        <v>421</v>
      </c>
      <c r="J88" s="118">
        <v>420</v>
      </c>
      <c r="K88" s="118" t="s">
        <v>96</v>
      </c>
      <c r="L88" s="118" t="s">
        <v>96</v>
      </c>
      <c r="M88" s="21">
        <v>120</v>
      </c>
      <c r="N88" s="118">
        <v>165</v>
      </c>
      <c r="O88" s="118">
        <v>134</v>
      </c>
      <c r="P88" s="118">
        <v>147</v>
      </c>
      <c r="Q88" s="118" t="s">
        <v>96</v>
      </c>
      <c r="R88" s="118">
        <v>512</v>
      </c>
      <c r="S88" s="118" t="s">
        <v>96</v>
      </c>
      <c r="T88" s="134" t="s">
        <v>96</v>
      </c>
      <c r="U88" s="118" t="s">
        <v>96</v>
      </c>
      <c r="V88" s="118" t="s">
        <v>96</v>
      </c>
      <c r="W88" s="118" t="s">
        <v>96</v>
      </c>
      <c r="X88" s="118" t="s">
        <v>96</v>
      </c>
      <c r="Y88" s="21">
        <v>12</v>
      </c>
      <c r="Z88" s="21" t="s">
        <v>96</v>
      </c>
    </row>
    <row r="89" spans="1:26" x14ac:dyDescent="0.25">
      <c r="A89" s="9" t="s">
        <v>72</v>
      </c>
      <c r="B89" s="118">
        <v>106</v>
      </c>
      <c r="C89" s="118">
        <v>250</v>
      </c>
      <c r="D89" s="118">
        <v>49</v>
      </c>
      <c r="E89" s="118">
        <v>20</v>
      </c>
      <c r="F89" s="118">
        <v>466</v>
      </c>
      <c r="G89" s="118">
        <v>20</v>
      </c>
      <c r="H89" s="118">
        <v>340</v>
      </c>
      <c r="I89" s="118">
        <v>150</v>
      </c>
      <c r="J89" s="118">
        <v>441</v>
      </c>
      <c r="K89" s="66">
        <v>72</v>
      </c>
      <c r="L89" s="118">
        <v>526</v>
      </c>
      <c r="M89" s="21">
        <v>308</v>
      </c>
      <c r="N89" s="118">
        <v>64</v>
      </c>
      <c r="O89" s="118">
        <v>236</v>
      </c>
      <c r="P89" s="118" t="s">
        <v>96</v>
      </c>
      <c r="Q89" s="118" t="s">
        <v>96</v>
      </c>
      <c r="R89" s="118">
        <v>120</v>
      </c>
      <c r="S89" s="118">
        <v>33</v>
      </c>
      <c r="T89" s="134">
        <v>277</v>
      </c>
      <c r="U89" s="118">
        <v>429</v>
      </c>
      <c r="V89" s="118" t="s">
        <v>96</v>
      </c>
      <c r="W89" s="118">
        <v>12</v>
      </c>
      <c r="X89" s="118">
        <v>444</v>
      </c>
      <c r="Y89" s="21">
        <v>107</v>
      </c>
      <c r="Z89" s="21" t="s">
        <v>96</v>
      </c>
    </row>
    <row r="90" spans="1:26" x14ac:dyDescent="0.25">
      <c r="A90" s="9" t="s">
        <v>73</v>
      </c>
      <c r="B90" s="118">
        <v>448</v>
      </c>
      <c r="C90" s="118" t="s">
        <v>96</v>
      </c>
      <c r="D90" s="118" t="s">
        <v>96</v>
      </c>
      <c r="E90" s="118">
        <v>155</v>
      </c>
      <c r="F90" s="118" t="s">
        <v>96</v>
      </c>
      <c r="G90" s="118">
        <v>133</v>
      </c>
      <c r="H90" s="118">
        <v>68</v>
      </c>
      <c r="I90" s="118" t="s">
        <v>96</v>
      </c>
      <c r="J90" s="118" t="s">
        <v>96</v>
      </c>
      <c r="K90" s="118" t="s">
        <v>96</v>
      </c>
      <c r="L90" s="118">
        <v>315</v>
      </c>
      <c r="M90" s="21">
        <v>100</v>
      </c>
      <c r="N90" s="118">
        <v>360</v>
      </c>
      <c r="O90" s="118">
        <v>77</v>
      </c>
      <c r="P90" s="118">
        <v>50</v>
      </c>
      <c r="Q90" s="118">
        <v>225</v>
      </c>
      <c r="R90" s="118" t="s">
        <v>96</v>
      </c>
      <c r="S90" s="118" t="s">
        <v>96</v>
      </c>
      <c r="T90" s="134">
        <v>155</v>
      </c>
      <c r="U90" s="118" t="s">
        <v>96</v>
      </c>
      <c r="V90" s="118">
        <v>28</v>
      </c>
      <c r="W90" s="118" t="s">
        <v>96</v>
      </c>
      <c r="X90" s="118" t="s">
        <v>96</v>
      </c>
      <c r="Y90" s="21">
        <v>11</v>
      </c>
      <c r="Z90" s="21" t="s">
        <v>96</v>
      </c>
    </row>
    <row r="91" spans="1:26" x14ac:dyDescent="0.25">
      <c r="A91" s="9" t="s">
        <v>74</v>
      </c>
      <c r="B91" s="118">
        <v>285</v>
      </c>
      <c r="C91" s="118">
        <v>47</v>
      </c>
      <c r="D91" s="118">
        <v>40</v>
      </c>
      <c r="E91" s="118">
        <v>70</v>
      </c>
      <c r="F91" s="118">
        <v>145</v>
      </c>
      <c r="G91" s="118">
        <v>232</v>
      </c>
      <c r="H91" s="118">
        <v>265</v>
      </c>
      <c r="I91" s="118">
        <v>60</v>
      </c>
      <c r="J91" s="118" t="s">
        <v>96</v>
      </c>
      <c r="K91" s="66">
        <v>85</v>
      </c>
      <c r="L91" s="118">
        <v>186</v>
      </c>
      <c r="M91" s="21" t="s">
        <v>96</v>
      </c>
      <c r="N91" s="118">
        <v>44</v>
      </c>
      <c r="O91" s="118" t="s">
        <v>96</v>
      </c>
      <c r="P91" s="118">
        <v>27</v>
      </c>
      <c r="Q91" s="118" t="s">
        <v>96</v>
      </c>
      <c r="R91" s="118">
        <v>96</v>
      </c>
      <c r="S91" s="118" t="s">
        <v>96</v>
      </c>
      <c r="T91" s="134" t="s">
        <v>96</v>
      </c>
      <c r="U91" s="118" t="s">
        <v>96</v>
      </c>
      <c r="V91" s="118" t="s">
        <v>96</v>
      </c>
      <c r="W91" s="118">
        <v>99</v>
      </c>
      <c r="X91" s="118">
        <v>186</v>
      </c>
      <c r="Y91" s="21" t="s">
        <v>96</v>
      </c>
      <c r="Z91" s="21" t="s">
        <v>96</v>
      </c>
    </row>
    <row r="92" spans="1:26" x14ac:dyDescent="0.25">
      <c r="A92" s="9" t="s">
        <v>75</v>
      </c>
      <c r="B92" s="118">
        <v>525</v>
      </c>
      <c r="C92" s="118">
        <v>60</v>
      </c>
      <c r="D92" s="118">
        <v>176</v>
      </c>
      <c r="E92" s="118">
        <v>137</v>
      </c>
      <c r="F92" s="118">
        <v>10</v>
      </c>
      <c r="G92" s="118">
        <v>560</v>
      </c>
      <c r="H92" s="118">
        <v>25</v>
      </c>
      <c r="I92" s="118">
        <v>200</v>
      </c>
      <c r="J92" s="118">
        <v>173</v>
      </c>
      <c r="K92" s="66">
        <v>87</v>
      </c>
      <c r="L92" s="118">
        <v>11</v>
      </c>
      <c r="M92" s="21">
        <v>8</v>
      </c>
      <c r="N92" s="118">
        <v>249</v>
      </c>
      <c r="O92" s="118">
        <v>225</v>
      </c>
      <c r="P92" s="118">
        <v>126</v>
      </c>
      <c r="Q92" s="118" t="s">
        <v>96</v>
      </c>
      <c r="R92" s="118" t="s">
        <v>96</v>
      </c>
      <c r="S92" s="118">
        <v>10</v>
      </c>
      <c r="T92" s="134" t="s">
        <v>96</v>
      </c>
      <c r="U92" s="118" t="s">
        <v>96</v>
      </c>
      <c r="V92" s="118">
        <v>229</v>
      </c>
      <c r="W92" s="118" t="s">
        <v>96</v>
      </c>
      <c r="X92" s="118">
        <v>8</v>
      </c>
      <c r="Y92" s="21" t="s">
        <v>96</v>
      </c>
      <c r="Z92" s="21">
        <v>504</v>
      </c>
    </row>
    <row r="93" spans="1:26" x14ac:dyDescent="0.25">
      <c r="A93" s="9" t="s">
        <v>76</v>
      </c>
      <c r="B93" s="118">
        <v>120</v>
      </c>
      <c r="C93" s="118" t="s">
        <v>96</v>
      </c>
      <c r="D93" s="118">
        <v>100</v>
      </c>
      <c r="E93" s="118" t="s">
        <v>96</v>
      </c>
      <c r="F93" s="118">
        <v>290</v>
      </c>
      <c r="G93" s="118">
        <v>76</v>
      </c>
      <c r="H93" s="118">
        <v>90</v>
      </c>
      <c r="I93" s="118">
        <v>42</v>
      </c>
      <c r="J93" s="118">
        <v>167</v>
      </c>
      <c r="K93" s="118" t="s">
        <v>96</v>
      </c>
      <c r="L93" s="118" t="s">
        <v>96</v>
      </c>
      <c r="M93" s="21">
        <v>81</v>
      </c>
      <c r="N93" s="118">
        <v>40</v>
      </c>
      <c r="O93" s="118" t="s">
        <v>96</v>
      </c>
      <c r="P93" s="118" t="s">
        <v>96</v>
      </c>
      <c r="Q93" s="118">
        <v>10</v>
      </c>
      <c r="R93" s="118" t="s">
        <v>96</v>
      </c>
      <c r="S93" s="118" t="s">
        <v>96</v>
      </c>
      <c r="T93" s="134" t="s">
        <v>96</v>
      </c>
      <c r="U93" s="118" t="s">
        <v>96</v>
      </c>
      <c r="V93" s="118" t="s">
        <v>96</v>
      </c>
      <c r="W93" s="118" t="s">
        <v>96</v>
      </c>
      <c r="X93" s="118" t="s">
        <v>96</v>
      </c>
      <c r="Y93" s="21" t="s">
        <v>96</v>
      </c>
      <c r="Z93" s="21" t="s">
        <v>96</v>
      </c>
    </row>
    <row r="94" spans="1:26" x14ac:dyDescent="0.25">
      <c r="A94" s="9" t="s">
        <v>77</v>
      </c>
      <c r="B94" s="118" t="s">
        <v>96</v>
      </c>
      <c r="C94" s="118" t="s">
        <v>96</v>
      </c>
      <c r="D94" s="118">
        <v>62</v>
      </c>
      <c r="E94" s="118">
        <v>124</v>
      </c>
      <c r="F94" s="118">
        <v>125</v>
      </c>
      <c r="G94" s="118">
        <v>70</v>
      </c>
      <c r="H94" s="118">
        <v>155</v>
      </c>
      <c r="I94" s="118">
        <v>25</v>
      </c>
      <c r="J94" s="118" t="s">
        <v>96</v>
      </c>
      <c r="K94" s="66">
        <v>75</v>
      </c>
      <c r="L94" s="118" t="s">
        <v>96</v>
      </c>
      <c r="M94" s="21">
        <v>110</v>
      </c>
      <c r="N94" s="118">
        <v>20</v>
      </c>
      <c r="O94" s="118">
        <v>18</v>
      </c>
      <c r="P94" s="118">
        <v>19</v>
      </c>
      <c r="Q94" s="118">
        <v>51</v>
      </c>
      <c r="R94" s="118">
        <v>2</v>
      </c>
      <c r="S94" s="118" t="s">
        <v>96</v>
      </c>
      <c r="T94" s="134" t="s">
        <v>96</v>
      </c>
      <c r="U94" s="118" t="s">
        <v>96</v>
      </c>
      <c r="V94" s="118" t="s">
        <v>96</v>
      </c>
      <c r="W94" s="118" t="s">
        <v>96</v>
      </c>
      <c r="X94" s="118" t="s">
        <v>96</v>
      </c>
      <c r="Y94" s="21">
        <v>120</v>
      </c>
      <c r="Z94" s="21" t="s">
        <v>96</v>
      </c>
    </row>
    <row r="95" spans="1:26" ht="18" x14ac:dyDescent="0.25">
      <c r="A95" s="8" t="s">
        <v>91</v>
      </c>
      <c r="B95" s="120">
        <v>477</v>
      </c>
      <c r="C95" s="120">
        <v>323</v>
      </c>
      <c r="D95" s="120">
        <v>418</v>
      </c>
      <c r="E95" s="120">
        <v>1507</v>
      </c>
      <c r="F95" s="120">
        <v>937</v>
      </c>
      <c r="G95" s="120">
        <v>439</v>
      </c>
      <c r="H95" s="120">
        <v>479</v>
      </c>
      <c r="I95" s="120">
        <v>843</v>
      </c>
      <c r="J95" s="120">
        <v>593</v>
      </c>
      <c r="K95" s="65">
        <v>570</v>
      </c>
      <c r="L95" s="120">
        <v>695</v>
      </c>
      <c r="M95" s="22">
        <v>508</v>
      </c>
      <c r="N95" s="120">
        <v>459</v>
      </c>
      <c r="O95" s="120">
        <v>621</v>
      </c>
      <c r="P95" s="120">
        <v>347</v>
      </c>
      <c r="Q95" s="120">
        <v>850</v>
      </c>
      <c r="R95" s="120">
        <v>253</v>
      </c>
      <c r="S95" s="120">
        <v>575</v>
      </c>
      <c r="T95" s="133">
        <v>265</v>
      </c>
      <c r="U95" s="120" t="s">
        <v>96</v>
      </c>
      <c r="V95" s="120">
        <v>67</v>
      </c>
      <c r="W95" s="120">
        <v>39</v>
      </c>
      <c r="X95" s="120">
        <v>373</v>
      </c>
      <c r="Y95" s="22">
        <v>145</v>
      </c>
      <c r="Z95" s="22">
        <v>308</v>
      </c>
    </row>
    <row r="96" spans="1:26" x14ac:dyDescent="0.25">
      <c r="A96" s="9" t="s">
        <v>67</v>
      </c>
      <c r="B96" s="118" t="s">
        <v>96</v>
      </c>
      <c r="C96" s="118">
        <v>50</v>
      </c>
      <c r="D96" s="118">
        <v>136</v>
      </c>
      <c r="E96" s="118">
        <v>50</v>
      </c>
      <c r="F96" s="118">
        <v>30</v>
      </c>
      <c r="G96" s="118" t="s">
        <v>96</v>
      </c>
      <c r="H96" s="118" t="s">
        <v>96</v>
      </c>
      <c r="I96" s="118">
        <v>60</v>
      </c>
      <c r="J96" s="118">
        <v>18</v>
      </c>
      <c r="K96" s="66">
        <v>210</v>
      </c>
      <c r="L96" s="118">
        <v>28</v>
      </c>
      <c r="M96" s="21">
        <v>115</v>
      </c>
      <c r="N96" s="118">
        <v>62</v>
      </c>
      <c r="O96" s="118" t="s">
        <v>96</v>
      </c>
      <c r="P96" s="118">
        <v>10</v>
      </c>
      <c r="Q96" s="118" t="s">
        <v>96</v>
      </c>
      <c r="R96" s="118" t="s">
        <v>96</v>
      </c>
      <c r="S96" s="118">
        <v>82</v>
      </c>
      <c r="T96" s="134">
        <v>120</v>
      </c>
      <c r="U96" s="118" t="s">
        <v>96</v>
      </c>
      <c r="V96" s="118" t="s">
        <v>96</v>
      </c>
      <c r="W96" s="118" t="s">
        <v>96</v>
      </c>
      <c r="X96" s="118">
        <v>150</v>
      </c>
      <c r="Y96" s="21" t="s">
        <v>96</v>
      </c>
      <c r="Z96" s="21" t="s">
        <v>96</v>
      </c>
    </row>
    <row r="97" spans="1:26" x14ac:dyDescent="0.25">
      <c r="A97" s="9" t="s">
        <v>78</v>
      </c>
      <c r="B97" s="118">
        <v>193</v>
      </c>
      <c r="C97" s="118">
        <v>101</v>
      </c>
      <c r="D97" s="118">
        <v>41</v>
      </c>
      <c r="E97" s="118">
        <v>752</v>
      </c>
      <c r="F97" s="118">
        <v>439</v>
      </c>
      <c r="G97" s="118">
        <v>306</v>
      </c>
      <c r="H97" s="118" t="s">
        <v>96</v>
      </c>
      <c r="I97" s="118">
        <v>232</v>
      </c>
      <c r="J97" s="118">
        <v>113</v>
      </c>
      <c r="K97" s="66">
        <v>180</v>
      </c>
      <c r="L97" s="118">
        <v>108</v>
      </c>
      <c r="M97" s="21">
        <v>40</v>
      </c>
      <c r="N97" s="118">
        <v>60</v>
      </c>
      <c r="O97" s="118">
        <v>252</v>
      </c>
      <c r="P97" s="118">
        <v>128</v>
      </c>
      <c r="Q97" s="118">
        <v>30</v>
      </c>
      <c r="R97" s="118">
        <v>53</v>
      </c>
      <c r="S97" s="118">
        <v>145</v>
      </c>
      <c r="T97" s="134">
        <v>30</v>
      </c>
      <c r="U97" s="118" t="s">
        <v>96</v>
      </c>
      <c r="V97" s="118">
        <v>30</v>
      </c>
      <c r="W97" s="118" t="s">
        <v>96</v>
      </c>
      <c r="X97" s="118">
        <v>223</v>
      </c>
      <c r="Y97" s="21" t="s">
        <v>96</v>
      </c>
      <c r="Z97" s="21">
        <v>278</v>
      </c>
    </row>
    <row r="98" spans="1:26" x14ac:dyDescent="0.25">
      <c r="A98" s="9" t="s">
        <v>71</v>
      </c>
      <c r="B98" s="118">
        <v>130</v>
      </c>
      <c r="C98" s="118">
        <v>65</v>
      </c>
      <c r="D98" s="118">
        <v>150</v>
      </c>
      <c r="E98" s="118">
        <v>319</v>
      </c>
      <c r="F98" s="118">
        <v>40</v>
      </c>
      <c r="G98" s="118">
        <v>40</v>
      </c>
      <c r="H98" s="118">
        <v>175</v>
      </c>
      <c r="I98" s="118">
        <v>140</v>
      </c>
      <c r="J98" s="118">
        <v>170</v>
      </c>
      <c r="K98" s="118" t="s">
        <v>96</v>
      </c>
      <c r="L98" s="118" t="s">
        <v>96</v>
      </c>
      <c r="M98" s="21">
        <v>130</v>
      </c>
      <c r="N98" s="118">
        <v>257</v>
      </c>
      <c r="O98" s="118">
        <v>245</v>
      </c>
      <c r="P98" s="118" t="s">
        <v>96</v>
      </c>
      <c r="Q98" s="118" t="s">
        <v>96</v>
      </c>
      <c r="R98" s="118" t="s">
        <v>96</v>
      </c>
      <c r="S98" s="118">
        <v>173</v>
      </c>
      <c r="T98" s="190" t="s">
        <v>96</v>
      </c>
      <c r="U98" s="118" t="s">
        <v>96</v>
      </c>
      <c r="V98" s="118" t="s">
        <v>96</v>
      </c>
      <c r="W98" s="118" t="s">
        <v>96</v>
      </c>
      <c r="X98" s="118" t="s">
        <v>96</v>
      </c>
      <c r="Y98" s="21" t="s">
        <v>96</v>
      </c>
      <c r="Z98" s="21" t="s">
        <v>96</v>
      </c>
    </row>
    <row r="99" spans="1:26" x14ac:dyDescent="0.25">
      <c r="A99" s="9" t="s">
        <v>79</v>
      </c>
      <c r="B99" s="118">
        <v>40</v>
      </c>
      <c r="C99" s="118" t="s">
        <v>96</v>
      </c>
      <c r="D99" s="118" t="s">
        <v>96</v>
      </c>
      <c r="E99" s="118" t="s">
        <v>96</v>
      </c>
      <c r="F99" s="118" t="s">
        <v>96</v>
      </c>
      <c r="G99" s="120" t="s">
        <v>96</v>
      </c>
      <c r="H99" s="118" t="s">
        <v>96</v>
      </c>
      <c r="I99" s="118">
        <v>105</v>
      </c>
      <c r="J99" s="118">
        <v>29</v>
      </c>
      <c r="K99" s="66" t="s">
        <v>96</v>
      </c>
      <c r="L99" s="120" t="s">
        <v>96</v>
      </c>
      <c r="M99" s="21" t="s">
        <v>96</v>
      </c>
      <c r="N99" s="120" t="s">
        <v>96</v>
      </c>
      <c r="O99" s="120" t="s">
        <v>96</v>
      </c>
      <c r="P99" s="120" t="s">
        <v>96</v>
      </c>
      <c r="Q99" s="120" t="s">
        <v>96</v>
      </c>
      <c r="R99" s="120" t="s">
        <v>96</v>
      </c>
      <c r="S99" s="118" t="s">
        <v>96</v>
      </c>
      <c r="T99" s="15" t="s">
        <v>96</v>
      </c>
      <c r="U99" s="118" t="s">
        <v>96</v>
      </c>
      <c r="V99" s="118" t="s">
        <v>96</v>
      </c>
      <c r="W99" s="118" t="s">
        <v>96</v>
      </c>
      <c r="X99" s="118" t="s">
        <v>96</v>
      </c>
      <c r="Y99" s="21" t="s">
        <v>96</v>
      </c>
      <c r="Z99" s="21" t="s">
        <v>96</v>
      </c>
    </row>
    <row r="100" spans="1:26" x14ac:dyDescent="0.25">
      <c r="A100" s="9" t="s">
        <v>80</v>
      </c>
      <c r="B100" s="118" t="s">
        <v>96</v>
      </c>
      <c r="C100" s="118" t="s">
        <v>96</v>
      </c>
      <c r="D100" s="118">
        <v>25</v>
      </c>
      <c r="E100" s="118">
        <v>40</v>
      </c>
      <c r="F100" s="118">
        <v>50</v>
      </c>
      <c r="G100" s="118" t="s">
        <v>96</v>
      </c>
      <c r="H100" s="118">
        <v>50</v>
      </c>
      <c r="I100" s="118" t="s">
        <v>96</v>
      </c>
      <c r="J100" s="118" t="s">
        <v>96</v>
      </c>
      <c r="K100" s="66">
        <v>40</v>
      </c>
      <c r="L100" s="118" t="s">
        <v>96</v>
      </c>
      <c r="M100" s="21">
        <v>81</v>
      </c>
      <c r="N100" s="118">
        <v>66</v>
      </c>
      <c r="O100" s="118" t="s">
        <v>96</v>
      </c>
      <c r="P100" s="118">
        <v>150</v>
      </c>
      <c r="Q100" s="118" t="s">
        <v>96</v>
      </c>
      <c r="R100" s="118" t="s">
        <v>96</v>
      </c>
      <c r="S100" s="118" t="s">
        <v>96</v>
      </c>
      <c r="T100" s="134">
        <v>40</v>
      </c>
      <c r="U100" s="118" t="s">
        <v>96</v>
      </c>
      <c r="V100" s="118" t="s">
        <v>96</v>
      </c>
      <c r="W100" s="118" t="s">
        <v>96</v>
      </c>
      <c r="X100" s="118" t="s">
        <v>96</v>
      </c>
      <c r="Y100" s="21" t="s">
        <v>96</v>
      </c>
      <c r="Z100" s="21" t="s">
        <v>96</v>
      </c>
    </row>
    <row r="101" spans="1:26" x14ac:dyDescent="0.25">
      <c r="A101" s="9" t="s">
        <v>130</v>
      </c>
      <c r="B101" s="118">
        <v>114</v>
      </c>
      <c r="C101" s="118">
        <v>50</v>
      </c>
      <c r="D101" s="118" t="s">
        <v>96</v>
      </c>
      <c r="E101" s="118">
        <v>97</v>
      </c>
      <c r="F101" s="118">
        <v>227</v>
      </c>
      <c r="G101" s="118">
        <v>93</v>
      </c>
      <c r="H101" s="118">
        <v>25</v>
      </c>
      <c r="I101" s="118">
        <v>296</v>
      </c>
      <c r="J101" s="118">
        <v>91</v>
      </c>
      <c r="K101" s="118" t="s">
        <v>96</v>
      </c>
      <c r="L101" s="118">
        <v>167</v>
      </c>
      <c r="M101" s="118" t="s">
        <v>96</v>
      </c>
      <c r="N101" s="118" t="s">
        <v>96</v>
      </c>
      <c r="O101" s="118">
        <v>77</v>
      </c>
      <c r="P101" s="118" t="s">
        <v>96</v>
      </c>
      <c r="Q101" s="118" t="s">
        <v>96</v>
      </c>
      <c r="R101" s="118" t="s">
        <v>96</v>
      </c>
      <c r="S101" s="118" t="s">
        <v>96</v>
      </c>
      <c r="T101" s="134" t="s">
        <v>96</v>
      </c>
      <c r="U101" s="118" t="s">
        <v>96</v>
      </c>
      <c r="V101" s="118" t="s">
        <v>96</v>
      </c>
      <c r="W101" s="120">
        <v>31</v>
      </c>
      <c r="X101" s="118" t="s">
        <v>96</v>
      </c>
      <c r="Y101" s="21">
        <v>130</v>
      </c>
      <c r="Z101" s="21" t="s">
        <v>96</v>
      </c>
    </row>
    <row r="102" spans="1:26" x14ac:dyDescent="0.25">
      <c r="A102" s="9" t="s">
        <v>82</v>
      </c>
      <c r="B102" s="118" t="s">
        <v>96</v>
      </c>
      <c r="C102" s="118">
        <v>37</v>
      </c>
      <c r="D102" s="118">
        <v>66</v>
      </c>
      <c r="E102" s="118">
        <v>165</v>
      </c>
      <c r="F102" s="118">
        <v>151</v>
      </c>
      <c r="G102" s="118" t="s">
        <v>96</v>
      </c>
      <c r="H102" s="118" t="s">
        <v>96</v>
      </c>
      <c r="I102" s="118" t="s">
        <v>96</v>
      </c>
      <c r="J102" s="118" t="s">
        <v>96</v>
      </c>
      <c r="K102" s="66">
        <v>45</v>
      </c>
      <c r="L102" s="118">
        <v>65</v>
      </c>
      <c r="M102" s="21">
        <v>130</v>
      </c>
      <c r="N102" s="118">
        <v>14</v>
      </c>
      <c r="O102" s="118">
        <v>20</v>
      </c>
      <c r="P102" s="118">
        <v>34</v>
      </c>
      <c r="Q102" s="118">
        <v>550</v>
      </c>
      <c r="R102" s="118" t="s">
        <v>96</v>
      </c>
      <c r="S102" s="118" t="s">
        <v>96</v>
      </c>
      <c r="T102" s="134" t="s">
        <v>96</v>
      </c>
      <c r="U102" s="118" t="s">
        <v>96</v>
      </c>
      <c r="V102" s="118" t="s">
        <v>96</v>
      </c>
      <c r="W102" s="118" t="s">
        <v>96</v>
      </c>
      <c r="X102" s="118" t="s">
        <v>96</v>
      </c>
      <c r="Y102" s="21" t="s">
        <v>96</v>
      </c>
      <c r="Z102" s="21" t="s">
        <v>96</v>
      </c>
    </row>
    <row r="103" spans="1:26" x14ac:dyDescent="0.25">
      <c r="A103" s="9" t="s">
        <v>83</v>
      </c>
      <c r="B103" s="118" t="s">
        <v>96</v>
      </c>
      <c r="C103" s="118" t="s">
        <v>96</v>
      </c>
      <c r="D103" s="118" t="s">
        <v>96</v>
      </c>
      <c r="E103" s="118" t="s">
        <v>96</v>
      </c>
      <c r="F103" s="118" t="s">
        <v>96</v>
      </c>
      <c r="G103" s="118" t="s">
        <v>96</v>
      </c>
      <c r="H103" s="118" t="s">
        <v>96</v>
      </c>
      <c r="I103" s="118" t="s">
        <v>96</v>
      </c>
      <c r="J103" s="118" t="s">
        <v>96</v>
      </c>
      <c r="K103" s="118" t="s">
        <v>96</v>
      </c>
      <c r="L103" s="118">
        <v>181</v>
      </c>
      <c r="M103" s="21">
        <v>12</v>
      </c>
      <c r="N103" s="118" t="s">
        <v>96</v>
      </c>
      <c r="O103" s="118" t="s">
        <v>96</v>
      </c>
      <c r="P103" s="118" t="s">
        <v>96</v>
      </c>
      <c r="Q103" s="118" t="s">
        <v>96</v>
      </c>
      <c r="R103" s="118" t="s">
        <v>96</v>
      </c>
      <c r="S103" s="118">
        <v>20</v>
      </c>
      <c r="T103" s="134" t="s">
        <v>96</v>
      </c>
      <c r="U103" s="118" t="s">
        <v>96</v>
      </c>
      <c r="V103" s="118" t="s">
        <v>96</v>
      </c>
      <c r="W103" s="118" t="s">
        <v>96</v>
      </c>
      <c r="X103" s="118" t="s">
        <v>96</v>
      </c>
      <c r="Y103" s="21" t="s">
        <v>96</v>
      </c>
      <c r="Z103" s="21" t="s">
        <v>96</v>
      </c>
    </row>
    <row r="104" spans="1:26" x14ac:dyDescent="0.25">
      <c r="A104" s="9" t="s">
        <v>84</v>
      </c>
      <c r="B104" s="118" t="s">
        <v>96</v>
      </c>
      <c r="C104" s="118" t="s">
        <v>96</v>
      </c>
      <c r="D104" s="118" t="s">
        <v>96</v>
      </c>
      <c r="E104" s="118">
        <v>54</v>
      </c>
      <c r="F104" s="118" t="s">
        <v>96</v>
      </c>
      <c r="G104" s="118" t="s">
        <v>96</v>
      </c>
      <c r="H104" s="118">
        <v>40</v>
      </c>
      <c r="I104" s="118" t="s">
        <v>96</v>
      </c>
      <c r="J104" s="118">
        <v>91</v>
      </c>
      <c r="K104" s="66">
        <v>80</v>
      </c>
      <c r="L104" s="118">
        <v>136</v>
      </c>
      <c r="M104" s="118" t="s">
        <v>96</v>
      </c>
      <c r="N104" s="118" t="s">
        <v>96</v>
      </c>
      <c r="O104" s="118" t="s">
        <v>96</v>
      </c>
      <c r="P104" s="118">
        <v>25</v>
      </c>
      <c r="Q104" s="118">
        <v>150</v>
      </c>
      <c r="R104" s="118">
        <v>170</v>
      </c>
      <c r="S104" s="118">
        <v>155</v>
      </c>
      <c r="T104" s="134">
        <v>75</v>
      </c>
      <c r="U104" s="118" t="s">
        <v>96</v>
      </c>
      <c r="V104" s="118">
        <v>30</v>
      </c>
      <c r="W104" s="118" t="s">
        <v>96</v>
      </c>
      <c r="X104" s="118" t="s">
        <v>96</v>
      </c>
      <c r="Y104" s="21" t="s">
        <v>96</v>
      </c>
      <c r="Z104" s="21">
        <v>30</v>
      </c>
    </row>
    <row r="105" spans="1:26" ht="19.5" x14ac:dyDescent="0.25">
      <c r="A105" s="9" t="s">
        <v>85</v>
      </c>
      <c r="B105" s="118" t="s">
        <v>96</v>
      </c>
      <c r="C105" s="118">
        <v>20</v>
      </c>
      <c r="D105" s="118" t="s">
        <v>96</v>
      </c>
      <c r="E105" s="118">
        <v>30</v>
      </c>
      <c r="F105" s="118" t="s">
        <v>96</v>
      </c>
      <c r="G105" s="118" t="s">
        <v>96</v>
      </c>
      <c r="H105" s="118">
        <v>71</v>
      </c>
      <c r="I105" s="118" t="s">
        <v>96</v>
      </c>
      <c r="J105" s="118">
        <v>76</v>
      </c>
      <c r="K105" s="66" t="s">
        <v>96</v>
      </c>
      <c r="L105" s="118" t="s">
        <v>96</v>
      </c>
      <c r="M105" s="21" t="s">
        <v>96</v>
      </c>
      <c r="N105" s="118" t="s">
        <v>96</v>
      </c>
      <c r="O105" s="118" t="s">
        <v>96</v>
      </c>
      <c r="P105" s="118" t="s">
        <v>96</v>
      </c>
      <c r="Q105" s="118">
        <v>120</v>
      </c>
      <c r="R105" s="118">
        <v>30</v>
      </c>
      <c r="S105" s="118" t="s">
        <v>96</v>
      </c>
      <c r="T105" s="134" t="s">
        <v>96</v>
      </c>
      <c r="U105" s="118" t="s">
        <v>96</v>
      </c>
      <c r="V105" s="118" t="s">
        <v>96</v>
      </c>
      <c r="W105" s="118" t="s">
        <v>96</v>
      </c>
      <c r="X105" s="118" t="s">
        <v>96</v>
      </c>
      <c r="Y105" s="21" t="s">
        <v>96</v>
      </c>
      <c r="Z105" s="21" t="s">
        <v>96</v>
      </c>
    </row>
    <row r="106" spans="1:26" ht="14.25" customHeight="1" thickBot="1" x14ac:dyDescent="0.3">
      <c r="A106" s="71" t="s">
        <v>86</v>
      </c>
      <c r="B106" s="127" t="s">
        <v>96</v>
      </c>
      <c r="C106" s="127" t="s">
        <v>96</v>
      </c>
      <c r="D106" s="127" t="s">
        <v>96</v>
      </c>
      <c r="E106" s="127" t="s">
        <v>96</v>
      </c>
      <c r="F106" s="127" t="s">
        <v>96</v>
      </c>
      <c r="G106" s="127" t="s">
        <v>96</v>
      </c>
      <c r="H106" s="127">
        <v>118</v>
      </c>
      <c r="I106" s="127">
        <v>10</v>
      </c>
      <c r="J106" s="127">
        <v>5</v>
      </c>
      <c r="K106" s="67">
        <v>15</v>
      </c>
      <c r="L106" s="127">
        <v>10</v>
      </c>
      <c r="M106" s="64" t="s">
        <v>96</v>
      </c>
      <c r="N106" s="127" t="s">
        <v>96</v>
      </c>
      <c r="O106" s="127">
        <v>27</v>
      </c>
      <c r="P106" s="127" t="s">
        <v>96</v>
      </c>
      <c r="Q106" s="127" t="s">
        <v>96</v>
      </c>
      <c r="R106" s="127" t="s">
        <v>96</v>
      </c>
      <c r="S106" s="127" t="s">
        <v>96</v>
      </c>
      <c r="T106" s="135" t="s">
        <v>96</v>
      </c>
      <c r="U106" s="127" t="s">
        <v>96</v>
      </c>
      <c r="V106" s="127">
        <v>7</v>
      </c>
      <c r="W106" s="127">
        <v>8</v>
      </c>
      <c r="X106" s="127" t="s">
        <v>96</v>
      </c>
      <c r="Y106" s="127">
        <v>15</v>
      </c>
      <c r="Z106" s="127" t="s">
        <v>96</v>
      </c>
    </row>
    <row r="107" spans="1:26" x14ac:dyDescent="0.25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2"/>
      <c r="U107" s="12"/>
      <c r="V107" s="12"/>
      <c r="W107" s="120"/>
      <c r="X107" s="12"/>
      <c r="Z107" s="12"/>
    </row>
    <row r="108" spans="1:26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Z108" s="12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99">
    <tabColor rgb="FFC7E6A4"/>
  </sheetPr>
  <dimension ref="A1:Z113"/>
  <sheetViews>
    <sheetView zoomScale="80" zoomScaleNormal="80" workbookViewId="0">
      <pane ySplit="8" topLeftCell="A9" activePane="bottomLeft" state="frozen"/>
      <selection sqref="A1:T1"/>
      <selection pane="bottomLeft" activeCell="C1" sqref="C1"/>
    </sheetView>
  </sheetViews>
  <sheetFormatPr defaultColWidth="9.140625" defaultRowHeight="15" x14ac:dyDescent="0.25"/>
  <cols>
    <col min="1" max="1" width="18.140625" style="1" customWidth="1"/>
    <col min="2" max="25" width="9.140625" style="12" customWidth="1"/>
    <col min="26" max="16384" width="9.140625" style="1"/>
  </cols>
  <sheetData>
    <row r="1" spans="1:26" ht="30" customHeight="1" x14ac:dyDescent="0.25"/>
    <row r="2" spans="1:26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ht="15" customHeight="1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5">
      <c r="A5" s="11" t="s">
        <v>244</v>
      </c>
      <c r="B5" s="145"/>
      <c r="C5" s="145"/>
      <c r="D5" s="145"/>
      <c r="E5" s="145"/>
      <c r="F5" s="145"/>
      <c r="G5" s="145"/>
      <c r="H5" s="145"/>
      <c r="I5" s="148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Z5" s="12"/>
    </row>
    <row r="6" spans="1:26" x14ac:dyDescent="0.25">
      <c r="A6" s="11" t="s">
        <v>269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Z6" s="12"/>
    </row>
    <row r="7" spans="1:26" ht="15.75" thickBot="1" x14ac:dyDescent="0.3">
      <c r="A7" s="24" t="s">
        <v>155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Z7" s="12"/>
    </row>
    <row r="8" spans="1:26" ht="15.75" thickBot="1" x14ac:dyDescent="0.3">
      <c r="A8" s="69"/>
      <c r="B8" s="2">
        <v>2000</v>
      </c>
      <c r="C8" s="2">
        <v>2001</v>
      </c>
      <c r="D8" s="2">
        <v>2002</v>
      </c>
      <c r="E8" s="2">
        <v>2003</v>
      </c>
      <c r="F8" s="2">
        <v>2004</v>
      </c>
      <c r="G8" s="168">
        <v>2005</v>
      </c>
      <c r="H8" s="168">
        <v>2006</v>
      </c>
      <c r="I8" s="168">
        <v>2007</v>
      </c>
      <c r="J8" s="168">
        <v>2008</v>
      </c>
      <c r="K8" s="168">
        <v>2009</v>
      </c>
      <c r="L8" s="168">
        <v>2010</v>
      </c>
      <c r="M8" s="168">
        <v>2011</v>
      </c>
      <c r="N8" s="168">
        <v>2012</v>
      </c>
      <c r="O8" s="168">
        <v>2013</v>
      </c>
      <c r="P8" s="168">
        <v>2014</v>
      </c>
      <c r="Q8" s="168">
        <v>2015</v>
      </c>
      <c r="R8" s="168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x14ac:dyDescent="0.25">
      <c r="A9" s="19" t="s">
        <v>0</v>
      </c>
      <c r="B9" s="123">
        <v>6.5</v>
      </c>
      <c r="C9" s="123">
        <v>5.2</v>
      </c>
      <c r="D9" s="123">
        <v>4.8</v>
      </c>
      <c r="E9" s="123">
        <v>5.4</v>
      </c>
      <c r="F9" s="123">
        <v>5.6</v>
      </c>
      <c r="G9" s="123">
        <v>4.9000000000000004</v>
      </c>
      <c r="H9" s="123">
        <v>6.3</v>
      </c>
      <c r="I9" s="123">
        <v>5.5</v>
      </c>
      <c r="J9" s="123">
        <v>5.7</v>
      </c>
      <c r="K9" s="123">
        <v>4.4000000000000004</v>
      </c>
      <c r="L9" s="123">
        <v>6.1</v>
      </c>
      <c r="M9" s="123">
        <v>6.7</v>
      </c>
      <c r="N9" s="123">
        <v>6.6</v>
      </c>
      <c r="O9" s="123">
        <v>6</v>
      </c>
      <c r="P9" s="123">
        <v>1.8</v>
      </c>
      <c r="Q9" s="123">
        <v>2.9</v>
      </c>
      <c r="R9" s="123">
        <v>4.0999999999999996</v>
      </c>
      <c r="S9" s="119">
        <v>2.6</v>
      </c>
      <c r="T9" s="130">
        <v>2</v>
      </c>
      <c r="U9" s="130">
        <v>2.7</v>
      </c>
      <c r="V9" s="133">
        <v>2.7</v>
      </c>
      <c r="W9" s="124">
        <v>2.2000000000000002</v>
      </c>
      <c r="X9" s="124">
        <v>3.6</v>
      </c>
      <c r="Y9" s="124">
        <v>4.5</v>
      </c>
      <c r="Z9" s="124">
        <v>4</v>
      </c>
    </row>
    <row r="10" spans="1:26" ht="23.25" customHeight="1" x14ac:dyDescent="0.25">
      <c r="A10" s="8" t="s">
        <v>92</v>
      </c>
      <c r="B10" s="123">
        <v>3.5</v>
      </c>
      <c r="C10" s="123">
        <v>5.6</v>
      </c>
      <c r="D10" s="123">
        <v>4.4000000000000004</v>
      </c>
      <c r="E10" s="123">
        <v>3.6</v>
      </c>
      <c r="F10" s="123">
        <v>5.3</v>
      </c>
      <c r="G10" s="123">
        <v>5.9</v>
      </c>
      <c r="H10" s="123">
        <v>7.8</v>
      </c>
      <c r="I10" s="123">
        <v>3.9</v>
      </c>
      <c r="J10" s="123">
        <v>3.9</v>
      </c>
      <c r="K10" s="123">
        <v>2.2999999999999998</v>
      </c>
      <c r="L10" s="123">
        <v>3.5</v>
      </c>
      <c r="M10" s="123">
        <v>6.1</v>
      </c>
      <c r="N10" s="123">
        <v>7.4</v>
      </c>
      <c r="O10" s="123">
        <v>6.8</v>
      </c>
      <c r="P10" s="123">
        <v>1.3</v>
      </c>
      <c r="Q10" s="123">
        <v>2.4</v>
      </c>
      <c r="R10" s="123">
        <v>2.7</v>
      </c>
      <c r="S10" s="123">
        <v>5</v>
      </c>
      <c r="T10" s="133">
        <v>1.8</v>
      </c>
      <c r="U10" s="133">
        <v>5.3</v>
      </c>
      <c r="V10" s="133">
        <v>2.2999999999999998</v>
      </c>
      <c r="W10" s="133">
        <v>2.4</v>
      </c>
      <c r="X10" s="124">
        <v>3.7</v>
      </c>
      <c r="Y10" s="124">
        <v>7.4</v>
      </c>
      <c r="Z10" s="124">
        <v>3.1</v>
      </c>
    </row>
    <row r="11" spans="1:26" x14ac:dyDescent="0.25">
      <c r="A11" s="9" t="s">
        <v>1</v>
      </c>
      <c r="B11" s="21">
        <v>21</v>
      </c>
      <c r="C11" s="129">
        <v>2.2999999999999998</v>
      </c>
      <c r="D11" s="21">
        <v>10</v>
      </c>
      <c r="E11" s="21">
        <v>14</v>
      </c>
      <c r="F11" s="21">
        <v>18</v>
      </c>
      <c r="G11" s="21">
        <v>29</v>
      </c>
      <c r="H11" s="21">
        <v>14</v>
      </c>
      <c r="I11" s="129">
        <v>7.8</v>
      </c>
      <c r="J11" s="129">
        <v>0.4</v>
      </c>
      <c r="K11" s="129" t="s">
        <v>96</v>
      </c>
      <c r="L11" s="129">
        <v>7.2</v>
      </c>
      <c r="M11" s="21">
        <v>18</v>
      </c>
      <c r="N11" s="129" t="s">
        <v>96</v>
      </c>
      <c r="O11" s="129">
        <v>7.8</v>
      </c>
      <c r="P11" s="129">
        <v>3.4</v>
      </c>
      <c r="Q11" s="129">
        <v>9</v>
      </c>
      <c r="R11" s="129" t="s">
        <v>96</v>
      </c>
      <c r="S11" s="129">
        <v>0.8</v>
      </c>
      <c r="T11" s="134">
        <v>0.8</v>
      </c>
      <c r="U11" s="134">
        <v>1.9</v>
      </c>
      <c r="V11" s="134">
        <v>13</v>
      </c>
      <c r="W11" s="118" t="s">
        <v>96</v>
      </c>
      <c r="X11" s="124" t="s">
        <v>96</v>
      </c>
      <c r="Y11" s="124" t="s">
        <v>96</v>
      </c>
      <c r="Z11" s="124" t="s">
        <v>96</v>
      </c>
    </row>
    <row r="12" spans="1:26" x14ac:dyDescent="0.25">
      <c r="A12" s="9" t="s">
        <v>2</v>
      </c>
      <c r="B12" s="129">
        <v>9.9</v>
      </c>
      <c r="C12" s="129">
        <v>4</v>
      </c>
      <c r="D12" s="129" t="s">
        <v>96</v>
      </c>
      <c r="E12" s="129" t="s">
        <v>96</v>
      </c>
      <c r="F12" s="129">
        <v>3.7</v>
      </c>
      <c r="G12" s="21">
        <v>16</v>
      </c>
      <c r="H12" s="21">
        <v>11</v>
      </c>
      <c r="I12" s="129" t="s">
        <v>96</v>
      </c>
      <c r="J12" s="129">
        <v>4.5999999999999996</v>
      </c>
      <c r="K12" s="21">
        <v>16</v>
      </c>
      <c r="L12" s="129" t="s">
        <v>96</v>
      </c>
      <c r="M12" s="129">
        <v>6.9</v>
      </c>
      <c r="N12" s="129">
        <v>4.8</v>
      </c>
      <c r="O12" s="129">
        <v>5.3</v>
      </c>
      <c r="P12" s="129">
        <v>7.9</v>
      </c>
      <c r="Q12" s="129" t="s">
        <v>96</v>
      </c>
      <c r="R12" s="129" t="s">
        <v>96</v>
      </c>
      <c r="S12" s="21">
        <v>11</v>
      </c>
      <c r="T12" s="118" t="s">
        <v>96</v>
      </c>
      <c r="U12" s="118">
        <v>4.2</v>
      </c>
      <c r="V12" s="118" t="s">
        <v>96</v>
      </c>
      <c r="W12" s="118" t="s">
        <v>96</v>
      </c>
      <c r="X12" s="124" t="s">
        <v>96</v>
      </c>
      <c r="Y12" s="124" t="s">
        <v>96</v>
      </c>
      <c r="Z12" s="20">
        <v>18</v>
      </c>
    </row>
    <row r="13" spans="1:26" x14ac:dyDescent="0.25">
      <c r="A13" s="9" t="s">
        <v>3</v>
      </c>
      <c r="B13" s="129">
        <v>2.6</v>
      </c>
      <c r="C13" s="129">
        <v>5</v>
      </c>
      <c r="D13" s="129">
        <v>7.8</v>
      </c>
      <c r="E13" s="129">
        <v>4.3</v>
      </c>
      <c r="F13" s="21">
        <v>16</v>
      </c>
      <c r="G13" s="129">
        <v>2.4</v>
      </c>
      <c r="H13" s="129">
        <v>2.2000000000000002</v>
      </c>
      <c r="I13" s="21">
        <v>10</v>
      </c>
      <c r="J13" s="129" t="s">
        <v>96</v>
      </c>
      <c r="K13" s="129" t="s">
        <v>96</v>
      </c>
      <c r="L13" s="129" t="s">
        <v>96</v>
      </c>
      <c r="M13" s="129">
        <v>0.6</v>
      </c>
      <c r="N13" s="129">
        <v>7</v>
      </c>
      <c r="O13" s="129" t="s">
        <v>96</v>
      </c>
      <c r="P13" s="129" t="s">
        <v>96</v>
      </c>
      <c r="Q13" s="129" t="s">
        <v>96</v>
      </c>
      <c r="R13" s="129" t="s">
        <v>96</v>
      </c>
      <c r="S13" s="129" t="s">
        <v>96</v>
      </c>
      <c r="T13" s="118" t="s">
        <v>96</v>
      </c>
      <c r="U13" s="118" t="s">
        <v>96</v>
      </c>
      <c r="V13" s="118" t="s">
        <v>96</v>
      </c>
      <c r="W13" s="118" t="s">
        <v>96</v>
      </c>
      <c r="X13" s="124" t="s">
        <v>96</v>
      </c>
      <c r="Y13" s="124" t="s">
        <v>96</v>
      </c>
      <c r="Z13" s="26" t="s">
        <v>96</v>
      </c>
    </row>
    <row r="14" spans="1:26" x14ac:dyDescent="0.25">
      <c r="A14" s="9" t="s">
        <v>4</v>
      </c>
      <c r="B14" s="129">
        <v>2.1</v>
      </c>
      <c r="C14" s="129">
        <v>1.9</v>
      </c>
      <c r="D14" s="129">
        <v>5.0999999999999996</v>
      </c>
      <c r="E14" s="129">
        <v>1.5</v>
      </c>
      <c r="F14" s="129" t="s">
        <v>96</v>
      </c>
      <c r="G14" s="129">
        <v>1.1000000000000001</v>
      </c>
      <c r="H14" s="21">
        <v>14</v>
      </c>
      <c r="I14" s="129" t="s">
        <v>96</v>
      </c>
      <c r="J14" s="129">
        <v>5.8</v>
      </c>
      <c r="K14" s="129">
        <v>1.3</v>
      </c>
      <c r="L14" s="129">
        <v>2.8</v>
      </c>
      <c r="M14" s="21">
        <v>24</v>
      </c>
      <c r="N14" s="21">
        <v>15</v>
      </c>
      <c r="O14" s="21">
        <v>15</v>
      </c>
      <c r="P14" s="129" t="s">
        <v>96</v>
      </c>
      <c r="Q14" s="129" t="s">
        <v>96</v>
      </c>
      <c r="R14" s="129" t="s">
        <v>96</v>
      </c>
      <c r="S14" s="129">
        <v>1.7</v>
      </c>
      <c r="T14" s="118" t="s">
        <v>96</v>
      </c>
      <c r="U14" s="118" t="s">
        <v>96</v>
      </c>
      <c r="V14" s="118">
        <v>4.5</v>
      </c>
      <c r="W14" s="118">
        <v>4.3</v>
      </c>
      <c r="X14" s="124" t="s">
        <v>96</v>
      </c>
      <c r="Y14" s="21">
        <v>15</v>
      </c>
      <c r="Z14" s="20">
        <v>12</v>
      </c>
    </row>
    <row r="15" spans="1:26" x14ac:dyDescent="0.25">
      <c r="A15" s="9" t="s">
        <v>5</v>
      </c>
      <c r="B15" s="129" t="s">
        <v>96</v>
      </c>
      <c r="C15" s="129" t="s">
        <v>96</v>
      </c>
      <c r="D15" s="129" t="s">
        <v>96</v>
      </c>
      <c r="E15" s="129">
        <v>2.5</v>
      </c>
      <c r="F15" s="21">
        <v>12</v>
      </c>
      <c r="G15" s="129" t="s">
        <v>96</v>
      </c>
      <c r="H15" s="129" t="s">
        <v>96</v>
      </c>
      <c r="I15" s="129">
        <v>7.5</v>
      </c>
      <c r="J15" s="129" t="s">
        <v>96</v>
      </c>
      <c r="K15" s="129" t="s">
        <v>96</v>
      </c>
      <c r="L15" s="129" t="s">
        <v>96</v>
      </c>
      <c r="M15" s="129" t="s">
        <v>96</v>
      </c>
      <c r="N15" s="129" t="s">
        <v>96</v>
      </c>
      <c r="O15" s="21">
        <v>10</v>
      </c>
      <c r="P15" s="129" t="s">
        <v>96</v>
      </c>
      <c r="Q15" s="129" t="s">
        <v>96</v>
      </c>
      <c r="R15" s="129" t="s">
        <v>96</v>
      </c>
      <c r="S15" s="129" t="s">
        <v>96</v>
      </c>
      <c r="T15" s="118" t="s">
        <v>96</v>
      </c>
      <c r="U15" s="118" t="s">
        <v>96</v>
      </c>
      <c r="V15" s="118" t="s">
        <v>96</v>
      </c>
      <c r="W15" s="118" t="s">
        <v>96</v>
      </c>
      <c r="X15" s="124" t="s">
        <v>96</v>
      </c>
      <c r="Y15" s="124" t="s">
        <v>96</v>
      </c>
      <c r="Z15" s="124" t="s">
        <v>96</v>
      </c>
    </row>
    <row r="16" spans="1:26" x14ac:dyDescent="0.25">
      <c r="A16" s="9" t="s">
        <v>6</v>
      </c>
      <c r="B16" s="129" t="s">
        <v>96</v>
      </c>
      <c r="C16" s="129" t="s">
        <v>96</v>
      </c>
      <c r="D16" s="129" t="s">
        <v>96</v>
      </c>
      <c r="E16" s="129">
        <v>1.4</v>
      </c>
      <c r="F16" s="21">
        <v>11</v>
      </c>
      <c r="G16" s="129" t="s">
        <v>96</v>
      </c>
      <c r="H16" s="129">
        <v>4</v>
      </c>
      <c r="I16" s="21">
        <v>21</v>
      </c>
      <c r="J16" s="129" t="s">
        <v>96</v>
      </c>
      <c r="K16" s="129" t="s">
        <v>96</v>
      </c>
      <c r="L16" s="129" t="s">
        <v>96</v>
      </c>
      <c r="M16" s="129" t="s">
        <v>96</v>
      </c>
      <c r="N16" s="129" t="s">
        <v>96</v>
      </c>
      <c r="O16" s="129" t="s">
        <v>96</v>
      </c>
      <c r="P16" s="21">
        <v>12</v>
      </c>
      <c r="Q16" s="21" t="s">
        <v>96</v>
      </c>
      <c r="R16" s="21">
        <v>16</v>
      </c>
      <c r="S16" s="129" t="s">
        <v>96</v>
      </c>
      <c r="T16" s="118" t="s">
        <v>96</v>
      </c>
      <c r="U16" s="118" t="s">
        <v>96</v>
      </c>
      <c r="V16" s="118" t="s">
        <v>96</v>
      </c>
      <c r="W16" s="21">
        <v>33</v>
      </c>
      <c r="X16" s="124" t="s">
        <v>96</v>
      </c>
      <c r="Y16" s="134">
        <v>2.9</v>
      </c>
      <c r="Z16" s="124" t="s">
        <v>96</v>
      </c>
    </row>
    <row r="17" spans="1:26" x14ac:dyDescent="0.25">
      <c r="A17" s="9" t="s">
        <v>7</v>
      </c>
      <c r="B17" s="129" t="s">
        <v>96</v>
      </c>
      <c r="C17" s="129">
        <v>2.7</v>
      </c>
      <c r="D17" s="129" t="s">
        <v>96</v>
      </c>
      <c r="E17" s="129" t="s">
        <v>96</v>
      </c>
      <c r="F17" s="129">
        <v>4.2</v>
      </c>
      <c r="G17" s="129" t="s">
        <v>96</v>
      </c>
      <c r="H17" s="129" t="s">
        <v>96</v>
      </c>
      <c r="I17" s="21">
        <v>16</v>
      </c>
      <c r="J17" s="129" t="s">
        <v>96</v>
      </c>
      <c r="K17" s="129" t="s">
        <v>96</v>
      </c>
      <c r="L17" s="129" t="s">
        <v>96</v>
      </c>
      <c r="M17" s="21">
        <v>13</v>
      </c>
      <c r="N17" s="129" t="s">
        <v>96</v>
      </c>
      <c r="O17" s="129" t="s">
        <v>96</v>
      </c>
      <c r="P17" s="129" t="s">
        <v>96</v>
      </c>
      <c r="Q17" s="129" t="s">
        <v>96</v>
      </c>
      <c r="R17" s="129" t="s">
        <v>96</v>
      </c>
      <c r="S17" s="129" t="s">
        <v>96</v>
      </c>
      <c r="T17" s="118" t="s">
        <v>96</v>
      </c>
      <c r="U17" s="118" t="s">
        <v>96</v>
      </c>
      <c r="V17" s="118" t="s">
        <v>96</v>
      </c>
      <c r="W17" s="118" t="s">
        <v>96</v>
      </c>
      <c r="X17" s="124" t="s">
        <v>96</v>
      </c>
      <c r="Y17" s="134">
        <v>8.8000000000000007</v>
      </c>
      <c r="Z17" s="124" t="s">
        <v>96</v>
      </c>
    </row>
    <row r="18" spans="1:26" x14ac:dyDescent="0.25">
      <c r="A18" s="9" t="s">
        <v>8</v>
      </c>
      <c r="B18" s="129">
        <v>3.1</v>
      </c>
      <c r="C18" s="21">
        <v>21</v>
      </c>
      <c r="D18" s="129">
        <v>2.8</v>
      </c>
      <c r="E18" s="129">
        <v>2.2999999999999998</v>
      </c>
      <c r="F18" s="129">
        <v>4.2</v>
      </c>
      <c r="G18" s="21">
        <v>13</v>
      </c>
      <c r="H18" s="129" t="s">
        <v>96</v>
      </c>
      <c r="I18" s="129">
        <v>2.6</v>
      </c>
      <c r="J18" s="129">
        <v>7.8</v>
      </c>
      <c r="K18" s="129" t="s">
        <v>96</v>
      </c>
      <c r="L18" s="21">
        <v>12</v>
      </c>
      <c r="M18" s="129" t="s">
        <v>96</v>
      </c>
      <c r="N18" s="21">
        <v>13</v>
      </c>
      <c r="O18" s="129" t="s">
        <v>96</v>
      </c>
      <c r="P18" s="129">
        <v>0.4</v>
      </c>
      <c r="Q18" s="129">
        <v>0.5</v>
      </c>
      <c r="R18" s="21">
        <v>11</v>
      </c>
      <c r="S18" s="129" t="s">
        <v>96</v>
      </c>
      <c r="T18" s="118" t="s">
        <v>96</v>
      </c>
      <c r="U18" s="118">
        <v>31</v>
      </c>
      <c r="V18" s="118" t="s">
        <v>96</v>
      </c>
      <c r="W18" s="21">
        <v>21</v>
      </c>
      <c r="X18" s="124" t="s">
        <v>96</v>
      </c>
      <c r="Y18" s="134">
        <v>2.2999999999999998</v>
      </c>
      <c r="Z18" s="124" t="s">
        <v>96</v>
      </c>
    </row>
    <row r="19" spans="1:26" x14ac:dyDescent="0.25">
      <c r="A19" s="9" t="s">
        <v>9</v>
      </c>
      <c r="B19" s="129">
        <v>2.4</v>
      </c>
      <c r="C19" s="129">
        <v>9.6</v>
      </c>
      <c r="D19" s="21">
        <v>14</v>
      </c>
      <c r="E19" s="21">
        <v>10</v>
      </c>
      <c r="F19" s="129">
        <v>4.8</v>
      </c>
      <c r="G19" s="129">
        <v>6.3</v>
      </c>
      <c r="H19" s="21">
        <v>12</v>
      </c>
      <c r="I19" s="129" t="s">
        <v>96</v>
      </c>
      <c r="J19" s="21">
        <v>15</v>
      </c>
      <c r="K19" s="129">
        <v>0.3</v>
      </c>
      <c r="L19" s="129" t="s">
        <v>96</v>
      </c>
      <c r="M19" s="129" t="s">
        <v>96</v>
      </c>
      <c r="N19" s="129" t="s">
        <v>96</v>
      </c>
      <c r="O19" s="129" t="s">
        <v>96</v>
      </c>
      <c r="P19" s="129">
        <v>5.6</v>
      </c>
      <c r="Q19" s="129">
        <v>2.1</v>
      </c>
      <c r="R19" s="21">
        <v>15</v>
      </c>
      <c r="S19" s="129" t="s">
        <v>96</v>
      </c>
      <c r="T19" s="118" t="s">
        <v>96</v>
      </c>
      <c r="U19" s="118" t="s">
        <v>96</v>
      </c>
      <c r="V19" s="118" t="s">
        <v>96</v>
      </c>
      <c r="W19" s="118" t="s">
        <v>96</v>
      </c>
      <c r="X19" s="122">
        <v>1.8</v>
      </c>
      <c r="Y19" s="124" t="s">
        <v>96</v>
      </c>
      <c r="Z19" s="124" t="s">
        <v>96</v>
      </c>
    </row>
    <row r="20" spans="1:26" x14ac:dyDescent="0.25">
      <c r="A20" s="9" t="s">
        <v>10</v>
      </c>
      <c r="B20" s="129">
        <v>0.3</v>
      </c>
      <c r="C20" s="129">
        <v>2.4</v>
      </c>
      <c r="D20" s="129">
        <v>6.8</v>
      </c>
      <c r="E20" s="129">
        <v>5.3</v>
      </c>
      <c r="F20" s="129">
        <v>4.0999999999999996</v>
      </c>
      <c r="G20" s="129">
        <v>2.6</v>
      </c>
      <c r="H20" s="129">
        <v>4.5</v>
      </c>
      <c r="I20" s="129">
        <v>2.5</v>
      </c>
      <c r="J20" s="129">
        <v>3.3</v>
      </c>
      <c r="K20" s="129">
        <v>4.9000000000000004</v>
      </c>
      <c r="L20" s="129" t="s">
        <v>96</v>
      </c>
      <c r="M20" s="129">
        <v>1.8</v>
      </c>
      <c r="N20" s="129">
        <v>4.4000000000000004</v>
      </c>
      <c r="O20" s="129">
        <v>8.1</v>
      </c>
      <c r="P20" s="129">
        <v>0.3</v>
      </c>
      <c r="Q20" s="129">
        <v>1.6</v>
      </c>
      <c r="R20" s="129">
        <v>1.3</v>
      </c>
      <c r="S20" s="21">
        <v>10</v>
      </c>
      <c r="T20" s="134">
        <v>1.2</v>
      </c>
      <c r="U20" s="134">
        <v>2.9</v>
      </c>
      <c r="V20" s="118" t="s">
        <v>96</v>
      </c>
      <c r="W20" s="118" t="s">
        <v>96</v>
      </c>
      <c r="X20" s="122">
        <v>2.2999999999999998</v>
      </c>
      <c r="Y20" s="124" t="s">
        <v>96</v>
      </c>
      <c r="Z20" s="122">
        <v>5.5</v>
      </c>
    </row>
    <row r="21" spans="1:26" x14ac:dyDescent="0.25">
      <c r="A21" s="9" t="s">
        <v>11</v>
      </c>
      <c r="B21" s="129">
        <v>4.5</v>
      </c>
      <c r="C21" s="129">
        <v>6.9</v>
      </c>
      <c r="D21" s="129" t="s">
        <v>96</v>
      </c>
      <c r="E21" s="129" t="s">
        <v>96</v>
      </c>
      <c r="F21" s="129" t="s">
        <v>96</v>
      </c>
      <c r="G21" s="129">
        <v>9.9</v>
      </c>
      <c r="H21" s="129" t="s">
        <v>96</v>
      </c>
      <c r="I21" s="129" t="s">
        <v>96</v>
      </c>
      <c r="J21" s="129" t="s">
        <v>96</v>
      </c>
      <c r="K21" s="129" t="s">
        <v>96</v>
      </c>
      <c r="L21" s="129" t="s">
        <v>96</v>
      </c>
      <c r="M21" s="129">
        <v>7.1</v>
      </c>
      <c r="N21" s="21">
        <v>43</v>
      </c>
      <c r="O21" s="129" t="s">
        <v>96</v>
      </c>
      <c r="P21" s="129" t="s">
        <v>96</v>
      </c>
      <c r="Q21" s="129" t="s">
        <v>96</v>
      </c>
      <c r="R21" s="21">
        <v>13</v>
      </c>
      <c r="S21" s="129">
        <v>4</v>
      </c>
      <c r="T21" s="134" t="s">
        <v>96</v>
      </c>
      <c r="U21" s="134" t="s">
        <v>96</v>
      </c>
      <c r="V21" s="118" t="s">
        <v>96</v>
      </c>
      <c r="W21" s="118" t="s">
        <v>96</v>
      </c>
      <c r="X21" s="122" t="s">
        <v>96</v>
      </c>
      <c r="Y21" s="124" t="s">
        <v>96</v>
      </c>
      <c r="Z21" s="124" t="s">
        <v>96</v>
      </c>
    </row>
    <row r="22" spans="1:26" x14ac:dyDescent="0.25">
      <c r="A22" s="9" t="s">
        <v>12</v>
      </c>
      <c r="B22" s="129" t="s">
        <v>96</v>
      </c>
      <c r="C22" s="129">
        <v>9.6</v>
      </c>
      <c r="D22" s="129">
        <v>3.2</v>
      </c>
      <c r="E22" s="129">
        <v>4.9000000000000004</v>
      </c>
      <c r="F22" s="129">
        <v>9.1</v>
      </c>
      <c r="G22" s="21">
        <v>13</v>
      </c>
      <c r="H22" s="129">
        <v>9.9</v>
      </c>
      <c r="I22" s="129" t="s">
        <v>96</v>
      </c>
      <c r="J22" s="21">
        <v>10</v>
      </c>
      <c r="K22" s="129">
        <v>2.6</v>
      </c>
      <c r="L22" s="21">
        <v>43</v>
      </c>
      <c r="M22" s="21">
        <v>19</v>
      </c>
      <c r="N22" s="129">
        <v>9.1</v>
      </c>
      <c r="O22" s="129">
        <v>6.7</v>
      </c>
      <c r="P22" s="129" t="s">
        <v>96</v>
      </c>
      <c r="Q22" s="129" t="s">
        <v>96</v>
      </c>
      <c r="R22" s="21">
        <v>22</v>
      </c>
      <c r="S22" s="129" t="s">
        <v>96</v>
      </c>
      <c r="T22" s="134" t="s">
        <v>96</v>
      </c>
      <c r="U22" s="134">
        <v>48</v>
      </c>
      <c r="V22" s="118" t="s">
        <v>96</v>
      </c>
      <c r="W22" s="118" t="s">
        <v>96</v>
      </c>
      <c r="X22" s="122" t="s">
        <v>96</v>
      </c>
      <c r="Y22" s="134">
        <v>23</v>
      </c>
      <c r="Z22" s="124" t="s">
        <v>96</v>
      </c>
    </row>
    <row r="23" spans="1:26" x14ac:dyDescent="0.25">
      <c r="A23" s="9" t="s">
        <v>13</v>
      </c>
      <c r="B23" s="129">
        <v>9.1999999999999993</v>
      </c>
      <c r="C23" s="21">
        <v>11</v>
      </c>
      <c r="D23" s="129" t="s">
        <v>96</v>
      </c>
      <c r="E23" s="129" t="s">
        <v>96</v>
      </c>
      <c r="F23" s="129" t="s">
        <v>96</v>
      </c>
      <c r="G23" s="129" t="s">
        <v>96</v>
      </c>
      <c r="H23" s="21">
        <v>10</v>
      </c>
      <c r="I23" s="21">
        <v>12</v>
      </c>
      <c r="J23" s="129">
        <v>9.1999999999999993</v>
      </c>
      <c r="K23" s="129" t="s">
        <v>96</v>
      </c>
      <c r="L23" s="129" t="s">
        <v>96</v>
      </c>
      <c r="M23" s="129" t="s">
        <v>96</v>
      </c>
      <c r="N23" s="21">
        <v>17</v>
      </c>
      <c r="O23" s="129" t="s">
        <v>96</v>
      </c>
      <c r="P23" s="129" t="s">
        <v>96</v>
      </c>
      <c r="Q23" s="21">
        <v>15</v>
      </c>
      <c r="R23" s="129" t="s">
        <v>96</v>
      </c>
      <c r="S23" s="129" t="s">
        <v>96</v>
      </c>
      <c r="T23" s="134">
        <v>14</v>
      </c>
      <c r="U23" s="134" t="s">
        <v>96</v>
      </c>
      <c r="V23" s="118" t="s">
        <v>96</v>
      </c>
      <c r="W23" s="118" t="s">
        <v>96</v>
      </c>
      <c r="X23" s="122" t="s">
        <v>96</v>
      </c>
      <c r="Y23" s="124" t="s">
        <v>96</v>
      </c>
      <c r="Z23" s="124" t="s">
        <v>96</v>
      </c>
    </row>
    <row r="24" spans="1:26" x14ac:dyDescent="0.25">
      <c r="A24" s="9" t="s">
        <v>14</v>
      </c>
      <c r="B24" s="129">
        <v>6.5</v>
      </c>
      <c r="C24" s="129" t="s">
        <v>96</v>
      </c>
      <c r="D24" s="129">
        <v>0.5</v>
      </c>
      <c r="E24" s="129">
        <v>9.6</v>
      </c>
      <c r="F24" s="129">
        <v>1.4</v>
      </c>
      <c r="G24" s="129">
        <v>4.7</v>
      </c>
      <c r="H24" s="21">
        <v>23</v>
      </c>
      <c r="I24" s="21">
        <v>14</v>
      </c>
      <c r="J24" s="21">
        <v>16</v>
      </c>
      <c r="K24" s="129">
        <v>6.8</v>
      </c>
      <c r="L24" s="21">
        <v>13</v>
      </c>
      <c r="M24" s="21">
        <v>17</v>
      </c>
      <c r="N24" s="21">
        <v>19</v>
      </c>
      <c r="O24" s="21" t="s">
        <v>96</v>
      </c>
      <c r="P24" s="21" t="s">
        <v>96</v>
      </c>
      <c r="Q24" s="21" t="s">
        <v>96</v>
      </c>
      <c r="R24" s="21" t="s">
        <v>96</v>
      </c>
      <c r="S24" s="21">
        <v>31</v>
      </c>
      <c r="T24" s="134" t="s">
        <v>96</v>
      </c>
      <c r="U24" s="134" t="s">
        <v>96</v>
      </c>
      <c r="V24" s="118" t="s">
        <v>96</v>
      </c>
      <c r="W24" s="118" t="s">
        <v>96</v>
      </c>
      <c r="X24" s="122">
        <v>8.6999999999999993</v>
      </c>
      <c r="Y24" s="124" t="s">
        <v>96</v>
      </c>
      <c r="Z24" s="124" t="s">
        <v>96</v>
      </c>
    </row>
    <row r="25" spans="1:26" x14ac:dyDescent="0.25">
      <c r="A25" s="9" t="s">
        <v>15</v>
      </c>
      <c r="B25" s="129">
        <v>6.7</v>
      </c>
      <c r="C25" s="129">
        <v>7.4</v>
      </c>
      <c r="D25" s="129">
        <v>1.7</v>
      </c>
      <c r="E25" s="129">
        <v>8.1999999999999993</v>
      </c>
      <c r="F25" s="129" t="s">
        <v>96</v>
      </c>
      <c r="G25" s="129">
        <v>2.7</v>
      </c>
      <c r="H25" s="129" t="s">
        <v>96</v>
      </c>
      <c r="I25" s="129">
        <v>3.6</v>
      </c>
      <c r="J25" s="129">
        <v>2.2000000000000002</v>
      </c>
      <c r="K25" s="129">
        <v>1.7</v>
      </c>
      <c r="L25" s="21">
        <v>16</v>
      </c>
      <c r="M25" s="129">
        <v>9</v>
      </c>
      <c r="N25" s="129" t="s">
        <v>96</v>
      </c>
      <c r="O25" s="129" t="s">
        <v>96</v>
      </c>
      <c r="P25" s="129" t="s">
        <v>96</v>
      </c>
      <c r="Q25" s="129">
        <v>4.7</v>
      </c>
      <c r="R25" s="129" t="s">
        <v>96</v>
      </c>
      <c r="S25" s="129" t="s">
        <v>96</v>
      </c>
      <c r="T25" s="134">
        <v>1.9</v>
      </c>
      <c r="U25" s="134" t="s">
        <v>96</v>
      </c>
      <c r="V25" s="118" t="s">
        <v>96</v>
      </c>
      <c r="W25" s="118" t="s">
        <v>96</v>
      </c>
      <c r="X25" s="122" t="s">
        <v>96</v>
      </c>
      <c r="Y25" s="124" t="s">
        <v>96</v>
      </c>
      <c r="Z25" s="124" t="s">
        <v>96</v>
      </c>
    </row>
    <row r="26" spans="1:26" x14ac:dyDescent="0.25">
      <c r="A26" s="9" t="s">
        <v>16</v>
      </c>
      <c r="B26" s="21">
        <v>14</v>
      </c>
      <c r="C26" s="129">
        <v>6</v>
      </c>
      <c r="D26" s="129" t="s">
        <v>96</v>
      </c>
      <c r="E26" s="129">
        <v>1.2</v>
      </c>
      <c r="F26" s="129">
        <v>7.5</v>
      </c>
      <c r="G26" s="129" t="s">
        <v>96</v>
      </c>
      <c r="H26" s="129">
        <v>3.4</v>
      </c>
      <c r="I26" s="129">
        <v>3.8</v>
      </c>
      <c r="J26" s="129" t="s">
        <v>96</v>
      </c>
      <c r="K26" s="129" t="s">
        <v>96</v>
      </c>
      <c r="L26" s="129">
        <v>1.9</v>
      </c>
      <c r="M26" s="129" t="s">
        <v>96</v>
      </c>
      <c r="N26" s="129" t="s">
        <v>96</v>
      </c>
      <c r="O26" s="129" t="s">
        <v>96</v>
      </c>
      <c r="P26" s="129" t="s">
        <v>96</v>
      </c>
      <c r="Q26" s="129" t="s">
        <v>96</v>
      </c>
      <c r="R26" s="129" t="s">
        <v>96</v>
      </c>
      <c r="S26" s="129" t="s">
        <v>96</v>
      </c>
      <c r="T26" s="134" t="s">
        <v>96</v>
      </c>
      <c r="U26" s="134">
        <v>9.3000000000000007</v>
      </c>
      <c r="V26" s="118" t="s">
        <v>96</v>
      </c>
      <c r="W26" s="118" t="s">
        <v>96</v>
      </c>
      <c r="X26" s="122">
        <v>9.4</v>
      </c>
      <c r="Y26" s="134">
        <v>23</v>
      </c>
      <c r="Z26" s="124" t="s">
        <v>96</v>
      </c>
    </row>
    <row r="27" spans="1:26" x14ac:dyDescent="0.25">
      <c r="A27" s="9" t="s">
        <v>17</v>
      </c>
      <c r="B27" s="129">
        <v>9.3000000000000007</v>
      </c>
      <c r="C27" s="129">
        <v>3</v>
      </c>
      <c r="D27" s="21">
        <v>13</v>
      </c>
      <c r="E27" s="129" t="s">
        <v>96</v>
      </c>
      <c r="F27" s="129">
        <v>0.6</v>
      </c>
      <c r="G27" s="21">
        <v>15</v>
      </c>
      <c r="H27" s="129" t="s">
        <v>96</v>
      </c>
      <c r="I27" s="129" t="s">
        <v>96</v>
      </c>
      <c r="J27" s="129" t="s">
        <v>96</v>
      </c>
      <c r="K27" s="129" t="s">
        <v>96</v>
      </c>
      <c r="L27" s="129" t="s">
        <v>96</v>
      </c>
      <c r="M27" s="21">
        <v>14</v>
      </c>
      <c r="N27" s="129">
        <v>9.9</v>
      </c>
      <c r="O27" s="129">
        <v>2.2000000000000002</v>
      </c>
      <c r="P27" s="129">
        <v>2.4</v>
      </c>
      <c r="Q27" s="129" t="s">
        <v>96</v>
      </c>
      <c r="R27" s="129" t="s">
        <v>96</v>
      </c>
      <c r="S27" s="129" t="s">
        <v>96</v>
      </c>
      <c r="T27" s="134" t="s">
        <v>96</v>
      </c>
      <c r="U27" s="134" t="s">
        <v>96</v>
      </c>
      <c r="V27" s="118" t="s">
        <v>96</v>
      </c>
      <c r="W27" s="122">
        <v>1.2</v>
      </c>
      <c r="X27" s="122" t="s">
        <v>96</v>
      </c>
      <c r="Y27" s="134">
        <v>22</v>
      </c>
      <c r="Z27" s="124" t="s">
        <v>96</v>
      </c>
    </row>
    <row r="28" spans="1:26" x14ac:dyDescent="0.25">
      <c r="A28" s="9" t="s">
        <v>18</v>
      </c>
      <c r="B28" s="129" t="s">
        <v>96</v>
      </c>
      <c r="C28" s="129">
        <v>7.9</v>
      </c>
      <c r="D28" s="129">
        <v>3.5</v>
      </c>
      <c r="E28" s="129">
        <v>2</v>
      </c>
      <c r="F28" s="129">
        <v>5.0999999999999996</v>
      </c>
      <c r="G28" s="129">
        <v>5.7</v>
      </c>
      <c r="H28" s="21">
        <v>11</v>
      </c>
      <c r="I28" s="129">
        <v>2.2000000000000002</v>
      </c>
      <c r="J28" s="129">
        <v>3.2</v>
      </c>
      <c r="K28" s="129">
        <v>1.6</v>
      </c>
      <c r="L28" s="129">
        <v>1.4</v>
      </c>
      <c r="M28" s="129">
        <v>4.0999999999999996</v>
      </c>
      <c r="N28" s="129">
        <v>8.1999999999999993</v>
      </c>
      <c r="O28" s="21">
        <v>11</v>
      </c>
      <c r="P28" s="129">
        <v>0.8</v>
      </c>
      <c r="Q28" s="129">
        <v>3.6</v>
      </c>
      <c r="R28" s="129">
        <v>1.3</v>
      </c>
      <c r="S28" s="129">
        <v>5.2</v>
      </c>
      <c r="T28" s="134">
        <v>3.6</v>
      </c>
      <c r="U28" s="134">
        <v>6.2</v>
      </c>
      <c r="V28" s="134">
        <v>4.7</v>
      </c>
      <c r="W28" s="122">
        <v>2.2000000000000002</v>
      </c>
      <c r="X28" s="122">
        <v>7.9</v>
      </c>
      <c r="Y28" s="134">
        <v>13</v>
      </c>
      <c r="Z28" s="122">
        <v>2.2999999999999998</v>
      </c>
    </row>
    <row r="29" spans="1:26" ht="18" x14ac:dyDescent="0.25">
      <c r="A29" s="8" t="s">
        <v>129</v>
      </c>
      <c r="B29" s="123">
        <v>1.3</v>
      </c>
      <c r="C29" s="123">
        <v>4.0999999999999996</v>
      </c>
      <c r="D29" s="123">
        <v>3.7</v>
      </c>
      <c r="E29" s="123">
        <v>3.8</v>
      </c>
      <c r="F29" s="123">
        <v>3.6</v>
      </c>
      <c r="G29" s="123">
        <v>3.7</v>
      </c>
      <c r="H29" s="123">
        <v>3.3</v>
      </c>
      <c r="I29" s="123">
        <v>2.2999999999999998</v>
      </c>
      <c r="J29" s="123">
        <v>7.4</v>
      </c>
      <c r="K29" s="123">
        <v>8.5</v>
      </c>
      <c r="L29" s="123">
        <v>6.6</v>
      </c>
      <c r="M29" s="123">
        <v>7.1</v>
      </c>
      <c r="N29" s="123">
        <v>3.2</v>
      </c>
      <c r="O29" s="123">
        <v>2.9</v>
      </c>
      <c r="P29" s="123">
        <v>0.4</v>
      </c>
      <c r="Q29" s="123">
        <v>4.9000000000000004</v>
      </c>
      <c r="R29" s="123">
        <v>6.2</v>
      </c>
      <c r="S29" s="123" t="s">
        <v>96</v>
      </c>
      <c r="T29" s="133">
        <v>3.7</v>
      </c>
      <c r="U29" s="133">
        <v>2.6</v>
      </c>
      <c r="V29" s="133">
        <v>1.4</v>
      </c>
      <c r="W29" s="124">
        <v>3.4</v>
      </c>
      <c r="X29" s="124">
        <v>3.7</v>
      </c>
      <c r="Y29" s="133">
        <v>3.7</v>
      </c>
      <c r="Z29" s="124">
        <v>6.3</v>
      </c>
    </row>
    <row r="30" spans="1:26" x14ac:dyDescent="0.25">
      <c r="A30" s="9" t="s">
        <v>19</v>
      </c>
      <c r="B30" s="129" t="s">
        <v>96</v>
      </c>
      <c r="C30" s="129">
        <v>9</v>
      </c>
      <c r="D30" s="129">
        <v>1.7</v>
      </c>
      <c r="E30" s="129">
        <v>2.8</v>
      </c>
      <c r="F30" s="129" t="s">
        <v>96</v>
      </c>
      <c r="G30" s="21">
        <v>15</v>
      </c>
      <c r="H30" s="21">
        <v>25</v>
      </c>
      <c r="I30" s="129" t="s">
        <v>96</v>
      </c>
      <c r="J30" s="129" t="s">
        <v>96</v>
      </c>
      <c r="K30" s="21">
        <v>12</v>
      </c>
      <c r="L30" s="129" t="s">
        <v>96</v>
      </c>
      <c r="M30" s="129" t="s">
        <v>96</v>
      </c>
      <c r="N30" s="129">
        <v>7.5</v>
      </c>
      <c r="O30" s="129" t="s">
        <v>96</v>
      </c>
      <c r="P30" s="129" t="s">
        <v>96</v>
      </c>
      <c r="Q30" s="129" t="s">
        <v>96</v>
      </c>
      <c r="R30" s="21">
        <v>34</v>
      </c>
      <c r="S30" s="129" t="s">
        <v>96</v>
      </c>
      <c r="T30" s="134">
        <v>23</v>
      </c>
      <c r="U30" s="134" t="s">
        <v>96</v>
      </c>
      <c r="V30" s="118" t="s">
        <v>96</v>
      </c>
      <c r="W30" s="118" t="s">
        <v>96</v>
      </c>
      <c r="X30" s="122" t="s">
        <v>96</v>
      </c>
      <c r="Y30" s="124" t="s">
        <v>96</v>
      </c>
      <c r="Z30" s="124" t="s">
        <v>96</v>
      </c>
    </row>
    <row r="31" spans="1:26" x14ac:dyDescent="0.25">
      <c r="A31" s="9" t="s">
        <v>20</v>
      </c>
      <c r="B31" s="129" t="s">
        <v>96</v>
      </c>
      <c r="C31" s="21">
        <v>10</v>
      </c>
      <c r="D31" s="129">
        <v>4.9000000000000004</v>
      </c>
      <c r="E31" s="129" t="s">
        <v>96</v>
      </c>
      <c r="F31" s="129">
        <v>5.2</v>
      </c>
      <c r="G31" s="129">
        <v>2.6</v>
      </c>
      <c r="H31" s="129" t="s">
        <v>96</v>
      </c>
      <c r="I31" s="129" t="s">
        <v>96</v>
      </c>
      <c r="J31" s="129">
        <v>5.4</v>
      </c>
      <c r="K31" s="129">
        <v>1.1000000000000001</v>
      </c>
      <c r="L31" s="129" t="s">
        <v>96</v>
      </c>
      <c r="M31" s="129" t="s">
        <v>96</v>
      </c>
      <c r="N31" s="129" t="s">
        <v>96</v>
      </c>
      <c r="O31" s="129" t="s">
        <v>96</v>
      </c>
      <c r="P31" s="129" t="s">
        <v>96</v>
      </c>
      <c r="Q31" s="129" t="s">
        <v>96</v>
      </c>
      <c r="R31" s="129" t="s">
        <v>96</v>
      </c>
      <c r="S31" s="129" t="s">
        <v>96</v>
      </c>
      <c r="T31" s="134" t="s">
        <v>96</v>
      </c>
      <c r="U31" s="134" t="s">
        <v>96</v>
      </c>
      <c r="V31" s="134">
        <v>8.3000000000000007</v>
      </c>
      <c r="W31" s="118" t="s">
        <v>96</v>
      </c>
      <c r="X31" s="122" t="s">
        <v>96</v>
      </c>
      <c r="Y31" s="134">
        <v>8.6999999999999993</v>
      </c>
      <c r="Z31" s="124" t="s">
        <v>96</v>
      </c>
    </row>
    <row r="32" spans="1:26" x14ac:dyDescent="0.25">
      <c r="A32" s="9" t="s">
        <v>21</v>
      </c>
      <c r="B32" s="129">
        <v>5.0999999999999996</v>
      </c>
      <c r="C32" s="129">
        <v>0.3</v>
      </c>
      <c r="D32" s="129">
        <v>2.2000000000000002</v>
      </c>
      <c r="E32" s="129">
        <v>0.8</v>
      </c>
      <c r="F32" s="129">
        <v>5.9</v>
      </c>
      <c r="G32" s="21">
        <v>21</v>
      </c>
      <c r="H32" s="129">
        <v>6.2</v>
      </c>
      <c r="I32" s="129" t="s">
        <v>96</v>
      </c>
      <c r="J32" s="129">
        <v>4</v>
      </c>
      <c r="K32" s="21">
        <v>11</v>
      </c>
      <c r="L32" s="129" t="s">
        <v>96</v>
      </c>
      <c r="M32" s="21">
        <v>40</v>
      </c>
      <c r="N32" s="21" t="s">
        <v>96</v>
      </c>
      <c r="O32" s="21">
        <v>31</v>
      </c>
      <c r="P32" s="129">
        <v>4.5999999999999996</v>
      </c>
      <c r="Q32" s="129" t="s">
        <v>96</v>
      </c>
      <c r="R32" s="129" t="s">
        <v>96</v>
      </c>
      <c r="S32" s="129" t="s">
        <v>96</v>
      </c>
      <c r="T32" s="134">
        <v>12</v>
      </c>
      <c r="U32" s="134">
        <v>1.4</v>
      </c>
      <c r="V32" s="118" t="s">
        <v>96</v>
      </c>
      <c r="W32" s="134">
        <v>4.4000000000000004</v>
      </c>
      <c r="X32" s="122">
        <v>7.4</v>
      </c>
      <c r="Y32" s="124" t="s">
        <v>96</v>
      </c>
      <c r="Z32" s="122">
        <v>4</v>
      </c>
    </row>
    <row r="33" spans="1:26" x14ac:dyDescent="0.25">
      <c r="A33" s="4" t="s">
        <v>166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34"/>
      <c r="U33" s="134"/>
      <c r="V33" s="149"/>
      <c r="W33" s="122"/>
      <c r="X33" s="122"/>
      <c r="Y33" s="150"/>
      <c r="Z33" s="122"/>
    </row>
    <row r="34" spans="1:26" ht="19.5" x14ac:dyDescent="0.25">
      <c r="A34" s="14" t="s">
        <v>272</v>
      </c>
      <c r="B34" s="129" t="s">
        <v>96</v>
      </c>
      <c r="C34" s="129" t="s">
        <v>96</v>
      </c>
      <c r="D34" s="129">
        <v>7.3</v>
      </c>
      <c r="E34" s="129">
        <v>2.4</v>
      </c>
      <c r="F34" s="21">
        <v>12</v>
      </c>
      <c r="G34" s="129" t="s">
        <v>96</v>
      </c>
      <c r="H34" s="129" t="s">
        <v>96</v>
      </c>
      <c r="I34" s="129" t="s">
        <v>96</v>
      </c>
      <c r="J34" s="21">
        <v>12</v>
      </c>
      <c r="K34" s="129">
        <v>2.4</v>
      </c>
      <c r="L34" s="129" t="s">
        <v>96</v>
      </c>
      <c r="M34" s="129" t="s">
        <v>96</v>
      </c>
      <c r="N34" s="129" t="s">
        <v>96</v>
      </c>
      <c r="O34" s="129" t="s">
        <v>96</v>
      </c>
      <c r="P34" s="129">
        <v>2.4</v>
      </c>
      <c r="Q34" s="129" t="s">
        <v>96</v>
      </c>
      <c r="R34" s="129" t="s">
        <v>96</v>
      </c>
      <c r="S34" s="129" t="s">
        <v>96</v>
      </c>
      <c r="T34" s="134" t="s">
        <v>96</v>
      </c>
      <c r="U34" s="134" t="s">
        <v>96</v>
      </c>
      <c r="V34" s="118" t="s">
        <v>96</v>
      </c>
      <c r="W34" s="118" t="s">
        <v>96</v>
      </c>
      <c r="X34" s="122" t="s">
        <v>96</v>
      </c>
      <c r="Y34" s="124" t="s">
        <v>96</v>
      </c>
      <c r="Z34" s="124" t="s">
        <v>96</v>
      </c>
    </row>
    <row r="35" spans="1:26" ht="19.5" x14ac:dyDescent="0.25">
      <c r="A35" s="14" t="s">
        <v>114</v>
      </c>
      <c r="B35" s="129">
        <v>5.2</v>
      </c>
      <c r="C35" s="129">
        <v>0.3</v>
      </c>
      <c r="D35" s="129" t="s">
        <v>96</v>
      </c>
      <c r="E35" s="129" t="s">
        <v>96</v>
      </c>
      <c r="F35" s="129">
        <v>2</v>
      </c>
      <c r="G35" s="21">
        <v>21</v>
      </c>
      <c r="H35" s="129">
        <v>6.4</v>
      </c>
      <c r="I35" s="129" t="s">
        <v>96</v>
      </c>
      <c r="J35" s="129" t="s">
        <v>96</v>
      </c>
      <c r="K35" s="21">
        <v>11</v>
      </c>
      <c r="L35" s="129" t="s">
        <v>96</v>
      </c>
      <c r="M35" s="21">
        <v>41</v>
      </c>
      <c r="N35" s="21" t="s">
        <v>96</v>
      </c>
      <c r="O35" s="21">
        <v>32</v>
      </c>
      <c r="P35" s="129">
        <v>3.9</v>
      </c>
      <c r="Q35" s="129" t="s">
        <v>96</v>
      </c>
      <c r="R35" s="129" t="s">
        <v>96</v>
      </c>
      <c r="S35" s="129" t="s">
        <v>96</v>
      </c>
      <c r="T35" s="134">
        <v>13</v>
      </c>
      <c r="U35" s="134">
        <v>1.5</v>
      </c>
      <c r="V35" s="118" t="s">
        <v>96</v>
      </c>
      <c r="W35" s="134">
        <v>4.5999999999999996</v>
      </c>
      <c r="X35" s="122">
        <v>7.7</v>
      </c>
      <c r="Y35" s="124" t="s">
        <v>96</v>
      </c>
      <c r="Z35" s="122">
        <v>4.2</v>
      </c>
    </row>
    <row r="36" spans="1:26" x14ac:dyDescent="0.25">
      <c r="A36" s="9" t="s">
        <v>24</v>
      </c>
      <c r="B36" s="129">
        <v>3.9</v>
      </c>
      <c r="C36" s="21">
        <v>18</v>
      </c>
      <c r="D36" s="129">
        <v>8.8000000000000007</v>
      </c>
      <c r="E36" s="129">
        <v>4</v>
      </c>
      <c r="F36" s="129">
        <v>3.6</v>
      </c>
      <c r="G36" s="129" t="s">
        <v>96</v>
      </c>
      <c r="H36" s="129">
        <v>0.8</v>
      </c>
      <c r="I36" s="129">
        <v>2.9</v>
      </c>
      <c r="J36" s="21">
        <v>11</v>
      </c>
      <c r="K36" s="129" t="s">
        <v>96</v>
      </c>
      <c r="L36" s="129" t="s">
        <v>96</v>
      </c>
      <c r="M36" s="129" t="s">
        <v>96</v>
      </c>
      <c r="N36" s="129" t="s">
        <v>96</v>
      </c>
      <c r="O36" s="129">
        <v>0.8</v>
      </c>
      <c r="P36" s="129" t="s">
        <v>96</v>
      </c>
      <c r="Q36" s="129" t="s">
        <v>96</v>
      </c>
      <c r="R36" s="129" t="s">
        <v>96</v>
      </c>
      <c r="S36" s="129" t="s">
        <v>96</v>
      </c>
      <c r="T36" s="134">
        <v>1.3</v>
      </c>
      <c r="U36" s="134" t="s">
        <v>96</v>
      </c>
      <c r="V36" s="134">
        <v>5.5</v>
      </c>
      <c r="W36" s="118" t="s">
        <v>96</v>
      </c>
      <c r="X36" s="122" t="s">
        <v>96</v>
      </c>
      <c r="Y36" s="124" t="s">
        <v>96</v>
      </c>
      <c r="Z36" s="124" t="s">
        <v>96</v>
      </c>
    </row>
    <row r="37" spans="1:26" x14ac:dyDescent="0.25">
      <c r="A37" s="9" t="s">
        <v>25</v>
      </c>
      <c r="B37" s="129">
        <v>6.3</v>
      </c>
      <c r="C37" s="129" t="s">
        <v>96</v>
      </c>
      <c r="D37" s="129" t="s">
        <v>96</v>
      </c>
      <c r="E37" s="129">
        <v>6</v>
      </c>
      <c r="F37" s="129">
        <v>5.5</v>
      </c>
      <c r="G37" s="129">
        <v>5.7</v>
      </c>
      <c r="H37" s="129" t="s">
        <v>96</v>
      </c>
      <c r="I37" s="129" t="s">
        <v>96</v>
      </c>
      <c r="J37" s="21">
        <v>64</v>
      </c>
      <c r="K37" s="21">
        <v>16</v>
      </c>
      <c r="L37" s="129" t="s">
        <v>96</v>
      </c>
      <c r="M37" s="21">
        <v>11</v>
      </c>
      <c r="N37" s="21">
        <v>16</v>
      </c>
      <c r="O37" s="129" t="s">
        <v>96</v>
      </c>
      <c r="P37" s="129" t="s">
        <v>96</v>
      </c>
      <c r="Q37" s="129" t="s">
        <v>96</v>
      </c>
      <c r="R37" s="129" t="s">
        <v>96</v>
      </c>
      <c r="S37" s="129" t="s">
        <v>96</v>
      </c>
      <c r="T37" s="134" t="s">
        <v>96</v>
      </c>
      <c r="U37" s="134" t="s">
        <v>96</v>
      </c>
      <c r="V37" s="118" t="s">
        <v>96</v>
      </c>
      <c r="W37" s="118" t="s">
        <v>96</v>
      </c>
      <c r="X37" s="122" t="s">
        <v>96</v>
      </c>
      <c r="Y37" s="134">
        <v>9.6</v>
      </c>
      <c r="Z37" s="124" t="s">
        <v>96</v>
      </c>
    </row>
    <row r="38" spans="1:26" x14ac:dyDescent="0.25">
      <c r="A38" s="9" t="s">
        <v>26</v>
      </c>
      <c r="B38" s="129" t="s">
        <v>96</v>
      </c>
      <c r="C38" s="129">
        <v>7.8</v>
      </c>
      <c r="D38" s="21">
        <v>11</v>
      </c>
      <c r="E38" s="129" t="s">
        <v>96</v>
      </c>
      <c r="F38" s="129" t="s">
        <v>96</v>
      </c>
      <c r="G38" s="129" t="s">
        <v>96</v>
      </c>
      <c r="H38" s="129" t="s">
        <v>96</v>
      </c>
      <c r="I38" s="129">
        <v>9.8000000000000007</v>
      </c>
      <c r="J38" s="129" t="s">
        <v>96</v>
      </c>
      <c r="K38" s="129">
        <v>7.1</v>
      </c>
      <c r="L38" s="129" t="s">
        <v>96</v>
      </c>
      <c r="M38" s="129" t="s">
        <v>96</v>
      </c>
      <c r="N38" s="129">
        <v>6.3</v>
      </c>
      <c r="O38" s="129" t="s">
        <v>96</v>
      </c>
      <c r="P38" s="129" t="s">
        <v>96</v>
      </c>
      <c r="Q38" s="129" t="s">
        <v>96</v>
      </c>
      <c r="R38" s="129" t="s">
        <v>96</v>
      </c>
      <c r="S38" s="129" t="s">
        <v>96</v>
      </c>
      <c r="T38" s="134">
        <v>6.9</v>
      </c>
      <c r="U38" s="134" t="s">
        <v>96</v>
      </c>
      <c r="V38" s="118" t="s">
        <v>96</v>
      </c>
      <c r="W38" s="118" t="s">
        <v>96</v>
      </c>
      <c r="X38" s="122" t="s">
        <v>96</v>
      </c>
      <c r="Y38" s="134">
        <v>17</v>
      </c>
      <c r="Z38" s="124" t="s">
        <v>96</v>
      </c>
    </row>
    <row r="39" spans="1:26" x14ac:dyDescent="0.25">
      <c r="A39" s="9" t="s">
        <v>27</v>
      </c>
      <c r="B39" s="129" t="s">
        <v>96</v>
      </c>
      <c r="C39" s="129">
        <v>5.5</v>
      </c>
      <c r="D39" s="21">
        <v>15</v>
      </c>
      <c r="E39" s="129">
        <v>3.4</v>
      </c>
      <c r="F39" s="129">
        <v>6.9</v>
      </c>
      <c r="G39" s="129">
        <v>4.7</v>
      </c>
      <c r="H39" s="129">
        <v>5</v>
      </c>
      <c r="I39" s="129">
        <v>2.7</v>
      </c>
      <c r="J39" s="129" t="s">
        <v>96</v>
      </c>
      <c r="K39" s="129">
        <v>5</v>
      </c>
      <c r="L39" s="129">
        <v>6.9</v>
      </c>
      <c r="M39" s="129" t="s">
        <v>96</v>
      </c>
      <c r="N39" s="129">
        <v>3.9</v>
      </c>
      <c r="O39" s="129" t="s">
        <v>96</v>
      </c>
      <c r="P39" s="129" t="s">
        <v>96</v>
      </c>
      <c r="Q39" s="129" t="s">
        <v>96</v>
      </c>
      <c r="R39" s="129" t="s">
        <v>96</v>
      </c>
      <c r="S39" s="129" t="s">
        <v>96</v>
      </c>
      <c r="T39" s="134" t="s">
        <v>96</v>
      </c>
      <c r="U39" s="134" t="s">
        <v>96</v>
      </c>
      <c r="V39" s="118" t="s">
        <v>96</v>
      </c>
      <c r="W39" s="118" t="s">
        <v>96</v>
      </c>
      <c r="X39" s="122" t="s">
        <v>96</v>
      </c>
      <c r="Y39" s="124" t="s">
        <v>96</v>
      </c>
      <c r="Z39" s="124" t="s">
        <v>96</v>
      </c>
    </row>
    <row r="40" spans="1:26" x14ac:dyDescent="0.25">
      <c r="A40" s="9" t="s">
        <v>28</v>
      </c>
      <c r="B40" s="129" t="s">
        <v>96</v>
      </c>
      <c r="C40" s="129" t="s">
        <v>96</v>
      </c>
      <c r="D40" s="129" t="s">
        <v>96</v>
      </c>
      <c r="E40" s="129" t="s">
        <v>96</v>
      </c>
      <c r="F40" s="129" t="s">
        <v>96</v>
      </c>
      <c r="G40" s="129">
        <v>3</v>
      </c>
      <c r="H40" s="129" t="s">
        <v>96</v>
      </c>
      <c r="I40" s="129">
        <v>4</v>
      </c>
      <c r="J40" s="129" t="s">
        <v>96</v>
      </c>
      <c r="K40" s="21">
        <v>11</v>
      </c>
      <c r="L40" s="21">
        <v>16</v>
      </c>
      <c r="M40" s="21" t="s">
        <v>96</v>
      </c>
      <c r="N40" s="21">
        <v>16</v>
      </c>
      <c r="O40" s="129" t="s">
        <v>96</v>
      </c>
      <c r="P40" s="129" t="s">
        <v>96</v>
      </c>
      <c r="Q40" s="21">
        <v>12</v>
      </c>
      <c r="R40" s="129" t="s">
        <v>96</v>
      </c>
      <c r="S40" s="129" t="s">
        <v>96</v>
      </c>
      <c r="T40" s="134" t="s">
        <v>96</v>
      </c>
      <c r="U40" s="134" t="s">
        <v>96</v>
      </c>
      <c r="V40" s="118" t="s">
        <v>96</v>
      </c>
      <c r="W40" s="118" t="s">
        <v>96</v>
      </c>
      <c r="X40" s="122" t="s">
        <v>96</v>
      </c>
      <c r="Y40" s="124" t="s">
        <v>96</v>
      </c>
      <c r="Z40" s="124" t="s">
        <v>96</v>
      </c>
    </row>
    <row r="41" spans="1:26" x14ac:dyDescent="0.25">
      <c r="A41" s="9" t="s">
        <v>29</v>
      </c>
      <c r="B41" s="129" t="s">
        <v>96</v>
      </c>
      <c r="C41" s="129" t="s">
        <v>96</v>
      </c>
      <c r="D41" s="129" t="s">
        <v>96</v>
      </c>
      <c r="E41" s="21">
        <v>38</v>
      </c>
      <c r="F41" s="21">
        <v>17</v>
      </c>
      <c r="G41" s="129" t="s">
        <v>96</v>
      </c>
      <c r="H41" s="21">
        <v>20</v>
      </c>
      <c r="I41" s="129">
        <v>6.8</v>
      </c>
      <c r="J41" s="129">
        <v>4.3</v>
      </c>
      <c r="K41" s="129" t="s">
        <v>96</v>
      </c>
      <c r="L41" s="129" t="s">
        <v>96</v>
      </c>
      <c r="M41" s="129">
        <v>1.5</v>
      </c>
      <c r="N41" s="129" t="s">
        <v>96</v>
      </c>
      <c r="O41" s="129">
        <v>5.3</v>
      </c>
      <c r="P41" s="129" t="s">
        <v>96</v>
      </c>
      <c r="Q41" s="129" t="s">
        <v>96</v>
      </c>
      <c r="R41" s="21">
        <v>14</v>
      </c>
      <c r="S41" s="129" t="s">
        <v>96</v>
      </c>
      <c r="T41" s="134">
        <v>18</v>
      </c>
      <c r="U41" s="134" t="s">
        <v>96</v>
      </c>
      <c r="V41" s="118" t="s">
        <v>96</v>
      </c>
      <c r="W41" s="118" t="s">
        <v>96</v>
      </c>
      <c r="X41" s="122" t="s">
        <v>96</v>
      </c>
      <c r="Y41" s="124" t="s">
        <v>96</v>
      </c>
      <c r="Z41" s="122">
        <v>0.5</v>
      </c>
    </row>
    <row r="42" spans="1:26" x14ac:dyDescent="0.25">
      <c r="A42" s="9" t="s">
        <v>30</v>
      </c>
      <c r="B42" s="129" t="s">
        <v>96</v>
      </c>
      <c r="C42" s="129" t="s">
        <v>96</v>
      </c>
      <c r="D42" s="129" t="s">
        <v>96</v>
      </c>
      <c r="E42" s="129">
        <v>1.7</v>
      </c>
      <c r="F42" s="129">
        <v>1.9</v>
      </c>
      <c r="G42" s="129" t="s">
        <v>96</v>
      </c>
      <c r="H42" s="129" t="s">
        <v>96</v>
      </c>
      <c r="I42" s="129">
        <v>0.4</v>
      </c>
      <c r="J42" s="129">
        <v>3.1</v>
      </c>
      <c r="K42" s="21">
        <v>11</v>
      </c>
      <c r="L42" s="21">
        <v>15</v>
      </c>
      <c r="M42" s="129">
        <v>7.7</v>
      </c>
      <c r="N42" s="129" t="s">
        <v>96</v>
      </c>
      <c r="O42" s="129" t="s">
        <v>96</v>
      </c>
      <c r="P42" s="129" t="s">
        <v>96</v>
      </c>
      <c r="Q42" s="21">
        <v>11</v>
      </c>
      <c r="R42" s="21">
        <v>11</v>
      </c>
      <c r="S42" s="129" t="s">
        <v>96</v>
      </c>
      <c r="T42" s="134" t="s">
        <v>96</v>
      </c>
      <c r="U42" s="134">
        <v>6.1</v>
      </c>
      <c r="V42" s="134">
        <v>1.2</v>
      </c>
      <c r="W42" s="134">
        <v>7.6</v>
      </c>
      <c r="X42" s="122">
        <v>7.9</v>
      </c>
      <c r="Y42" s="124" t="s">
        <v>96</v>
      </c>
      <c r="Z42" s="20">
        <v>15</v>
      </c>
    </row>
    <row r="43" spans="1:26" ht="18" x14ac:dyDescent="0.25">
      <c r="A43" s="8" t="s">
        <v>220</v>
      </c>
      <c r="B43" s="123">
        <v>3.2</v>
      </c>
      <c r="C43" s="123">
        <v>6.5</v>
      </c>
      <c r="D43" s="123">
        <v>3.1</v>
      </c>
      <c r="E43" s="123">
        <v>6.4</v>
      </c>
      <c r="F43" s="123">
        <v>3.4</v>
      </c>
      <c r="G43" s="123">
        <v>2</v>
      </c>
      <c r="H43" s="123">
        <v>4.7</v>
      </c>
      <c r="I43" s="123">
        <v>2.8</v>
      </c>
      <c r="J43" s="123">
        <v>1.2</v>
      </c>
      <c r="K43" s="123">
        <v>4.3</v>
      </c>
      <c r="L43" s="123">
        <v>8.6999999999999993</v>
      </c>
      <c r="M43" s="123">
        <v>4.9000000000000004</v>
      </c>
      <c r="N43" s="123">
        <v>1</v>
      </c>
      <c r="O43" s="123">
        <v>3.1</v>
      </c>
      <c r="P43" s="123">
        <v>0.5</v>
      </c>
      <c r="Q43" s="123">
        <v>0.4</v>
      </c>
      <c r="R43" s="123">
        <v>1</v>
      </c>
      <c r="S43" s="123">
        <v>0.1</v>
      </c>
      <c r="T43" s="123">
        <v>2.2000000000000002</v>
      </c>
      <c r="U43" s="123" t="s">
        <v>96</v>
      </c>
      <c r="V43" s="133">
        <v>5.5</v>
      </c>
      <c r="W43" s="124">
        <v>0.7</v>
      </c>
      <c r="X43" s="124">
        <v>4.4000000000000004</v>
      </c>
      <c r="Y43" s="133">
        <v>2.4</v>
      </c>
      <c r="Z43" s="124">
        <v>1.7</v>
      </c>
    </row>
    <row r="44" spans="1:26" x14ac:dyDescent="0.25">
      <c r="A44" s="9" t="s">
        <v>31</v>
      </c>
      <c r="B44" s="123" t="s">
        <v>96</v>
      </c>
      <c r="C44" s="21">
        <v>67</v>
      </c>
      <c r="D44" s="123" t="s">
        <v>96</v>
      </c>
      <c r="E44" s="123" t="s">
        <v>96</v>
      </c>
      <c r="F44" s="123" t="s">
        <v>96</v>
      </c>
      <c r="G44" s="129" t="s">
        <v>96</v>
      </c>
      <c r="H44" s="129" t="s">
        <v>96</v>
      </c>
      <c r="I44" s="21">
        <v>11</v>
      </c>
      <c r="J44" s="129" t="s">
        <v>96</v>
      </c>
      <c r="K44" s="21">
        <v>34</v>
      </c>
      <c r="L44" s="21">
        <v>34</v>
      </c>
      <c r="M44" s="21">
        <v>23</v>
      </c>
      <c r="N44" s="129" t="s">
        <v>96</v>
      </c>
      <c r="O44" s="129" t="s">
        <v>96</v>
      </c>
      <c r="P44" s="129" t="s">
        <v>96</v>
      </c>
      <c r="Q44" s="129" t="s">
        <v>96</v>
      </c>
      <c r="R44" s="129">
        <v>8.6</v>
      </c>
      <c r="S44" s="129" t="s">
        <v>96</v>
      </c>
      <c r="T44" s="134">
        <v>13</v>
      </c>
      <c r="U44" s="134" t="s">
        <v>96</v>
      </c>
      <c r="V44" s="134">
        <v>13</v>
      </c>
      <c r="W44" s="118" t="s">
        <v>96</v>
      </c>
      <c r="X44" s="122" t="s">
        <v>96</v>
      </c>
      <c r="Y44" s="124" t="s">
        <v>96</v>
      </c>
      <c r="Z44" s="124" t="s">
        <v>96</v>
      </c>
    </row>
    <row r="45" spans="1:26" x14ac:dyDescent="0.25">
      <c r="A45" s="9" t="s">
        <v>32</v>
      </c>
      <c r="B45" s="129" t="s">
        <v>96</v>
      </c>
      <c r="C45" s="21">
        <v>12</v>
      </c>
      <c r="D45" s="129" t="s">
        <v>96</v>
      </c>
      <c r="E45" s="129" t="s">
        <v>96</v>
      </c>
      <c r="F45" s="21">
        <v>10</v>
      </c>
      <c r="G45" s="129">
        <v>3.4</v>
      </c>
      <c r="H45" s="129" t="s">
        <v>96</v>
      </c>
      <c r="I45" s="21">
        <v>10</v>
      </c>
      <c r="J45" s="129" t="s">
        <v>96</v>
      </c>
      <c r="K45" s="129" t="s">
        <v>96</v>
      </c>
      <c r="L45" s="129" t="s">
        <v>96</v>
      </c>
      <c r="M45" s="21">
        <v>21</v>
      </c>
      <c r="N45" s="21">
        <v>32</v>
      </c>
      <c r="O45" s="21">
        <v>14</v>
      </c>
      <c r="P45" s="21">
        <v>11</v>
      </c>
      <c r="Q45" s="129" t="s">
        <v>96</v>
      </c>
      <c r="R45" s="129" t="s">
        <v>96</v>
      </c>
      <c r="S45" s="129" t="s">
        <v>96</v>
      </c>
      <c r="T45" s="134" t="s">
        <v>96</v>
      </c>
      <c r="U45" s="134" t="s">
        <v>96</v>
      </c>
      <c r="V45" s="118" t="s">
        <v>96</v>
      </c>
      <c r="W45" s="118" t="s">
        <v>96</v>
      </c>
      <c r="X45" s="122" t="s">
        <v>96</v>
      </c>
      <c r="Y45" s="124" t="s">
        <v>96</v>
      </c>
      <c r="Z45" s="124" t="s">
        <v>96</v>
      </c>
    </row>
    <row r="46" spans="1:26" x14ac:dyDescent="0.25">
      <c r="A46" s="9" t="s">
        <v>150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 t="s">
        <v>96</v>
      </c>
      <c r="Q46" s="129" t="s">
        <v>96</v>
      </c>
      <c r="R46" s="129" t="s">
        <v>96</v>
      </c>
      <c r="S46" s="129" t="s">
        <v>96</v>
      </c>
      <c r="T46" s="134" t="s">
        <v>96</v>
      </c>
      <c r="U46" s="134" t="s">
        <v>96</v>
      </c>
      <c r="V46" s="134">
        <v>38</v>
      </c>
      <c r="W46" s="118" t="s">
        <v>96</v>
      </c>
      <c r="X46" s="122" t="s">
        <v>96</v>
      </c>
      <c r="Y46" s="124" t="s">
        <v>96</v>
      </c>
      <c r="Z46" s="124" t="s">
        <v>96</v>
      </c>
    </row>
    <row r="47" spans="1:26" x14ac:dyDescent="0.25">
      <c r="A47" s="9" t="s">
        <v>34</v>
      </c>
      <c r="B47" s="129" t="s">
        <v>96</v>
      </c>
      <c r="C47" s="129" t="s">
        <v>96</v>
      </c>
      <c r="D47" s="129">
        <v>4.2</v>
      </c>
      <c r="E47" s="129">
        <v>0.3</v>
      </c>
      <c r="F47" s="129">
        <v>2.5</v>
      </c>
      <c r="G47" s="129" t="s">
        <v>96</v>
      </c>
      <c r="H47" s="129">
        <v>2.8</v>
      </c>
      <c r="I47" s="129">
        <v>2.5</v>
      </c>
      <c r="J47" s="129">
        <v>0.5</v>
      </c>
      <c r="K47" s="129">
        <v>0.6</v>
      </c>
      <c r="L47" s="129">
        <v>3.5</v>
      </c>
      <c r="M47" s="129">
        <v>8.6999999999999993</v>
      </c>
      <c r="N47" s="129">
        <v>0.8</v>
      </c>
      <c r="O47" s="129">
        <v>6.3</v>
      </c>
      <c r="P47" s="129" t="s">
        <v>96</v>
      </c>
      <c r="Q47" s="129">
        <v>0.9</v>
      </c>
      <c r="R47" s="129" t="s">
        <v>96</v>
      </c>
      <c r="S47" s="129" t="s">
        <v>96</v>
      </c>
      <c r="T47" s="134">
        <v>2.7</v>
      </c>
      <c r="U47" s="134" t="s">
        <v>96</v>
      </c>
      <c r="V47" s="118" t="s">
        <v>96</v>
      </c>
      <c r="W47" s="131">
        <v>1</v>
      </c>
      <c r="X47" s="122">
        <v>7</v>
      </c>
      <c r="Y47" s="134">
        <v>2.6</v>
      </c>
      <c r="Z47" s="124" t="s">
        <v>96</v>
      </c>
    </row>
    <row r="48" spans="1:26" x14ac:dyDescent="0.25">
      <c r="A48" s="9" t="s">
        <v>35</v>
      </c>
      <c r="B48" s="129">
        <v>2.4</v>
      </c>
      <c r="C48" s="21">
        <v>15</v>
      </c>
      <c r="D48" s="129" t="s">
        <v>96</v>
      </c>
      <c r="E48" s="129" t="s">
        <v>96</v>
      </c>
      <c r="F48" s="129" t="s">
        <v>96</v>
      </c>
      <c r="G48" s="129">
        <v>6</v>
      </c>
      <c r="H48" s="21">
        <v>22</v>
      </c>
      <c r="I48" s="21">
        <v>14</v>
      </c>
      <c r="J48" s="129">
        <v>9.5</v>
      </c>
      <c r="K48" s="21">
        <v>17</v>
      </c>
      <c r="L48" s="21">
        <v>33</v>
      </c>
      <c r="M48" s="129" t="s">
        <v>96</v>
      </c>
      <c r="N48" s="129" t="s">
        <v>96</v>
      </c>
      <c r="O48" s="129" t="s">
        <v>96</v>
      </c>
      <c r="P48" s="129" t="s">
        <v>96</v>
      </c>
      <c r="Q48" s="129" t="s">
        <v>96</v>
      </c>
      <c r="R48" s="129" t="s">
        <v>96</v>
      </c>
      <c r="S48" s="129" t="s">
        <v>96</v>
      </c>
      <c r="T48" s="134" t="s">
        <v>96</v>
      </c>
      <c r="U48" s="134" t="s">
        <v>96</v>
      </c>
      <c r="V48" s="118" t="s">
        <v>96</v>
      </c>
      <c r="W48" s="118" t="s">
        <v>96</v>
      </c>
      <c r="X48" s="122" t="s">
        <v>96</v>
      </c>
      <c r="Y48" s="134">
        <v>3.2</v>
      </c>
      <c r="Z48" s="122">
        <v>1</v>
      </c>
    </row>
    <row r="49" spans="1:26" x14ac:dyDescent="0.25">
      <c r="A49" s="9" t="s">
        <v>36</v>
      </c>
      <c r="B49" s="129">
        <v>8.5</v>
      </c>
      <c r="C49" s="129">
        <v>9.1999999999999993</v>
      </c>
      <c r="D49" s="129" t="s">
        <v>96</v>
      </c>
      <c r="E49" s="129">
        <v>1.2</v>
      </c>
      <c r="F49" s="129">
        <v>2.1</v>
      </c>
      <c r="G49" s="129" t="s">
        <v>96</v>
      </c>
      <c r="H49" s="129">
        <v>9.1</v>
      </c>
      <c r="I49" s="129" t="s">
        <v>96</v>
      </c>
      <c r="J49" s="129">
        <v>1</v>
      </c>
      <c r="K49" s="129">
        <v>2.5</v>
      </c>
      <c r="L49" s="21">
        <v>15</v>
      </c>
      <c r="M49" s="129" t="s">
        <v>96</v>
      </c>
      <c r="N49" s="129" t="s">
        <v>96</v>
      </c>
      <c r="O49" s="129">
        <v>1.9</v>
      </c>
      <c r="P49" s="129" t="s">
        <v>96</v>
      </c>
      <c r="Q49" s="129" t="s">
        <v>96</v>
      </c>
      <c r="R49" s="129" t="s">
        <v>96</v>
      </c>
      <c r="S49" s="129">
        <v>0.1</v>
      </c>
      <c r="T49" s="131">
        <v>5.9</v>
      </c>
      <c r="U49" s="131" t="s">
        <v>96</v>
      </c>
      <c r="V49" s="134">
        <v>4.7</v>
      </c>
      <c r="W49" s="122">
        <v>2.4</v>
      </c>
      <c r="X49" s="122">
        <v>4.8</v>
      </c>
      <c r="Y49" s="134">
        <v>2.8</v>
      </c>
      <c r="Z49" s="124" t="s">
        <v>96</v>
      </c>
    </row>
    <row r="50" spans="1:26" x14ac:dyDescent="0.25">
      <c r="A50" s="9" t="s">
        <v>37</v>
      </c>
      <c r="B50" s="129">
        <v>4.5</v>
      </c>
      <c r="C50" s="129">
        <v>4.0999999999999996</v>
      </c>
      <c r="D50" s="129">
        <v>5</v>
      </c>
      <c r="E50" s="21">
        <v>19</v>
      </c>
      <c r="F50" s="129">
        <v>6</v>
      </c>
      <c r="G50" s="129">
        <v>4.7</v>
      </c>
      <c r="H50" s="129">
        <v>1.2</v>
      </c>
      <c r="I50" s="129">
        <v>0.9</v>
      </c>
      <c r="J50" s="129">
        <v>0.6</v>
      </c>
      <c r="K50" s="129">
        <v>4.2</v>
      </c>
      <c r="L50" s="129">
        <v>3</v>
      </c>
      <c r="M50" s="129">
        <v>1.4</v>
      </c>
      <c r="N50" s="129" t="s">
        <v>96</v>
      </c>
      <c r="O50" s="129">
        <v>0.3</v>
      </c>
      <c r="P50" s="129">
        <v>1.1000000000000001</v>
      </c>
      <c r="Q50" s="129" t="s">
        <v>96</v>
      </c>
      <c r="R50" s="129">
        <v>3.1</v>
      </c>
      <c r="S50" s="129">
        <v>0.2</v>
      </c>
      <c r="T50" s="134" t="s">
        <v>96</v>
      </c>
      <c r="U50" s="134" t="s">
        <v>96</v>
      </c>
      <c r="V50" s="118" t="s">
        <v>96</v>
      </c>
      <c r="W50" s="118" t="s">
        <v>96</v>
      </c>
      <c r="X50" s="122">
        <v>4.8</v>
      </c>
      <c r="Y50" s="134">
        <v>3.5</v>
      </c>
      <c r="Z50" s="122">
        <v>6.8</v>
      </c>
    </row>
    <row r="51" spans="1:26" x14ac:dyDescent="0.25">
      <c r="A51" s="9" t="s">
        <v>38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 t="s">
        <v>96</v>
      </c>
      <c r="Q51" s="129">
        <v>4.8</v>
      </c>
      <c r="R51" s="129" t="s">
        <v>96</v>
      </c>
      <c r="S51" s="129" t="s">
        <v>96</v>
      </c>
      <c r="T51" s="134" t="s">
        <v>96</v>
      </c>
      <c r="U51" s="134" t="s">
        <v>96</v>
      </c>
      <c r="V51" s="118" t="s">
        <v>96</v>
      </c>
      <c r="W51" s="118" t="s">
        <v>96</v>
      </c>
      <c r="X51" s="122" t="s">
        <v>96</v>
      </c>
      <c r="Y51" s="124" t="s">
        <v>96</v>
      </c>
      <c r="Z51" s="124" t="s">
        <v>96</v>
      </c>
    </row>
    <row r="52" spans="1:26" ht="18" x14ac:dyDescent="0.25">
      <c r="A52" s="8" t="s">
        <v>132</v>
      </c>
      <c r="B52" s="123">
        <v>7.6</v>
      </c>
      <c r="C52" s="123">
        <v>3.4</v>
      </c>
      <c r="D52" s="123">
        <v>4.7</v>
      </c>
      <c r="E52" s="123">
        <v>3.2</v>
      </c>
      <c r="F52" s="123">
        <v>4.2</v>
      </c>
      <c r="G52" s="123">
        <v>1.5</v>
      </c>
      <c r="H52" s="123">
        <v>4.3</v>
      </c>
      <c r="I52" s="123">
        <v>3.6</v>
      </c>
      <c r="J52" s="123">
        <v>6.2</v>
      </c>
      <c r="K52" s="123">
        <v>4.5</v>
      </c>
      <c r="L52" s="123">
        <v>3.5</v>
      </c>
      <c r="M52" s="22">
        <v>30</v>
      </c>
      <c r="N52" s="123">
        <v>9.6</v>
      </c>
      <c r="O52" s="22">
        <v>11</v>
      </c>
      <c r="P52" s="123">
        <v>2.6</v>
      </c>
      <c r="Q52" s="123">
        <v>6.6</v>
      </c>
      <c r="R52" s="22">
        <v>11</v>
      </c>
      <c r="S52" s="123">
        <v>7.3</v>
      </c>
      <c r="T52" s="120">
        <v>2.8</v>
      </c>
      <c r="U52" s="120">
        <v>6.3</v>
      </c>
      <c r="V52" s="130">
        <v>4</v>
      </c>
      <c r="W52" s="124">
        <v>1.3</v>
      </c>
      <c r="X52" s="124">
        <v>3.2</v>
      </c>
      <c r="Y52" s="133">
        <v>3.8</v>
      </c>
      <c r="Z52" s="124">
        <v>1.7</v>
      </c>
    </row>
    <row r="53" spans="1:26" x14ac:dyDescent="0.25">
      <c r="A53" s="9" t="s">
        <v>39</v>
      </c>
      <c r="B53" s="129">
        <v>3.8</v>
      </c>
      <c r="C53" s="129">
        <v>2.5</v>
      </c>
      <c r="D53" s="129">
        <v>1.3</v>
      </c>
      <c r="E53" s="129">
        <v>9.4</v>
      </c>
      <c r="F53" s="129">
        <v>0.4</v>
      </c>
      <c r="G53" s="129">
        <v>5.0999999999999996</v>
      </c>
      <c r="H53" s="129">
        <v>3</v>
      </c>
      <c r="I53" s="21">
        <v>12</v>
      </c>
      <c r="J53" s="129">
        <v>7.3</v>
      </c>
      <c r="K53" s="21">
        <v>14</v>
      </c>
      <c r="L53" s="129" t="s">
        <v>96</v>
      </c>
      <c r="M53" s="129">
        <v>5.0999999999999996</v>
      </c>
      <c r="N53" s="129">
        <v>0.6</v>
      </c>
      <c r="O53" s="129">
        <v>3.2</v>
      </c>
      <c r="P53" s="129">
        <v>6.9</v>
      </c>
      <c r="Q53" s="129">
        <v>2.7</v>
      </c>
      <c r="R53" s="129">
        <v>8.1</v>
      </c>
      <c r="S53" s="129">
        <v>4.9000000000000004</v>
      </c>
      <c r="T53" s="118" t="s">
        <v>96</v>
      </c>
      <c r="U53" s="118" t="s">
        <v>96</v>
      </c>
      <c r="V53" s="118" t="s">
        <v>96</v>
      </c>
      <c r="W53" s="118" t="s">
        <v>96</v>
      </c>
      <c r="X53" s="122" t="s">
        <v>96</v>
      </c>
      <c r="Y53" s="134">
        <v>1.2</v>
      </c>
      <c r="Z53" s="124" t="s">
        <v>96</v>
      </c>
    </row>
    <row r="54" spans="1:26" x14ac:dyDescent="0.25">
      <c r="A54" s="9" t="s">
        <v>99</v>
      </c>
      <c r="B54" s="21">
        <v>25</v>
      </c>
      <c r="C54" s="129" t="s">
        <v>96</v>
      </c>
      <c r="D54" s="129" t="s">
        <v>96</v>
      </c>
      <c r="E54" s="129" t="s">
        <v>96</v>
      </c>
      <c r="F54" s="129" t="s">
        <v>96</v>
      </c>
      <c r="G54" s="129" t="s">
        <v>96</v>
      </c>
      <c r="H54" s="21">
        <v>10</v>
      </c>
      <c r="I54" s="129" t="s">
        <v>96</v>
      </c>
      <c r="J54" s="129" t="s">
        <v>96</v>
      </c>
      <c r="K54" s="129" t="s">
        <v>96</v>
      </c>
      <c r="L54" s="129" t="s">
        <v>96</v>
      </c>
      <c r="M54" s="21">
        <v>12</v>
      </c>
      <c r="N54" s="129" t="s">
        <v>96</v>
      </c>
      <c r="O54" s="129" t="s">
        <v>96</v>
      </c>
      <c r="P54" s="21">
        <v>11</v>
      </c>
      <c r="Q54" s="129" t="s">
        <v>96</v>
      </c>
      <c r="R54" s="21">
        <v>77</v>
      </c>
      <c r="S54" s="129" t="s">
        <v>96</v>
      </c>
      <c r="T54" s="118" t="s">
        <v>96</v>
      </c>
      <c r="U54" s="118" t="s">
        <v>96</v>
      </c>
      <c r="V54" s="21">
        <v>22</v>
      </c>
      <c r="W54" s="118" t="s">
        <v>96</v>
      </c>
      <c r="X54" s="122" t="s">
        <v>96</v>
      </c>
      <c r="Y54" s="21">
        <v>59</v>
      </c>
      <c r="Z54" s="122">
        <v>9.4</v>
      </c>
    </row>
    <row r="55" spans="1:26" ht="19.5" x14ac:dyDescent="0.25">
      <c r="A55" s="9" t="s">
        <v>41</v>
      </c>
      <c r="B55" s="21">
        <v>25</v>
      </c>
      <c r="C55" s="129" t="s">
        <v>96</v>
      </c>
      <c r="D55" s="21">
        <v>29</v>
      </c>
      <c r="E55" s="129">
        <v>4.9000000000000004</v>
      </c>
      <c r="F55" s="21">
        <v>24</v>
      </c>
      <c r="G55" s="129" t="s">
        <v>96</v>
      </c>
      <c r="H55" s="129" t="s">
        <v>96</v>
      </c>
      <c r="I55" s="129" t="s">
        <v>96</v>
      </c>
      <c r="J55" s="21">
        <v>30</v>
      </c>
      <c r="K55" s="129" t="s">
        <v>96</v>
      </c>
      <c r="L55" s="129" t="s">
        <v>96</v>
      </c>
      <c r="M55" s="129" t="s">
        <v>96</v>
      </c>
      <c r="N55" s="129" t="s">
        <v>96</v>
      </c>
      <c r="O55" s="129" t="s">
        <v>96</v>
      </c>
      <c r="P55" s="129" t="s">
        <v>96</v>
      </c>
      <c r="Q55" s="129">
        <v>2.9</v>
      </c>
      <c r="R55" s="21">
        <v>14</v>
      </c>
      <c r="S55" s="21">
        <v>15</v>
      </c>
      <c r="T55" s="118" t="s">
        <v>96</v>
      </c>
      <c r="U55" s="118" t="s">
        <v>96</v>
      </c>
      <c r="V55" s="21">
        <v>20</v>
      </c>
      <c r="W55" s="118" t="s">
        <v>96</v>
      </c>
      <c r="X55" s="122" t="s">
        <v>96</v>
      </c>
      <c r="Y55" s="124" t="s">
        <v>96</v>
      </c>
      <c r="Z55" s="124" t="s">
        <v>96</v>
      </c>
    </row>
    <row r="56" spans="1:26" ht="19.5" x14ac:dyDescent="0.25">
      <c r="A56" s="9" t="s">
        <v>42</v>
      </c>
      <c r="B56" s="21">
        <v>11</v>
      </c>
      <c r="C56" s="129" t="s">
        <v>96</v>
      </c>
      <c r="D56" s="129" t="s">
        <v>96</v>
      </c>
      <c r="E56" s="129" t="s">
        <v>96</v>
      </c>
      <c r="F56" s="129" t="s">
        <v>96</v>
      </c>
      <c r="G56" s="129" t="s">
        <v>96</v>
      </c>
      <c r="H56" s="129" t="s">
        <v>96</v>
      </c>
      <c r="I56" s="129" t="s">
        <v>96</v>
      </c>
      <c r="J56" s="129" t="s">
        <v>96</v>
      </c>
      <c r="K56" s="129" t="s">
        <v>96</v>
      </c>
      <c r="L56" s="129">
        <v>5.3</v>
      </c>
      <c r="M56" s="129" t="s">
        <v>96</v>
      </c>
      <c r="N56" s="129" t="s">
        <v>96</v>
      </c>
      <c r="O56" s="129" t="s">
        <v>96</v>
      </c>
      <c r="P56" s="129" t="s">
        <v>96</v>
      </c>
      <c r="Q56" s="21">
        <v>17</v>
      </c>
      <c r="R56" s="21" t="s">
        <v>96</v>
      </c>
      <c r="S56" s="21">
        <v>45</v>
      </c>
      <c r="T56" s="118" t="s">
        <v>96</v>
      </c>
      <c r="U56" s="118" t="s">
        <v>96</v>
      </c>
      <c r="V56" s="118" t="s">
        <v>96</v>
      </c>
      <c r="W56" s="118" t="s">
        <v>96</v>
      </c>
      <c r="X56" s="122" t="s">
        <v>96</v>
      </c>
      <c r="Y56" s="124" t="s">
        <v>96</v>
      </c>
      <c r="Z56" s="124" t="s">
        <v>96</v>
      </c>
    </row>
    <row r="57" spans="1:26" ht="19.5" x14ac:dyDescent="0.25">
      <c r="A57" s="9" t="s">
        <v>43</v>
      </c>
      <c r="B57" s="21">
        <v>19</v>
      </c>
      <c r="C57" s="21">
        <v>21</v>
      </c>
      <c r="D57" s="21">
        <v>17</v>
      </c>
      <c r="E57" s="129" t="s">
        <v>96</v>
      </c>
      <c r="F57" s="129">
        <v>8.1999999999999993</v>
      </c>
      <c r="G57" s="129" t="s">
        <v>96</v>
      </c>
      <c r="H57" s="129" t="s">
        <v>96</v>
      </c>
      <c r="I57" s="129" t="s">
        <v>96</v>
      </c>
      <c r="J57" s="129" t="s">
        <v>96</v>
      </c>
      <c r="K57" s="129" t="s">
        <v>96</v>
      </c>
      <c r="L57" s="21">
        <v>42</v>
      </c>
      <c r="M57" s="129" t="s">
        <v>96</v>
      </c>
      <c r="N57" s="129">
        <v>5.5</v>
      </c>
      <c r="O57" s="129" t="s">
        <v>96</v>
      </c>
      <c r="P57" s="129" t="s">
        <v>96</v>
      </c>
      <c r="Q57" s="129" t="s">
        <v>96</v>
      </c>
      <c r="R57" s="129" t="s">
        <v>96</v>
      </c>
      <c r="S57" s="21">
        <v>14</v>
      </c>
      <c r="T57" s="118">
        <v>39</v>
      </c>
      <c r="U57" s="118" t="s">
        <v>96</v>
      </c>
      <c r="V57" s="118" t="s">
        <v>96</v>
      </c>
      <c r="W57" s="118" t="s">
        <v>96</v>
      </c>
      <c r="X57" s="122" t="s">
        <v>96</v>
      </c>
      <c r="Y57" s="124" t="s">
        <v>96</v>
      </c>
      <c r="Z57" s="124" t="s">
        <v>96</v>
      </c>
    </row>
    <row r="58" spans="1:26" x14ac:dyDescent="0.25">
      <c r="A58" s="9" t="s">
        <v>97</v>
      </c>
      <c r="B58" s="129" t="s">
        <v>96</v>
      </c>
      <c r="C58" s="129" t="s">
        <v>96</v>
      </c>
      <c r="D58" s="129" t="s">
        <v>96</v>
      </c>
      <c r="E58" s="129" t="s">
        <v>96</v>
      </c>
      <c r="F58" s="129" t="s">
        <v>96</v>
      </c>
      <c r="G58" s="129" t="s">
        <v>96</v>
      </c>
      <c r="H58" s="129" t="s">
        <v>96</v>
      </c>
      <c r="I58" s="129" t="s">
        <v>96</v>
      </c>
      <c r="J58" s="129" t="s">
        <v>96</v>
      </c>
      <c r="K58" s="129" t="s">
        <v>96</v>
      </c>
      <c r="L58" s="129" t="s">
        <v>96</v>
      </c>
      <c r="M58" s="21">
        <v>201</v>
      </c>
      <c r="N58" s="21">
        <v>49</v>
      </c>
      <c r="O58" s="21">
        <v>66</v>
      </c>
      <c r="P58" s="21" t="s">
        <v>96</v>
      </c>
      <c r="Q58" s="21">
        <v>32</v>
      </c>
      <c r="R58" s="21">
        <v>18</v>
      </c>
      <c r="S58" s="129" t="s">
        <v>96</v>
      </c>
      <c r="T58" s="118" t="s">
        <v>96</v>
      </c>
      <c r="U58" s="118">
        <v>41</v>
      </c>
      <c r="V58" s="118">
        <v>6.7</v>
      </c>
      <c r="W58" s="122">
        <v>8.6</v>
      </c>
      <c r="X58" s="20">
        <v>21</v>
      </c>
      <c r="Y58" s="134">
        <v>1.6</v>
      </c>
      <c r="Z58" s="122">
        <v>8.1999999999999993</v>
      </c>
    </row>
    <row r="59" spans="1:26" x14ac:dyDescent="0.25">
      <c r="A59" s="9" t="s">
        <v>45</v>
      </c>
      <c r="B59" s="129">
        <v>2.4</v>
      </c>
      <c r="C59" s="129">
        <v>3.3</v>
      </c>
      <c r="D59" s="129" t="s">
        <v>96</v>
      </c>
      <c r="E59" s="129" t="s">
        <v>96</v>
      </c>
      <c r="F59" s="129">
        <v>3.3</v>
      </c>
      <c r="G59" s="129" t="s">
        <v>96</v>
      </c>
      <c r="H59" s="129">
        <v>9.8000000000000007</v>
      </c>
      <c r="I59" s="129" t="s">
        <v>96</v>
      </c>
      <c r="J59" s="129">
        <v>4</v>
      </c>
      <c r="K59" s="129">
        <v>0.9</v>
      </c>
      <c r="L59" s="129" t="s">
        <v>96</v>
      </c>
      <c r="M59" s="129" t="s">
        <v>96</v>
      </c>
      <c r="N59" s="129">
        <v>7.5</v>
      </c>
      <c r="O59" s="129">
        <v>1.5</v>
      </c>
      <c r="P59" s="129" t="s">
        <v>96</v>
      </c>
      <c r="Q59" s="129">
        <v>0.7</v>
      </c>
      <c r="R59" s="129">
        <v>4.5</v>
      </c>
      <c r="S59" s="129">
        <v>4.5999999999999996</v>
      </c>
      <c r="T59" s="118" t="s">
        <v>96</v>
      </c>
      <c r="U59" s="118">
        <v>1.1000000000000001</v>
      </c>
      <c r="V59" s="118">
        <v>0.5</v>
      </c>
      <c r="W59" s="118" t="s">
        <v>96</v>
      </c>
      <c r="X59" s="122" t="s">
        <v>96</v>
      </c>
      <c r="Y59" s="134">
        <v>0.6</v>
      </c>
      <c r="Z59" s="124" t="s">
        <v>96</v>
      </c>
    </row>
    <row r="60" spans="1:26" ht="18" x14ac:dyDescent="0.25">
      <c r="A60" s="8" t="s">
        <v>90</v>
      </c>
      <c r="B60" s="123">
        <v>9.4</v>
      </c>
      <c r="C60" s="123">
        <v>4.7</v>
      </c>
      <c r="D60" s="123">
        <v>6.2</v>
      </c>
      <c r="E60" s="123">
        <v>3.6</v>
      </c>
      <c r="F60" s="123">
        <v>6.2</v>
      </c>
      <c r="G60" s="123">
        <v>4</v>
      </c>
      <c r="H60" s="123">
        <v>8</v>
      </c>
      <c r="I60" s="123">
        <v>7</v>
      </c>
      <c r="J60" s="123">
        <v>5.8</v>
      </c>
      <c r="K60" s="123">
        <v>6.6</v>
      </c>
      <c r="L60" s="123">
        <v>5.6</v>
      </c>
      <c r="M60" s="123">
        <v>4.2</v>
      </c>
      <c r="N60" s="22">
        <v>11</v>
      </c>
      <c r="O60" s="123">
        <v>6.7</v>
      </c>
      <c r="P60" s="123">
        <v>2.5</v>
      </c>
      <c r="Q60" s="123">
        <v>1.9</v>
      </c>
      <c r="R60" s="123">
        <v>3.8</v>
      </c>
      <c r="S60" s="123">
        <v>1.5</v>
      </c>
      <c r="T60" s="130">
        <v>1</v>
      </c>
      <c r="U60" s="130">
        <v>0.4</v>
      </c>
      <c r="V60" s="120">
        <v>3.4</v>
      </c>
      <c r="W60" s="124">
        <v>1.3</v>
      </c>
      <c r="X60" s="124">
        <v>4.3</v>
      </c>
      <c r="Y60" s="133">
        <v>6.3</v>
      </c>
      <c r="Z60" s="124">
        <v>5.2</v>
      </c>
    </row>
    <row r="61" spans="1:26" x14ac:dyDescent="0.25">
      <c r="A61" s="9" t="s">
        <v>46</v>
      </c>
      <c r="B61" s="21">
        <v>12</v>
      </c>
      <c r="C61" s="21">
        <v>10</v>
      </c>
      <c r="D61" s="129">
        <v>3.4</v>
      </c>
      <c r="E61" s="129">
        <v>6.9</v>
      </c>
      <c r="F61" s="129">
        <v>2.2000000000000002</v>
      </c>
      <c r="G61" s="129">
        <v>1.5</v>
      </c>
      <c r="H61" s="129">
        <v>4.2</v>
      </c>
      <c r="I61" s="21">
        <v>19</v>
      </c>
      <c r="J61" s="129">
        <v>6.4</v>
      </c>
      <c r="K61" s="129">
        <v>8.6</v>
      </c>
      <c r="L61" s="129">
        <v>2.5</v>
      </c>
      <c r="M61" s="129">
        <v>1.2</v>
      </c>
      <c r="N61" s="21">
        <v>33</v>
      </c>
      <c r="O61" s="129">
        <v>0.7</v>
      </c>
      <c r="P61" s="21">
        <v>14</v>
      </c>
      <c r="Q61" s="129">
        <v>4.4000000000000004</v>
      </c>
      <c r="R61" s="129">
        <v>4.5999999999999996</v>
      </c>
      <c r="S61" s="129">
        <v>0.5</v>
      </c>
      <c r="T61" s="134" t="s">
        <v>96</v>
      </c>
      <c r="U61" s="134">
        <v>0.9</v>
      </c>
      <c r="V61" s="129">
        <v>5</v>
      </c>
      <c r="W61" s="118" t="s">
        <v>96</v>
      </c>
      <c r="X61" s="122">
        <v>4.3</v>
      </c>
      <c r="Y61" s="134">
        <v>4.7</v>
      </c>
      <c r="Z61" s="124" t="s">
        <v>96</v>
      </c>
    </row>
    <row r="62" spans="1:26" x14ac:dyDescent="0.25">
      <c r="A62" s="9" t="s">
        <v>47</v>
      </c>
      <c r="B62" s="129" t="s">
        <v>96</v>
      </c>
      <c r="C62" s="129" t="s">
        <v>96</v>
      </c>
      <c r="D62" s="129" t="s">
        <v>96</v>
      </c>
      <c r="E62" s="21">
        <v>12</v>
      </c>
      <c r="F62" s="21">
        <v>19</v>
      </c>
      <c r="G62" s="129" t="s">
        <v>96</v>
      </c>
      <c r="H62" s="129">
        <v>7</v>
      </c>
      <c r="I62" s="21">
        <v>10</v>
      </c>
      <c r="J62" s="129" t="s">
        <v>96</v>
      </c>
      <c r="K62" s="129" t="s">
        <v>96</v>
      </c>
      <c r="L62" s="21">
        <v>17</v>
      </c>
      <c r="M62" s="129" t="s">
        <v>96</v>
      </c>
      <c r="N62" s="129" t="s">
        <v>96</v>
      </c>
      <c r="O62" s="129" t="s">
        <v>96</v>
      </c>
      <c r="P62" s="129">
        <v>5.9</v>
      </c>
      <c r="Q62" s="129">
        <v>2.2999999999999998</v>
      </c>
      <c r="R62" s="129" t="s">
        <v>96</v>
      </c>
      <c r="S62" s="129" t="s">
        <v>96</v>
      </c>
      <c r="T62" s="134" t="s">
        <v>96</v>
      </c>
      <c r="U62" s="134" t="s">
        <v>96</v>
      </c>
      <c r="V62" s="118" t="s">
        <v>96</v>
      </c>
      <c r="W62" s="118" t="s">
        <v>96</v>
      </c>
      <c r="X62" s="20">
        <v>10</v>
      </c>
      <c r="Y62" s="124" t="s">
        <v>96</v>
      </c>
      <c r="Z62" s="124" t="s">
        <v>96</v>
      </c>
    </row>
    <row r="63" spans="1:26" x14ac:dyDescent="0.25">
      <c r="A63" s="9" t="s">
        <v>48</v>
      </c>
      <c r="B63" s="129" t="s">
        <v>96</v>
      </c>
      <c r="C63" s="129">
        <v>2</v>
      </c>
      <c r="D63" s="21">
        <v>59</v>
      </c>
      <c r="E63" s="129">
        <v>2.7</v>
      </c>
      <c r="F63" s="21">
        <v>16</v>
      </c>
      <c r="G63" s="21">
        <v>32</v>
      </c>
      <c r="H63" s="129" t="s">
        <v>96</v>
      </c>
      <c r="I63" s="129" t="s">
        <v>96</v>
      </c>
      <c r="J63" s="129" t="s">
        <v>96</v>
      </c>
      <c r="K63" s="129" t="s">
        <v>96</v>
      </c>
      <c r="L63" s="21">
        <v>23</v>
      </c>
      <c r="M63" s="21" t="s">
        <v>96</v>
      </c>
      <c r="N63" s="21">
        <v>66</v>
      </c>
      <c r="O63" s="21">
        <v>51</v>
      </c>
      <c r="P63" s="129">
        <v>2.5</v>
      </c>
      <c r="Q63" s="129" t="s">
        <v>96</v>
      </c>
      <c r="R63" s="129" t="s">
        <v>96</v>
      </c>
      <c r="S63" s="129">
        <v>1.8</v>
      </c>
      <c r="T63" s="134" t="s">
        <v>96</v>
      </c>
      <c r="U63" s="134" t="s">
        <v>96</v>
      </c>
      <c r="V63" s="118" t="s">
        <v>96</v>
      </c>
      <c r="W63" s="21">
        <v>19</v>
      </c>
      <c r="X63" s="20" t="s">
        <v>96</v>
      </c>
      <c r="Y63" s="124" t="s">
        <v>96</v>
      </c>
      <c r="Z63" s="124" t="s">
        <v>96</v>
      </c>
    </row>
    <row r="64" spans="1:26" x14ac:dyDescent="0.25">
      <c r="A64" s="9" t="s">
        <v>49</v>
      </c>
      <c r="B64" s="21">
        <v>14</v>
      </c>
      <c r="C64" s="129">
        <v>8.1999999999999993</v>
      </c>
      <c r="D64" s="129">
        <v>6.5</v>
      </c>
      <c r="E64" s="129">
        <v>2.5</v>
      </c>
      <c r="F64" s="21">
        <v>14</v>
      </c>
      <c r="G64" s="129">
        <v>6.1</v>
      </c>
      <c r="H64" s="21">
        <v>11</v>
      </c>
      <c r="I64" s="21">
        <v>16</v>
      </c>
      <c r="J64" s="21">
        <v>13</v>
      </c>
      <c r="K64" s="129" t="s">
        <v>96</v>
      </c>
      <c r="L64" s="129">
        <v>9.9</v>
      </c>
      <c r="M64" s="21">
        <v>12</v>
      </c>
      <c r="N64" s="21">
        <v>16</v>
      </c>
      <c r="O64" s="21">
        <v>13</v>
      </c>
      <c r="P64" s="129">
        <v>2.6</v>
      </c>
      <c r="Q64" s="129">
        <v>0.9</v>
      </c>
      <c r="R64" s="129">
        <v>5</v>
      </c>
      <c r="S64" s="129" t="s">
        <v>96</v>
      </c>
      <c r="T64" s="134" t="s">
        <v>96</v>
      </c>
      <c r="U64" s="134">
        <v>1.8</v>
      </c>
      <c r="V64" s="134">
        <v>6.5</v>
      </c>
      <c r="W64" s="129">
        <v>3</v>
      </c>
      <c r="X64" s="122">
        <v>8.5</v>
      </c>
      <c r="Y64" s="134">
        <v>6.7</v>
      </c>
      <c r="Z64" s="122">
        <v>9.6999999999999993</v>
      </c>
    </row>
    <row r="65" spans="1:26" x14ac:dyDescent="0.25">
      <c r="A65" s="9" t="s">
        <v>50</v>
      </c>
      <c r="B65" s="21">
        <v>24</v>
      </c>
      <c r="C65" s="129">
        <v>5.2</v>
      </c>
      <c r="D65" s="129">
        <v>5.4</v>
      </c>
      <c r="E65" s="129">
        <v>3.8</v>
      </c>
      <c r="F65" s="129" t="s">
        <v>96</v>
      </c>
      <c r="G65" s="129" t="s">
        <v>96</v>
      </c>
      <c r="H65" s="21">
        <v>22</v>
      </c>
      <c r="I65" s="129">
        <v>7</v>
      </c>
      <c r="J65" s="129">
        <v>7.6</v>
      </c>
      <c r="K65" s="21">
        <v>26</v>
      </c>
      <c r="L65" s="129" t="s">
        <v>96</v>
      </c>
      <c r="M65" s="129" t="s">
        <v>96</v>
      </c>
      <c r="N65" s="129" t="s">
        <v>96</v>
      </c>
      <c r="O65" s="129" t="s">
        <v>96</v>
      </c>
      <c r="P65" s="129" t="s">
        <v>96</v>
      </c>
      <c r="Q65" s="129">
        <v>9.1999999999999993</v>
      </c>
      <c r="R65" s="129" t="s">
        <v>96</v>
      </c>
      <c r="S65" s="129" t="s">
        <v>96</v>
      </c>
      <c r="T65" s="134" t="s">
        <v>96</v>
      </c>
      <c r="U65" s="134" t="s">
        <v>96</v>
      </c>
      <c r="V65" s="118" t="s">
        <v>96</v>
      </c>
      <c r="W65" s="118" t="s">
        <v>96</v>
      </c>
      <c r="X65" s="122" t="s">
        <v>96</v>
      </c>
      <c r="Y65" s="124" t="s">
        <v>96</v>
      </c>
      <c r="Z65" s="124" t="s">
        <v>96</v>
      </c>
    </row>
    <row r="66" spans="1:26" x14ac:dyDescent="0.25">
      <c r="A66" s="9" t="s">
        <v>51</v>
      </c>
      <c r="B66" s="129">
        <v>4.9000000000000004</v>
      </c>
      <c r="C66" s="129">
        <v>3.6</v>
      </c>
      <c r="D66" s="129">
        <v>9.4</v>
      </c>
      <c r="E66" s="129">
        <v>5.0999999999999996</v>
      </c>
      <c r="F66" s="129">
        <v>9.6</v>
      </c>
      <c r="G66" s="21">
        <v>13</v>
      </c>
      <c r="H66" s="21">
        <v>13</v>
      </c>
      <c r="I66" s="129">
        <v>2.7</v>
      </c>
      <c r="J66" s="129">
        <v>4</v>
      </c>
      <c r="K66" s="21">
        <v>49</v>
      </c>
      <c r="L66" s="129">
        <v>8.4</v>
      </c>
      <c r="M66" s="129" t="s">
        <v>96</v>
      </c>
      <c r="N66" s="129">
        <v>4.8</v>
      </c>
      <c r="O66" s="129" t="s">
        <v>96</v>
      </c>
      <c r="P66" s="129" t="s">
        <v>96</v>
      </c>
      <c r="Q66" s="129" t="s">
        <v>96</v>
      </c>
      <c r="R66" s="129">
        <v>8.5</v>
      </c>
      <c r="S66" s="129" t="s">
        <v>96</v>
      </c>
      <c r="T66" s="134" t="s">
        <v>96</v>
      </c>
      <c r="U66" s="134" t="s">
        <v>96</v>
      </c>
      <c r="V66" s="134">
        <v>4.2</v>
      </c>
      <c r="W66" s="118" t="s">
        <v>96</v>
      </c>
      <c r="X66" s="122">
        <v>3.4</v>
      </c>
      <c r="Y66" s="124" t="s">
        <v>96</v>
      </c>
      <c r="Z66" s="124" t="s">
        <v>96</v>
      </c>
    </row>
    <row r="67" spans="1:26" x14ac:dyDescent="0.25">
      <c r="A67" s="9" t="s">
        <v>52</v>
      </c>
      <c r="B67" s="21">
        <v>20</v>
      </c>
      <c r="C67" s="129">
        <v>5.2</v>
      </c>
      <c r="D67" s="129">
        <v>9</v>
      </c>
      <c r="E67" s="129">
        <v>2.5</v>
      </c>
      <c r="F67" s="129">
        <v>2.5</v>
      </c>
      <c r="G67" s="129">
        <v>4.5999999999999996</v>
      </c>
      <c r="H67" s="21">
        <v>16</v>
      </c>
      <c r="I67" s="129">
        <v>1.6</v>
      </c>
      <c r="J67" s="129">
        <v>3.7</v>
      </c>
      <c r="K67" s="129" t="s">
        <v>96</v>
      </c>
      <c r="L67" s="21">
        <v>13</v>
      </c>
      <c r="M67" s="129">
        <v>7.6</v>
      </c>
      <c r="N67" s="21">
        <v>16</v>
      </c>
      <c r="O67" s="129">
        <v>4</v>
      </c>
      <c r="P67" s="129" t="s">
        <v>96</v>
      </c>
      <c r="Q67" s="129" t="s">
        <v>96</v>
      </c>
      <c r="R67" s="129">
        <v>1.9</v>
      </c>
      <c r="S67" s="129">
        <v>0.3</v>
      </c>
      <c r="T67" s="134">
        <v>0.2</v>
      </c>
      <c r="U67" s="134">
        <v>0.9</v>
      </c>
      <c r="V67" s="118" t="s">
        <v>96</v>
      </c>
      <c r="W67" s="122">
        <v>0.2</v>
      </c>
      <c r="X67" s="122">
        <v>0.5</v>
      </c>
      <c r="Y67" s="21">
        <v>22</v>
      </c>
      <c r="Z67" s="20">
        <v>16</v>
      </c>
    </row>
    <row r="68" spans="1:26" x14ac:dyDescent="0.25">
      <c r="A68" s="9" t="s">
        <v>53</v>
      </c>
      <c r="B68" s="21">
        <v>13</v>
      </c>
      <c r="C68" s="129">
        <v>9</v>
      </c>
      <c r="D68" s="21">
        <v>25</v>
      </c>
      <c r="E68" s="129">
        <v>4.7</v>
      </c>
      <c r="F68" s="129">
        <v>8.1999999999999993</v>
      </c>
      <c r="G68" s="129" t="s">
        <v>96</v>
      </c>
      <c r="H68" s="129">
        <v>5.3</v>
      </c>
      <c r="I68" s="129">
        <v>1.2</v>
      </c>
      <c r="J68" s="21">
        <v>22</v>
      </c>
      <c r="K68" s="129">
        <v>2.9</v>
      </c>
      <c r="L68" s="129">
        <v>9</v>
      </c>
      <c r="M68" s="129">
        <v>3</v>
      </c>
      <c r="N68" s="129" t="s">
        <v>96</v>
      </c>
      <c r="O68" s="129" t="s">
        <v>96</v>
      </c>
      <c r="P68" s="129" t="s">
        <v>96</v>
      </c>
      <c r="Q68" s="129" t="s">
        <v>96</v>
      </c>
      <c r="R68" s="129" t="s">
        <v>96</v>
      </c>
      <c r="S68" s="129">
        <v>1.8</v>
      </c>
      <c r="T68" s="134" t="s">
        <v>96</v>
      </c>
      <c r="U68" s="134" t="s">
        <v>96</v>
      </c>
      <c r="V68" s="118" t="s">
        <v>96</v>
      </c>
      <c r="W68" s="118" t="s">
        <v>96</v>
      </c>
      <c r="X68" s="122" t="s">
        <v>96</v>
      </c>
      <c r="Y68" s="134">
        <v>1.4</v>
      </c>
      <c r="Z68" s="124" t="s">
        <v>96</v>
      </c>
    </row>
    <row r="69" spans="1:26" x14ac:dyDescent="0.25">
      <c r="A69" s="9" t="s">
        <v>54</v>
      </c>
      <c r="B69" s="129" t="s">
        <v>96</v>
      </c>
      <c r="C69" s="129">
        <v>0.6</v>
      </c>
      <c r="D69" s="129" t="s">
        <v>96</v>
      </c>
      <c r="E69" s="129">
        <v>1.6</v>
      </c>
      <c r="F69" s="129">
        <v>2.5</v>
      </c>
      <c r="G69" s="129">
        <v>1.3</v>
      </c>
      <c r="H69" s="129">
        <v>3.5</v>
      </c>
      <c r="I69" s="129">
        <v>1.3</v>
      </c>
      <c r="J69" s="129">
        <v>4.3</v>
      </c>
      <c r="K69" s="129">
        <v>6.3</v>
      </c>
      <c r="L69" s="129">
        <v>1.8</v>
      </c>
      <c r="M69" s="129" t="s">
        <v>96</v>
      </c>
      <c r="N69" s="129">
        <v>3</v>
      </c>
      <c r="O69" s="21">
        <v>11</v>
      </c>
      <c r="P69" s="129" t="s">
        <v>96</v>
      </c>
      <c r="Q69" s="129">
        <v>4.5999999999999996</v>
      </c>
      <c r="R69" s="129">
        <v>5.6</v>
      </c>
      <c r="S69" s="129" t="s">
        <v>96</v>
      </c>
      <c r="T69" s="134" t="s">
        <v>96</v>
      </c>
      <c r="U69" s="134" t="s">
        <v>96</v>
      </c>
      <c r="V69" s="118" t="s">
        <v>96</v>
      </c>
      <c r="W69" s="118" t="s">
        <v>96</v>
      </c>
      <c r="X69" s="122" t="s">
        <v>96</v>
      </c>
      <c r="Y69" s="124" t="s">
        <v>96</v>
      </c>
      <c r="Z69" s="122">
        <v>1.1000000000000001</v>
      </c>
    </row>
    <row r="70" spans="1:26" x14ac:dyDescent="0.25">
      <c r="A70" s="9" t="s">
        <v>55</v>
      </c>
      <c r="B70" s="129">
        <v>7.5</v>
      </c>
      <c r="C70" s="129">
        <v>0.7</v>
      </c>
      <c r="D70" s="129" t="s">
        <v>96</v>
      </c>
      <c r="E70" s="129">
        <v>8.3000000000000007</v>
      </c>
      <c r="F70" s="129">
        <v>1.2</v>
      </c>
      <c r="G70" s="21">
        <v>10</v>
      </c>
      <c r="H70" s="129">
        <v>3</v>
      </c>
      <c r="I70" s="21">
        <v>14</v>
      </c>
      <c r="J70" s="129">
        <v>0.8</v>
      </c>
      <c r="K70" s="129" t="s">
        <v>96</v>
      </c>
      <c r="L70" s="129">
        <v>3.4</v>
      </c>
      <c r="M70" s="129">
        <v>3</v>
      </c>
      <c r="N70" s="129">
        <v>2</v>
      </c>
      <c r="O70" s="129">
        <v>6.3</v>
      </c>
      <c r="P70" s="129">
        <v>1.5</v>
      </c>
      <c r="Q70" s="129" t="s">
        <v>96</v>
      </c>
      <c r="R70" s="129">
        <v>8.6999999999999993</v>
      </c>
      <c r="S70" s="129">
        <v>2.2999999999999998</v>
      </c>
      <c r="T70" s="134" t="s">
        <v>96</v>
      </c>
      <c r="U70" s="134" t="s">
        <v>96</v>
      </c>
      <c r="V70" s="134">
        <v>9.5</v>
      </c>
      <c r="W70" s="118" t="s">
        <v>96</v>
      </c>
      <c r="X70" s="20">
        <v>10</v>
      </c>
      <c r="Y70" s="21">
        <v>23</v>
      </c>
      <c r="Z70" s="124" t="s">
        <v>96</v>
      </c>
    </row>
    <row r="71" spans="1:26" x14ac:dyDescent="0.25">
      <c r="A71" s="9" t="s">
        <v>56</v>
      </c>
      <c r="B71" s="129" t="s">
        <v>96</v>
      </c>
      <c r="C71" s="129" t="s">
        <v>96</v>
      </c>
      <c r="D71" s="129" t="s">
        <v>96</v>
      </c>
      <c r="E71" s="129" t="s">
        <v>96</v>
      </c>
      <c r="F71" s="129">
        <v>3.1</v>
      </c>
      <c r="G71" s="129" t="s">
        <v>96</v>
      </c>
      <c r="H71" s="129">
        <v>3.5</v>
      </c>
      <c r="I71" s="129">
        <v>7.9</v>
      </c>
      <c r="J71" s="21">
        <v>12</v>
      </c>
      <c r="K71" s="21">
        <v>14</v>
      </c>
      <c r="L71" s="129">
        <v>1.8</v>
      </c>
      <c r="M71" s="129" t="s">
        <v>96</v>
      </c>
      <c r="N71" s="129">
        <v>6.1</v>
      </c>
      <c r="O71" s="21">
        <v>31</v>
      </c>
      <c r="P71" s="129" t="s">
        <v>96</v>
      </c>
      <c r="Q71" s="129" t="s">
        <v>96</v>
      </c>
      <c r="R71" s="129" t="s">
        <v>96</v>
      </c>
      <c r="S71" s="129">
        <v>9.8000000000000007</v>
      </c>
      <c r="T71" s="134" t="s">
        <v>96</v>
      </c>
      <c r="U71" s="134" t="s">
        <v>96</v>
      </c>
      <c r="V71" s="21">
        <v>24</v>
      </c>
      <c r="W71" s="118" t="s">
        <v>96</v>
      </c>
      <c r="X71" s="122">
        <v>0.4</v>
      </c>
      <c r="Y71" s="21">
        <v>20</v>
      </c>
      <c r="Z71" s="124" t="s">
        <v>96</v>
      </c>
    </row>
    <row r="72" spans="1:26" x14ac:dyDescent="0.25">
      <c r="A72" s="9" t="s">
        <v>57</v>
      </c>
      <c r="B72" s="129" t="s">
        <v>96</v>
      </c>
      <c r="C72" s="129">
        <v>1.2</v>
      </c>
      <c r="D72" s="129" t="s">
        <v>96</v>
      </c>
      <c r="E72" s="129">
        <v>2.6</v>
      </c>
      <c r="F72" s="129">
        <v>6</v>
      </c>
      <c r="G72" s="129">
        <v>1.9</v>
      </c>
      <c r="H72" s="21">
        <v>11</v>
      </c>
      <c r="I72" s="129" t="s">
        <v>96</v>
      </c>
      <c r="J72" s="129" t="s">
        <v>96</v>
      </c>
      <c r="K72" s="129">
        <v>4.0999999999999996</v>
      </c>
      <c r="L72" s="129">
        <v>2.5</v>
      </c>
      <c r="M72" s="129">
        <v>1.2</v>
      </c>
      <c r="N72" s="129">
        <v>2.6</v>
      </c>
      <c r="O72" s="129">
        <v>1.1000000000000001</v>
      </c>
      <c r="P72" s="129" t="s">
        <v>96</v>
      </c>
      <c r="Q72" s="129" t="s">
        <v>96</v>
      </c>
      <c r="R72" s="129">
        <v>4.5</v>
      </c>
      <c r="S72" s="129">
        <v>0.7</v>
      </c>
      <c r="T72" s="134">
        <v>6.1</v>
      </c>
      <c r="U72" s="134" t="s">
        <v>96</v>
      </c>
      <c r="V72" s="118" t="s">
        <v>96</v>
      </c>
      <c r="W72" s="122">
        <v>3.2</v>
      </c>
      <c r="X72" s="122" t="s">
        <v>96</v>
      </c>
      <c r="Y72" s="134">
        <v>3.2</v>
      </c>
      <c r="Z72" s="124" t="s">
        <v>96</v>
      </c>
    </row>
    <row r="73" spans="1:26" x14ac:dyDescent="0.25">
      <c r="A73" s="9" t="s">
        <v>58</v>
      </c>
      <c r="B73" s="129">
        <v>8.9</v>
      </c>
      <c r="C73" s="129">
        <v>8.9</v>
      </c>
      <c r="D73" s="129">
        <v>3.3</v>
      </c>
      <c r="E73" s="129">
        <v>2.1</v>
      </c>
      <c r="F73" s="21">
        <v>13</v>
      </c>
      <c r="G73" s="129">
        <v>1.2</v>
      </c>
      <c r="H73" s="129">
        <v>6.5</v>
      </c>
      <c r="I73" s="129">
        <v>2.2999999999999998</v>
      </c>
      <c r="J73" s="129">
        <v>4</v>
      </c>
      <c r="K73" s="129">
        <v>1.7</v>
      </c>
      <c r="L73" s="129">
        <v>3.7</v>
      </c>
      <c r="M73" s="21">
        <v>15</v>
      </c>
      <c r="N73" s="129" t="s">
        <v>96</v>
      </c>
      <c r="O73" s="129" t="s">
        <v>96</v>
      </c>
      <c r="P73" s="129" t="s">
        <v>96</v>
      </c>
      <c r="Q73" s="129">
        <v>1.4</v>
      </c>
      <c r="R73" s="129">
        <v>4</v>
      </c>
      <c r="S73" s="129">
        <v>1.7</v>
      </c>
      <c r="T73" s="134" t="s">
        <v>96</v>
      </c>
      <c r="U73" s="134" t="s">
        <v>96</v>
      </c>
      <c r="V73" s="118" t="s">
        <v>96</v>
      </c>
      <c r="W73" s="118" t="s">
        <v>96</v>
      </c>
      <c r="X73" s="20">
        <v>17</v>
      </c>
      <c r="Y73" s="124" t="s">
        <v>96</v>
      </c>
      <c r="Z73" s="20">
        <v>27</v>
      </c>
    </row>
    <row r="74" spans="1:26" x14ac:dyDescent="0.25">
      <c r="A74" s="9" t="s">
        <v>59</v>
      </c>
      <c r="B74" s="21">
        <v>23</v>
      </c>
      <c r="C74" s="129" t="s">
        <v>96</v>
      </c>
      <c r="D74" s="129">
        <v>7.2</v>
      </c>
      <c r="E74" s="129" t="s">
        <v>96</v>
      </c>
      <c r="F74" s="129" t="s">
        <v>96</v>
      </c>
      <c r="G74" s="129" t="s">
        <v>96</v>
      </c>
      <c r="H74" s="129">
        <v>2</v>
      </c>
      <c r="I74" s="129" t="s">
        <v>96</v>
      </c>
      <c r="J74" s="129" t="s">
        <v>96</v>
      </c>
      <c r="K74" s="129" t="s">
        <v>96</v>
      </c>
      <c r="L74" s="129" t="s">
        <v>96</v>
      </c>
      <c r="M74" s="129" t="s">
        <v>96</v>
      </c>
      <c r="N74" s="129" t="s">
        <v>96</v>
      </c>
      <c r="O74" s="129">
        <v>2.1</v>
      </c>
      <c r="P74" s="129" t="s">
        <v>96</v>
      </c>
      <c r="Q74" s="129" t="s">
        <v>96</v>
      </c>
      <c r="R74" s="129" t="s">
        <v>96</v>
      </c>
      <c r="S74" s="21">
        <v>12</v>
      </c>
      <c r="T74" s="134">
        <v>7.8</v>
      </c>
      <c r="U74" s="134" t="s">
        <v>96</v>
      </c>
      <c r="V74" s="118" t="s">
        <v>96</v>
      </c>
      <c r="W74" s="118" t="s">
        <v>96</v>
      </c>
      <c r="X74" s="122" t="s">
        <v>96</v>
      </c>
      <c r="Y74" s="124" t="s">
        <v>96</v>
      </c>
      <c r="Z74" s="124" t="s">
        <v>96</v>
      </c>
    </row>
    <row r="75" spans="1:26" ht="18" x14ac:dyDescent="0.25">
      <c r="A75" s="8" t="s">
        <v>133</v>
      </c>
      <c r="B75" s="22">
        <v>13</v>
      </c>
      <c r="C75" s="22">
        <v>11</v>
      </c>
      <c r="D75" s="123">
        <v>6.4</v>
      </c>
      <c r="E75" s="123">
        <v>9.4</v>
      </c>
      <c r="F75" s="123">
        <v>6</v>
      </c>
      <c r="G75" s="123">
        <v>7.2</v>
      </c>
      <c r="H75" s="123">
        <v>5.3</v>
      </c>
      <c r="I75" s="123">
        <v>8.3000000000000007</v>
      </c>
      <c r="J75" s="123">
        <v>8.8000000000000007</v>
      </c>
      <c r="K75" s="123">
        <v>3.3</v>
      </c>
      <c r="L75" s="22">
        <v>10</v>
      </c>
      <c r="M75" s="123">
        <v>1.4</v>
      </c>
      <c r="N75" s="123">
        <v>3.9</v>
      </c>
      <c r="O75" s="123">
        <v>5.2</v>
      </c>
      <c r="P75" s="123">
        <v>2.2999999999999998</v>
      </c>
      <c r="Q75" s="123">
        <v>1.8</v>
      </c>
      <c r="R75" s="123">
        <v>1.8</v>
      </c>
      <c r="S75" s="123">
        <v>0.4</v>
      </c>
      <c r="T75" s="133" t="s">
        <v>96</v>
      </c>
      <c r="U75" s="133">
        <v>1.9</v>
      </c>
      <c r="V75" s="133">
        <v>1.4</v>
      </c>
      <c r="W75" s="124">
        <v>8.1</v>
      </c>
      <c r="X75" s="124">
        <v>0.4</v>
      </c>
      <c r="Y75" s="133">
        <v>0.6</v>
      </c>
      <c r="Z75" s="124">
        <v>8.3000000000000007</v>
      </c>
    </row>
    <row r="76" spans="1:26" x14ac:dyDescent="0.25">
      <c r="A76" s="9" t="s">
        <v>60</v>
      </c>
      <c r="B76" s="129">
        <v>3.8</v>
      </c>
      <c r="C76" s="129">
        <v>2</v>
      </c>
      <c r="D76" s="129">
        <v>2.7</v>
      </c>
      <c r="E76" s="129">
        <v>5.0999999999999996</v>
      </c>
      <c r="F76" s="129">
        <v>2.9</v>
      </c>
      <c r="G76" s="129" t="s">
        <v>96</v>
      </c>
      <c r="H76" s="129" t="s">
        <v>96</v>
      </c>
      <c r="I76" s="129">
        <v>6.9</v>
      </c>
      <c r="J76" s="129" t="s">
        <v>96</v>
      </c>
      <c r="K76" s="129" t="s">
        <v>96</v>
      </c>
      <c r="L76" s="21">
        <v>20</v>
      </c>
      <c r="M76" s="129" t="s">
        <v>96</v>
      </c>
      <c r="N76" s="21">
        <v>15</v>
      </c>
      <c r="O76" s="21">
        <v>14</v>
      </c>
      <c r="P76" s="129" t="s">
        <v>96</v>
      </c>
      <c r="Q76" s="129" t="s">
        <v>96</v>
      </c>
      <c r="R76" s="129" t="s">
        <v>96</v>
      </c>
      <c r="S76" s="129" t="s">
        <v>96</v>
      </c>
      <c r="T76" s="134" t="s">
        <v>96</v>
      </c>
      <c r="U76" s="134" t="s">
        <v>96</v>
      </c>
      <c r="V76" s="118" t="s">
        <v>96</v>
      </c>
      <c r="W76" s="118" t="s">
        <v>96</v>
      </c>
      <c r="X76" s="122" t="s">
        <v>96</v>
      </c>
      <c r="Y76" s="124" t="s">
        <v>96</v>
      </c>
      <c r="Z76" s="20">
        <v>21</v>
      </c>
    </row>
    <row r="77" spans="1:26" x14ac:dyDescent="0.25">
      <c r="A77" s="9" t="s">
        <v>61</v>
      </c>
      <c r="B77" s="129">
        <v>5.0999999999999996</v>
      </c>
      <c r="C77" s="129">
        <v>1.7</v>
      </c>
      <c r="D77" s="129">
        <v>2.7</v>
      </c>
      <c r="E77" s="129">
        <v>6.7</v>
      </c>
      <c r="F77" s="129">
        <v>1</v>
      </c>
      <c r="G77" s="129">
        <v>1.4</v>
      </c>
      <c r="H77" s="129">
        <v>0.5</v>
      </c>
      <c r="I77" s="129">
        <v>9.6999999999999993</v>
      </c>
      <c r="J77" s="129">
        <v>6.6</v>
      </c>
      <c r="K77" s="129">
        <v>4.3</v>
      </c>
      <c r="L77" s="129">
        <v>8.9</v>
      </c>
      <c r="M77" s="129">
        <v>1.6</v>
      </c>
      <c r="N77" s="129">
        <v>0.9</v>
      </c>
      <c r="O77" s="129">
        <v>1.9</v>
      </c>
      <c r="P77" s="129">
        <v>4.5</v>
      </c>
      <c r="Q77" s="129">
        <v>1.2</v>
      </c>
      <c r="R77" s="129" t="s">
        <v>96</v>
      </c>
      <c r="S77" s="129">
        <v>0.3</v>
      </c>
      <c r="T77" s="134" t="s">
        <v>96</v>
      </c>
      <c r="U77" s="134" t="s">
        <v>96</v>
      </c>
      <c r="V77" s="134">
        <v>2.1</v>
      </c>
      <c r="W77" s="118" t="s">
        <v>96</v>
      </c>
      <c r="X77" s="122" t="s">
        <v>96</v>
      </c>
      <c r="Y77" s="134">
        <v>0.4</v>
      </c>
      <c r="Z77" s="26" t="s">
        <v>96</v>
      </c>
    </row>
    <row r="78" spans="1:26" x14ac:dyDescent="0.25">
      <c r="A78" s="9" t="s">
        <v>62</v>
      </c>
      <c r="B78" s="21">
        <v>27</v>
      </c>
      <c r="C78" s="21">
        <v>28</v>
      </c>
      <c r="D78" s="21">
        <v>13</v>
      </c>
      <c r="E78" s="21">
        <v>10</v>
      </c>
      <c r="F78" s="21">
        <v>15</v>
      </c>
      <c r="G78" s="21">
        <v>24</v>
      </c>
      <c r="H78" s="21">
        <v>13</v>
      </c>
      <c r="I78" s="21">
        <v>11</v>
      </c>
      <c r="J78" s="21">
        <v>11</v>
      </c>
      <c r="K78" s="129">
        <v>6.4</v>
      </c>
      <c r="L78" s="129">
        <v>6.6</v>
      </c>
      <c r="M78" s="129">
        <v>3.1</v>
      </c>
      <c r="N78" s="129">
        <v>8.5</v>
      </c>
      <c r="O78" s="21">
        <v>12</v>
      </c>
      <c r="P78" s="129">
        <v>1.5</v>
      </c>
      <c r="Q78" s="129">
        <v>4.5</v>
      </c>
      <c r="R78" s="129">
        <v>2.5</v>
      </c>
      <c r="S78" s="129">
        <v>1.1000000000000001</v>
      </c>
      <c r="T78" s="134" t="s">
        <v>96</v>
      </c>
      <c r="U78" s="134">
        <v>2.9</v>
      </c>
      <c r="V78" s="134">
        <v>2.1</v>
      </c>
      <c r="W78" s="21">
        <v>26</v>
      </c>
      <c r="X78" s="122">
        <v>1.4</v>
      </c>
      <c r="Y78" s="134">
        <v>1.5</v>
      </c>
      <c r="Z78" s="20">
        <v>22</v>
      </c>
    </row>
    <row r="79" spans="1:26" x14ac:dyDescent="0.25">
      <c r="A79" s="4" t="s">
        <v>166</v>
      </c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34"/>
      <c r="U79" s="134"/>
      <c r="V79" s="122"/>
      <c r="W79" s="122"/>
      <c r="X79" s="122"/>
      <c r="Y79" s="150"/>
      <c r="Z79" s="20"/>
    </row>
    <row r="80" spans="1:26" ht="29.25" x14ac:dyDescent="0.25">
      <c r="A80" s="14" t="s">
        <v>88</v>
      </c>
      <c r="B80" s="21">
        <v>40</v>
      </c>
      <c r="C80" s="21">
        <v>28</v>
      </c>
      <c r="D80" s="21">
        <v>27</v>
      </c>
      <c r="E80" s="21">
        <v>14</v>
      </c>
      <c r="F80" s="21">
        <v>18</v>
      </c>
      <c r="G80" s="21">
        <v>33</v>
      </c>
      <c r="H80" s="129">
        <v>7.2</v>
      </c>
      <c r="I80" s="21">
        <v>24</v>
      </c>
      <c r="J80" s="21">
        <v>19</v>
      </c>
      <c r="K80" s="129">
        <v>5.6</v>
      </c>
      <c r="L80" s="129">
        <v>8.5</v>
      </c>
      <c r="M80" s="129" t="s">
        <v>96</v>
      </c>
      <c r="N80" s="21">
        <v>17</v>
      </c>
      <c r="O80" s="21">
        <v>21</v>
      </c>
      <c r="P80" s="21" t="s">
        <v>96</v>
      </c>
      <c r="Q80" s="129" t="s">
        <v>96</v>
      </c>
      <c r="R80" s="129">
        <v>5.5</v>
      </c>
      <c r="S80" s="129">
        <v>0.9</v>
      </c>
      <c r="T80" s="134" t="s">
        <v>96</v>
      </c>
      <c r="U80" s="134">
        <v>1.5</v>
      </c>
      <c r="V80" s="134">
        <v>4.7</v>
      </c>
      <c r="W80" s="21">
        <v>39</v>
      </c>
      <c r="X80" s="122">
        <v>2.9</v>
      </c>
      <c r="Y80" s="124" t="s">
        <v>96</v>
      </c>
      <c r="Z80" s="20">
        <v>38</v>
      </c>
    </row>
    <row r="81" spans="1:26" ht="19.5" x14ac:dyDescent="0.25">
      <c r="A81" s="14" t="s">
        <v>64</v>
      </c>
      <c r="B81" s="21">
        <v>51</v>
      </c>
      <c r="C81" s="21">
        <v>18</v>
      </c>
      <c r="D81" s="129">
        <v>6.5</v>
      </c>
      <c r="E81" s="129">
        <v>3.9</v>
      </c>
      <c r="F81" s="21">
        <v>32</v>
      </c>
      <c r="G81" s="21">
        <v>62</v>
      </c>
      <c r="H81" s="21">
        <v>37</v>
      </c>
      <c r="I81" s="21" t="s">
        <v>96</v>
      </c>
      <c r="J81" s="21">
        <v>13</v>
      </c>
      <c r="K81" s="21">
        <v>18</v>
      </c>
      <c r="L81" s="129" t="s">
        <v>96</v>
      </c>
      <c r="M81" s="129">
        <v>7.6</v>
      </c>
      <c r="N81" s="129">
        <v>4.7</v>
      </c>
      <c r="O81" s="21">
        <v>13</v>
      </c>
      <c r="P81" s="21">
        <v>10</v>
      </c>
      <c r="Q81" s="21">
        <v>31</v>
      </c>
      <c r="R81" s="129" t="s">
        <v>96</v>
      </c>
      <c r="S81" s="129">
        <v>4.7</v>
      </c>
      <c r="T81" s="134" t="s">
        <v>96</v>
      </c>
      <c r="U81" s="134" t="s">
        <v>96</v>
      </c>
      <c r="V81" s="118" t="s">
        <v>96</v>
      </c>
      <c r="W81" s="21">
        <v>64</v>
      </c>
      <c r="X81" s="122">
        <v>0.8</v>
      </c>
      <c r="Y81" s="21">
        <v>11</v>
      </c>
      <c r="Z81" s="20">
        <v>37</v>
      </c>
    </row>
    <row r="82" spans="1:26" ht="19.5" x14ac:dyDescent="0.25">
      <c r="A82" s="14" t="s">
        <v>87</v>
      </c>
      <c r="B82" s="129">
        <v>5</v>
      </c>
      <c r="C82" s="21">
        <v>31</v>
      </c>
      <c r="D82" s="129">
        <v>0.8</v>
      </c>
      <c r="E82" s="129">
        <v>7.6</v>
      </c>
      <c r="F82" s="129">
        <v>5.7</v>
      </c>
      <c r="G82" s="129" t="s">
        <v>96</v>
      </c>
      <c r="H82" s="129">
        <v>9.1999999999999993</v>
      </c>
      <c r="I82" s="129">
        <v>1.4</v>
      </c>
      <c r="J82" s="129" t="s">
        <v>96</v>
      </c>
      <c r="K82" s="129">
        <v>2.6</v>
      </c>
      <c r="L82" s="129">
        <v>7.1</v>
      </c>
      <c r="M82" s="129">
        <v>4.8</v>
      </c>
      <c r="N82" s="129" t="s">
        <v>96</v>
      </c>
      <c r="O82" s="129" t="s">
        <v>96</v>
      </c>
      <c r="P82" s="129" t="s">
        <v>96</v>
      </c>
      <c r="Q82" s="129" t="s">
        <v>96</v>
      </c>
      <c r="R82" s="129" t="s">
        <v>96</v>
      </c>
      <c r="S82" s="129" t="s">
        <v>96</v>
      </c>
      <c r="T82" s="134" t="s">
        <v>96</v>
      </c>
      <c r="U82" s="134">
        <v>5.4</v>
      </c>
      <c r="V82" s="118" t="s">
        <v>96</v>
      </c>
      <c r="W82" s="122">
        <v>0.3</v>
      </c>
      <c r="X82" s="122" t="s">
        <v>96</v>
      </c>
      <c r="Y82" s="124" t="s">
        <v>96</v>
      </c>
      <c r="Z82" s="124" t="s">
        <v>96</v>
      </c>
    </row>
    <row r="83" spans="1:26" x14ac:dyDescent="0.25">
      <c r="A83" s="9" t="s">
        <v>65</v>
      </c>
      <c r="B83" s="21">
        <v>14</v>
      </c>
      <c r="C83" s="129">
        <v>8.8000000000000007</v>
      </c>
      <c r="D83" s="129">
        <v>5.9</v>
      </c>
      <c r="E83" s="21">
        <v>13</v>
      </c>
      <c r="F83" s="129">
        <v>4.5</v>
      </c>
      <c r="G83" s="129">
        <v>0.6</v>
      </c>
      <c r="H83" s="129">
        <v>5.8</v>
      </c>
      <c r="I83" s="129">
        <v>4.3</v>
      </c>
      <c r="J83" s="21">
        <v>12</v>
      </c>
      <c r="K83" s="129" t="s">
        <v>96</v>
      </c>
      <c r="L83" s="21">
        <v>13</v>
      </c>
      <c r="M83" s="129" t="s">
        <v>96</v>
      </c>
      <c r="N83" s="129">
        <v>0.4</v>
      </c>
      <c r="O83" s="129">
        <v>0.7</v>
      </c>
      <c r="P83" s="129">
        <v>0.9</v>
      </c>
      <c r="Q83" s="129">
        <v>0.2</v>
      </c>
      <c r="R83" s="129">
        <v>3.7</v>
      </c>
      <c r="S83" s="129" t="s">
        <v>96</v>
      </c>
      <c r="T83" s="134" t="s">
        <v>96</v>
      </c>
      <c r="U83" s="134">
        <v>3.6</v>
      </c>
      <c r="V83" s="118" t="s">
        <v>96</v>
      </c>
      <c r="W83" s="118" t="s">
        <v>96</v>
      </c>
      <c r="X83" s="122" t="s">
        <v>96</v>
      </c>
      <c r="Y83" s="124" t="s">
        <v>96</v>
      </c>
      <c r="Z83" s="124" t="s">
        <v>96</v>
      </c>
    </row>
    <row r="84" spans="1:26" ht="18" x14ac:dyDescent="0.25">
      <c r="A84" s="8" t="s">
        <v>103</v>
      </c>
      <c r="B84" s="123">
        <v>9.8000000000000007</v>
      </c>
      <c r="C84" s="123">
        <v>2.7</v>
      </c>
      <c r="D84" s="123">
        <v>4.7</v>
      </c>
      <c r="E84" s="123">
        <v>5.3</v>
      </c>
      <c r="F84" s="123">
        <v>6.3</v>
      </c>
      <c r="G84" s="123">
        <v>7.5</v>
      </c>
      <c r="H84" s="123">
        <v>5.6</v>
      </c>
      <c r="I84" s="123">
        <v>8.1999999999999993</v>
      </c>
      <c r="J84" s="123">
        <v>8.5</v>
      </c>
      <c r="K84" s="123">
        <v>1.9</v>
      </c>
      <c r="L84" s="123">
        <v>8</v>
      </c>
      <c r="M84" s="123">
        <v>4.7</v>
      </c>
      <c r="N84" s="123">
        <v>5.5</v>
      </c>
      <c r="O84" s="123">
        <v>5</v>
      </c>
      <c r="P84" s="123">
        <v>2.6</v>
      </c>
      <c r="Q84" s="123">
        <v>1.8</v>
      </c>
      <c r="R84" s="123">
        <v>7.3</v>
      </c>
      <c r="S84" s="123">
        <v>0.3</v>
      </c>
      <c r="T84" s="123">
        <v>2.6</v>
      </c>
      <c r="U84" s="123">
        <v>2.7</v>
      </c>
      <c r="V84" s="123">
        <v>1.6</v>
      </c>
      <c r="W84" s="124">
        <v>0.8</v>
      </c>
      <c r="X84" s="124">
        <v>3.8</v>
      </c>
      <c r="Y84" s="133">
        <v>1.5</v>
      </c>
      <c r="Z84" s="122">
        <v>3</v>
      </c>
    </row>
    <row r="85" spans="1:26" x14ac:dyDescent="0.25">
      <c r="A85" s="9" t="s">
        <v>66</v>
      </c>
      <c r="B85" s="123" t="s">
        <v>96</v>
      </c>
      <c r="C85" s="123" t="s">
        <v>96</v>
      </c>
      <c r="D85" s="123" t="s">
        <v>96</v>
      </c>
      <c r="E85" s="123" t="s">
        <v>96</v>
      </c>
      <c r="F85" s="123" t="s">
        <v>96</v>
      </c>
      <c r="G85" s="21">
        <v>13</v>
      </c>
      <c r="H85" s="21" t="s">
        <v>96</v>
      </c>
      <c r="I85" s="21" t="s">
        <v>96</v>
      </c>
      <c r="J85" s="21">
        <v>70</v>
      </c>
      <c r="K85" s="129" t="s">
        <v>96</v>
      </c>
      <c r="L85" s="21">
        <v>76</v>
      </c>
      <c r="M85" s="21">
        <v>33</v>
      </c>
      <c r="N85" s="21" t="s">
        <v>96</v>
      </c>
      <c r="O85" s="21" t="s">
        <v>96</v>
      </c>
      <c r="P85" s="21">
        <v>33</v>
      </c>
      <c r="Q85" s="21">
        <v>14</v>
      </c>
      <c r="R85" s="21">
        <v>43</v>
      </c>
      <c r="S85" s="129" t="s">
        <v>96</v>
      </c>
      <c r="T85" s="134" t="s">
        <v>96</v>
      </c>
      <c r="U85" s="134">
        <v>14</v>
      </c>
      <c r="V85" s="134">
        <v>6.6</v>
      </c>
      <c r="W85" s="134">
        <v>9.5</v>
      </c>
      <c r="X85" s="122" t="s">
        <v>96</v>
      </c>
      <c r="Y85" s="124" t="s">
        <v>96</v>
      </c>
      <c r="Z85" s="124" t="s">
        <v>96</v>
      </c>
    </row>
    <row r="86" spans="1:26" x14ac:dyDescent="0.25">
      <c r="A86" s="9" t="s">
        <v>68</v>
      </c>
      <c r="B86" s="21">
        <v>44</v>
      </c>
      <c r="C86" s="21">
        <v>12</v>
      </c>
      <c r="D86" s="21" t="s">
        <v>96</v>
      </c>
      <c r="E86" s="21">
        <v>39</v>
      </c>
      <c r="F86" s="21">
        <v>13</v>
      </c>
      <c r="G86" s="21" t="s">
        <v>96</v>
      </c>
      <c r="H86" s="21" t="s">
        <v>96</v>
      </c>
      <c r="I86" s="21" t="s">
        <v>96</v>
      </c>
      <c r="J86" s="21">
        <v>39</v>
      </c>
      <c r="K86" s="129" t="s">
        <v>96</v>
      </c>
      <c r="L86" s="129">
        <v>9.6999999999999993</v>
      </c>
      <c r="M86" s="129">
        <v>2.9</v>
      </c>
      <c r="N86" s="129" t="s">
        <v>96</v>
      </c>
      <c r="O86" s="129" t="s">
        <v>96</v>
      </c>
      <c r="P86" s="129" t="s">
        <v>96</v>
      </c>
      <c r="Q86" s="129" t="s">
        <v>96</v>
      </c>
      <c r="R86" s="129" t="s">
        <v>96</v>
      </c>
      <c r="S86" s="129" t="s">
        <v>96</v>
      </c>
      <c r="T86" s="134" t="s">
        <v>96</v>
      </c>
      <c r="U86" s="134" t="s">
        <v>96</v>
      </c>
      <c r="V86" s="118" t="s">
        <v>96</v>
      </c>
      <c r="W86" s="118" t="s">
        <v>96</v>
      </c>
      <c r="X86" s="122" t="s">
        <v>96</v>
      </c>
      <c r="Y86" s="124" t="s">
        <v>96</v>
      </c>
      <c r="Z86" s="124" t="s">
        <v>96</v>
      </c>
    </row>
    <row r="87" spans="1:26" x14ac:dyDescent="0.25">
      <c r="A87" s="9" t="s">
        <v>69</v>
      </c>
      <c r="B87" s="129" t="s">
        <v>96</v>
      </c>
      <c r="C87" s="129" t="s">
        <v>96</v>
      </c>
      <c r="D87" s="129" t="s">
        <v>96</v>
      </c>
      <c r="E87" s="129" t="s">
        <v>96</v>
      </c>
      <c r="F87" s="129" t="s">
        <v>96</v>
      </c>
      <c r="G87" s="21">
        <v>11</v>
      </c>
      <c r="H87" s="21" t="s">
        <v>96</v>
      </c>
      <c r="I87" s="21">
        <v>97</v>
      </c>
      <c r="J87" s="129" t="s">
        <v>96</v>
      </c>
      <c r="K87" s="129" t="s">
        <v>96</v>
      </c>
      <c r="L87" s="21">
        <v>28</v>
      </c>
      <c r="M87" s="129" t="s">
        <v>96</v>
      </c>
      <c r="N87" s="129" t="s">
        <v>96</v>
      </c>
      <c r="O87" s="21">
        <v>32</v>
      </c>
      <c r="P87" s="129" t="s">
        <v>96</v>
      </c>
      <c r="Q87" s="129" t="s">
        <v>96</v>
      </c>
      <c r="R87" s="21">
        <v>82</v>
      </c>
      <c r="S87" s="129" t="s">
        <v>96</v>
      </c>
      <c r="T87" s="134">
        <v>1.5</v>
      </c>
      <c r="U87" s="134" t="s">
        <v>96</v>
      </c>
      <c r="V87" s="118" t="s">
        <v>96</v>
      </c>
      <c r="W87" s="118" t="s">
        <v>96</v>
      </c>
      <c r="X87" s="122" t="s">
        <v>96</v>
      </c>
      <c r="Y87" s="124" t="s">
        <v>96</v>
      </c>
      <c r="Z87" s="124" t="s">
        <v>96</v>
      </c>
    </row>
    <row r="88" spans="1:26" x14ac:dyDescent="0.25">
      <c r="A88" s="9" t="s">
        <v>70</v>
      </c>
      <c r="B88" s="129">
        <v>5.9</v>
      </c>
      <c r="C88" s="129">
        <v>3.7</v>
      </c>
      <c r="D88" s="21">
        <v>16</v>
      </c>
      <c r="E88" s="21">
        <v>12</v>
      </c>
      <c r="F88" s="129">
        <v>1.2</v>
      </c>
      <c r="G88" s="129">
        <v>5.5</v>
      </c>
      <c r="H88" s="129">
        <v>1</v>
      </c>
      <c r="I88" s="21">
        <v>17</v>
      </c>
      <c r="J88" s="21">
        <v>17</v>
      </c>
      <c r="K88" s="129" t="s">
        <v>96</v>
      </c>
      <c r="L88" s="129" t="s">
        <v>96</v>
      </c>
      <c r="M88" s="129">
        <v>5</v>
      </c>
      <c r="N88" s="129">
        <v>6.9</v>
      </c>
      <c r="O88" s="129">
        <v>5.7</v>
      </c>
      <c r="P88" s="129">
        <v>6.3</v>
      </c>
      <c r="Q88" s="129" t="s">
        <v>96</v>
      </c>
      <c r="R88" s="21">
        <v>22</v>
      </c>
      <c r="S88" s="129" t="s">
        <v>96</v>
      </c>
      <c r="T88" s="134" t="s">
        <v>96</v>
      </c>
      <c r="U88" s="134" t="s">
        <v>96</v>
      </c>
      <c r="V88" s="118" t="s">
        <v>96</v>
      </c>
      <c r="W88" s="118" t="s">
        <v>96</v>
      </c>
      <c r="X88" s="122" t="s">
        <v>96</v>
      </c>
      <c r="Y88" s="134">
        <v>0.6</v>
      </c>
      <c r="Z88" s="124" t="s">
        <v>96</v>
      </c>
    </row>
    <row r="89" spans="1:26" x14ac:dyDescent="0.25">
      <c r="A89" s="9" t="s">
        <v>72</v>
      </c>
      <c r="B89" s="129">
        <v>3.5</v>
      </c>
      <c r="C89" s="129">
        <v>8.4</v>
      </c>
      <c r="D89" s="129">
        <v>1.6</v>
      </c>
      <c r="E89" s="129">
        <v>0.7</v>
      </c>
      <c r="F89" s="21">
        <v>16</v>
      </c>
      <c r="G89" s="129">
        <v>0.7</v>
      </c>
      <c r="H89" s="21">
        <v>12</v>
      </c>
      <c r="I89" s="129">
        <v>5.3</v>
      </c>
      <c r="J89" s="21">
        <v>16</v>
      </c>
      <c r="K89" s="129">
        <v>2.5</v>
      </c>
      <c r="L89" s="21">
        <v>19</v>
      </c>
      <c r="M89" s="21">
        <v>11</v>
      </c>
      <c r="N89" s="129">
        <v>2.2999999999999998</v>
      </c>
      <c r="O89" s="129">
        <v>8.3000000000000007</v>
      </c>
      <c r="P89" s="129" t="s">
        <v>96</v>
      </c>
      <c r="Q89" s="129" t="s">
        <v>96</v>
      </c>
      <c r="R89" s="129">
        <v>4.2</v>
      </c>
      <c r="S89" s="129">
        <v>1.1000000000000001</v>
      </c>
      <c r="T89" s="134">
        <v>9.6</v>
      </c>
      <c r="U89" s="134">
        <v>15</v>
      </c>
      <c r="V89" s="118" t="s">
        <v>96</v>
      </c>
      <c r="W89" s="122">
        <v>0.4</v>
      </c>
      <c r="X89" s="20">
        <v>16</v>
      </c>
      <c r="Y89" s="134">
        <v>3.8</v>
      </c>
      <c r="Z89" s="124" t="s">
        <v>96</v>
      </c>
    </row>
    <row r="90" spans="1:26" x14ac:dyDescent="0.25">
      <c r="A90" s="9" t="s">
        <v>73</v>
      </c>
      <c r="B90" s="21">
        <v>17</v>
      </c>
      <c r="C90" s="129" t="s">
        <v>96</v>
      </c>
      <c r="D90" s="129" t="s">
        <v>96</v>
      </c>
      <c r="E90" s="129">
        <v>6</v>
      </c>
      <c r="F90" s="129" t="s">
        <v>96</v>
      </c>
      <c r="G90" s="129">
        <v>5.3</v>
      </c>
      <c r="H90" s="129">
        <v>2.7</v>
      </c>
      <c r="I90" s="129" t="s">
        <v>96</v>
      </c>
      <c r="J90" s="129" t="s">
        <v>96</v>
      </c>
      <c r="K90" s="129" t="s">
        <v>96</v>
      </c>
      <c r="L90" s="21">
        <v>13</v>
      </c>
      <c r="M90" s="129">
        <v>4.0999999999999996</v>
      </c>
      <c r="N90" s="21">
        <v>15</v>
      </c>
      <c r="O90" s="129">
        <v>3.2</v>
      </c>
      <c r="P90" s="129">
        <v>2.1</v>
      </c>
      <c r="Q90" s="129">
        <v>9.3000000000000007</v>
      </c>
      <c r="R90" s="129" t="s">
        <v>96</v>
      </c>
      <c r="S90" s="129" t="s">
        <v>96</v>
      </c>
      <c r="T90" s="134">
        <v>6.4</v>
      </c>
      <c r="U90" s="134" t="s">
        <v>96</v>
      </c>
      <c r="V90" s="134">
        <v>1.2</v>
      </c>
      <c r="W90" s="118" t="s">
        <v>96</v>
      </c>
      <c r="X90" s="122" t="s">
        <v>96</v>
      </c>
      <c r="Y90" s="134">
        <v>0.5</v>
      </c>
      <c r="Z90" s="124" t="s">
        <v>96</v>
      </c>
    </row>
    <row r="91" spans="1:26" x14ac:dyDescent="0.25">
      <c r="A91" s="9" t="s">
        <v>74</v>
      </c>
      <c r="B91" s="129">
        <v>9.6999999999999993</v>
      </c>
      <c r="C91" s="129">
        <v>1.6</v>
      </c>
      <c r="D91" s="129">
        <v>1.4</v>
      </c>
      <c r="E91" s="129">
        <v>2.4</v>
      </c>
      <c r="F91" s="129">
        <v>5.0999999999999996</v>
      </c>
      <c r="G91" s="129">
        <v>8.1999999999999993</v>
      </c>
      <c r="H91" s="129">
        <v>9.5</v>
      </c>
      <c r="I91" s="129">
        <v>2.2000000000000002</v>
      </c>
      <c r="J91" s="129" t="s">
        <v>96</v>
      </c>
      <c r="K91" s="129">
        <v>3.1</v>
      </c>
      <c r="L91" s="129">
        <v>6.7</v>
      </c>
      <c r="M91" s="129" t="s">
        <v>96</v>
      </c>
      <c r="N91" s="129">
        <v>1.6</v>
      </c>
      <c r="O91" s="129" t="s">
        <v>96</v>
      </c>
      <c r="P91" s="129">
        <v>1</v>
      </c>
      <c r="Q91" s="129" t="s">
        <v>96</v>
      </c>
      <c r="R91" s="129">
        <v>3.5</v>
      </c>
      <c r="S91" s="129" t="s">
        <v>96</v>
      </c>
      <c r="T91" s="134" t="s">
        <v>96</v>
      </c>
      <c r="U91" s="134" t="s">
        <v>96</v>
      </c>
      <c r="V91" s="118" t="s">
        <v>96</v>
      </c>
      <c r="W91" s="122">
        <v>3.8</v>
      </c>
      <c r="X91" s="122">
        <v>7.2</v>
      </c>
      <c r="Y91" s="124" t="s">
        <v>96</v>
      </c>
      <c r="Z91" s="124" t="s">
        <v>96</v>
      </c>
    </row>
    <row r="92" spans="1:26" x14ac:dyDescent="0.25">
      <c r="A92" s="9" t="s">
        <v>75</v>
      </c>
      <c r="B92" s="21">
        <v>19</v>
      </c>
      <c r="C92" s="129">
        <v>2.2000000000000002</v>
      </c>
      <c r="D92" s="129">
        <v>6.5</v>
      </c>
      <c r="E92" s="129">
        <v>5.0999999999999996</v>
      </c>
      <c r="F92" s="129">
        <v>0.4</v>
      </c>
      <c r="G92" s="21">
        <v>21</v>
      </c>
      <c r="H92" s="129">
        <v>0.9</v>
      </c>
      <c r="I92" s="129">
        <v>7.6</v>
      </c>
      <c r="J92" s="129">
        <v>6.5</v>
      </c>
      <c r="K92" s="129">
        <v>3.3</v>
      </c>
      <c r="L92" s="129">
        <v>0.4</v>
      </c>
      <c r="M92" s="129">
        <v>0.3</v>
      </c>
      <c r="N92" s="129">
        <v>9.1999999999999993</v>
      </c>
      <c r="O92" s="129">
        <v>8.3000000000000007</v>
      </c>
      <c r="P92" s="129">
        <v>4.5999999999999996</v>
      </c>
      <c r="Q92" s="129" t="s">
        <v>96</v>
      </c>
      <c r="R92" s="129" t="s">
        <v>96</v>
      </c>
      <c r="S92" s="129">
        <v>0.4</v>
      </c>
      <c r="T92" s="134" t="s">
        <v>96</v>
      </c>
      <c r="U92" s="134" t="s">
        <v>96</v>
      </c>
      <c r="V92" s="134">
        <v>8.1999999999999993</v>
      </c>
      <c r="W92" s="118" t="s">
        <v>96</v>
      </c>
      <c r="X92" s="122">
        <v>0.3</v>
      </c>
      <c r="Y92" s="124" t="s">
        <v>96</v>
      </c>
      <c r="Z92" s="20">
        <v>18</v>
      </c>
    </row>
    <row r="93" spans="1:26" x14ac:dyDescent="0.25">
      <c r="A93" s="9" t="s">
        <v>76</v>
      </c>
      <c r="B93" s="129">
        <v>5.6</v>
      </c>
      <c r="C93" s="129" t="s">
        <v>96</v>
      </c>
      <c r="D93" s="129">
        <v>4.8</v>
      </c>
      <c r="E93" s="129" t="s">
        <v>96</v>
      </c>
      <c r="F93" s="21">
        <v>14</v>
      </c>
      <c r="G93" s="129">
        <v>3.8</v>
      </c>
      <c r="H93" s="129">
        <v>4.5</v>
      </c>
      <c r="I93" s="129">
        <v>2.1</v>
      </c>
      <c r="J93" s="129">
        <v>8.4</v>
      </c>
      <c r="K93" s="129" t="s">
        <v>96</v>
      </c>
      <c r="L93" s="129" t="s">
        <v>96</v>
      </c>
      <c r="M93" s="129">
        <v>4.0999999999999996</v>
      </c>
      <c r="N93" s="129">
        <v>2</v>
      </c>
      <c r="O93" s="129" t="s">
        <v>96</v>
      </c>
      <c r="P93" s="129" t="s">
        <v>96</v>
      </c>
      <c r="Q93" s="129">
        <v>0.5</v>
      </c>
      <c r="R93" s="129" t="s">
        <v>96</v>
      </c>
      <c r="S93" s="129" t="s">
        <v>96</v>
      </c>
      <c r="T93" s="134" t="s">
        <v>96</v>
      </c>
      <c r="U93" s="134" t="s">
        <v>96</v>
      </c>
      <c r="V93" s="118" t="s">
        <v>96</v>
      </c>
      <c r="W93" s="118" t="s">
        <v>96</v>
      </c>
      <c r="X93" s="122" t="s">
        <v>96</v>
      </c>
      <c r="Y93" s="124" t="s">
        <v>96</v>
      </c>
      <c r="Z93" s="124" t="s">
        <v>96</v>
      </c>
    </row>
    <row r="94" spans="1:26" x14ac:dyDescent="0.25">
      <c r="A94" s="9" t="s">
        <v>77</v>
      </c>
      <c r="B94" s="129" t="s">
        <v>96</v>
      </c>
      <c r="C94" s="129" t="s">
        <v>96</v>
      </c>
      <c r="D94" s="129">
        <v>5.9</v>
      </c>
      <c r="E94" s="21">
        <v>12</v>
      </c>
      <c r="F94" s="21">
        <v>12</v>
      </c>
      <c r="G94" s="129">
        <v>6.8</v>
      </c>
      <c r="H94" s="21">
        <v>15</v>
      </c>
      <c r="I94" s="129">
        <v>2.4</v>
      </c>
      <c r="J94" s="129" t="s">
        <v>96</v>
      </c>
      <c r="K94" s="129">
        <v>7.2</v>
      </c>
      <c r="L94" s="129" t="s">
        <v>96</v>
      </c>
      <c r="M94" s="21">
        <v>10</v>
      </c>
      <c r="N94" s="129">
        <v>1.9</v>
      </c>
      <c r="O94" s="129">
        <v>1.7</v>
      </c>
      <c r="P94" s="129">
        <v>1.8</v>
      </c>
      <c r="Q94" s="129">
        <v>4.8</v>
      </c>
      <c r="R94" s="129">
        <v>0.2</v>
      </c>
      <c r="S94" s="129" t="s">
        <v>96</v>
      </c>
      <c r="T94" s="134" t="s">
        <v>96</v>
      </c>
      <c r="U94" s="134" t="s">
        <v>96</v>
      </c>
      <c r="V94" s="118" t="s">
        <v>96</v>
      </c>
      <c r="W94" s="118" t="s">
        <v>96</v>
      </c>
      <c r="X94" s="122" t="s">
        <v>96</v>
      </c>
      <c r="Y94" s="134">
        <v>11</v>
      </c>
      <c r="Z94" s="124" t="s">
        <v>96</v>
      </c>
    </row>
    <row r="95" spans="1:26" ht="18" x14ac:dyDescent="0.25">
      <c r="A95" s="8" t="s">
        <v>91</v>
      </c>
      <c r="B95" s="123">
        <v>5.3</v>
      </c>
      <c r="C95" s="123">
        <v>3.6</v>
      </c>
      <c r="D95" s="123">
        <v>4.7</v>
      </c>
      <c r="E95" s="22">
        <v>17</v>
      </c>
      <c r="F95" s="22">
        <v>11</v>
      </c>
      <c r="G95" s="123">
        <v>5.0999999999999996</v>
      </c>
      <c r="H95" s="123">
        <v>5.6</v>
      </c>
      <c r="I95" s="22">
        <v>10</v>
      </c>
      <c r="J95" s="123">
        <v>7</v>
      </c>
      <c r="K95" s="123">
        <v>6.8</v>
      </c>
      <c r="L95" s="123">
        <v>8.3000000000000007</v>
      </c>
      <c r="M95" s="123">
        <v>6.1</v>
      </c>
      <c r="N95" s="123">
        <v>5.5</v>
      </c>
      <c r="O95" s="123">
        <v>7.5</v>
      </c>
      <c r="P95" s="123">
        <v>4.2</v>
      </c>
      <c r="Q95" s="22">
        <v>10</v>
      </c>
      <c r="R95" s="123">
        <v>3.1</v>
      </c>
      <c r="S95" s="123">
        <v>7</v>
      </c>
      <c r="T95" s="133">
        <v>3.3</v>
      </c>
      <c r="U95" s="133" t="s">
        <v>96</v>
      </c>
      <c r="V95" s="133">
        <v>0.8</v>
      </c>
      <c r="W95" s="124">
        <v>0.5</v>
      </c>
      <c r="X95" s="124">
        <v>4.7</v>
      </c>
      <c r="Y95" s="120">
        <v>1.8</v>
      </c>
      <c r="Z95" s="124">
        <v>3.9</v>
      </c>
    </row>
    <row r="96" spans="1:26" x14ac:dyDescent="0.25">
      <c r="A96" s="9" t="s">
        <v>67</v>
      </c>
      <c r="B96" s="129" t="s">
        <v>96</v>
      </c>
      <c r="C96" s="129">
        <v>5</v>
      </c>
      <c r="D96" s="21">
        <v>14</v>
      </c>
      <c r="E96" s="129">
        <v>5.0999999999999996</v>
      </c>
      <c r="F96" s="129">
        <v>3.1</v>
      </c>
      <c r="G96" s="123" t="s">
        <v>96</v>
      </c>
      <c r="H96" s="123" t="s">
        <v>96</v>
      </c>
      <c r="I96" s="129">
        <v>6.2</v>
      </c>
      <c r="J96" s="129">
        <v>1.9</v>
      </c>
      <c r="K96" s="21">
        <v>22</v>
      </c>
      <c r="L96" s="129">
        <v>2.9</v>
      </c>
      <c r="M96" s="21">
        <v>12</v>
      </c>
      <c r="N96" s="129">
        <v>6.4</v>
      </c>
      <c r="O96" s="129" t="s">
        <v>96</v>
      </c>
      <c r="P96" s="129">
        <v>1</v>
      </c>
      <c r="Q96" s="129" t="s">
        <v>96</v>
      </c>
      <c r="R96" s="129" t="s">
        <v>96</v>
      </c>
      <c r="S96" s="129">
        <v>8.4</v>
      </c>
      <c r="T96" s="134">
        <v>12</v>
      </c>
      <c r="U96" s="134" t="s">
        <v>96</v>
      </c>
      <c r="V96" s="118" t="s">
        <v>96</v>
      </c>
      <c r="W96" s="118" t="s">
        <v>96</v>
      </c>
      <c r="X96" s="20">
        <v>15</v>
      </c>
      <c r="Y96" s="124" t="s">
        <v>96</v>
      </c>
      <c r="Z96" s="124" t="s">
        <v>96</v>
      </c>
    </row>
    <row r="97" spans="1:26" x14ac:dyDescent="0.25">
      <c r="A97" s="9" t="s">
        <v>78</v>
      </c>
      <c r="B97" s="21">
        <v>20</v>
      </c>
      <c r="C97" s="21">
        <v>11</v>
      </c>
      <c r="D97" s="129">
        <v>4.3</v>
      </c>
      <c r="E97" s="21">
        <v>79</v>
      </c>
      <c r="F97" s="21">
        <v>46</v>
      </c>
      <c r="G97" s="21">
        <v>32</v>
      </c>
      <c r="H97" s="129" t="s">
        <v>96</v>
      </c>
      <c r="I97" s="21">
        <v>24</v>
      </c>
      <c r="J97" s="21">
        <v>12</v>
      </c>
      <c r="K97" s="21">
        <v>19</v>
      </c>
      <c r="L97" s="21">
        <v>11</v>
      </c>
      <c r="M97" s="129">
        <v>4.2</v>
      </c>
      <c r="N97" s="129">
        <v>6.3</v>
      </c>
      <c r="O97" s="21">
        <v>26</v>
      </c>
      <c r="P97" s="21">
        <v>13</v>
      </c>
      <c r="Q97" s="129">
        <v>3.1</v>
      </c>
      <c r="R97" s="129">
        <v>5.5</v>
      </c>
      <c r="S97" s="21">
        <v>15</v>
      </c>
      <c r="T97" s="134">
        <v>3.1</v>
      </c>
      <c r="U97" s="134" t="s">
        <v>96</v>
      </c>
      <c r="V97" s="134">
        <v>3.1</v>
      </c>
      <c r="W97" s="118" t="s">
        <v>96</v>
      </c>
      <c r="X97" s="20">
        <v>22</v>
      </c>
      <c r="Y97" s="124" t="s">
        <v>96</v>
      </c>
      <c r="Z97" s="20">
        <v>28</v>
      </c>
    </row>
    <row r="98" spans="1:26" x14ac:dyDescent="0.25">
      <c r="A98" s="9" t="s">
        <v>71</v>
      </c>
      <c r="B98" s="21">
        <v>11</v>
      </c>
      <c r="C98" s="129">
        <v>5.5</v>
      </c>
      <c r="D98" s="21">
        <v>13</v>
      </c>
      <c r="E98" s="21">
        <v>28</v>
      </c>
      <c r="F98" s="129">
        <v>3.5</v>
      </c>
      <c r="G98" s="129">
        <v>3.5</v>
      </c>
      <c r="H98" s="21">
        <v>16</v>
      </c>
      <c r="I98" s="21">
        <v>13</v>
      </c>
      <c r="J98" s="21">
        <v>15</v>
      </c>
      <c r="K98" s="129" t="s">
        <v>96</v>
      </c>
      <c r="L98" s="129" t="s">
        <v>96</v>
      </c>
      <c r="M98" s="21">
        <v>12</v>
      </c>
      <c r="N98" s="21">
        <v>24</v>
      </c>
      <c r="O98" s="21">
        <v>23</v>
      </c>
      <c r="P98" s="129" t="s">
        <v>96</v>
      </c>
      <c r="Q98" s="129" t="s">
        <v>96</v>
      </c>
      <c r="R98" s="129" t="s">
        <v>96</v>
      </c>
      <c r="S98" s="21">
        <v>16</v>
      </c>
      <c r="T98" s="134" t="s">
        <v>96</v>
      </c>
      <c r="U98" s="134" t="s">
        <v>96</v>
      </c>
      <c r="V98" s="118" t="s">
        <v>96</v>
      </c>
      <c r="W98" s="118" t="s">
        <v>96</v>
      </c>
      <c r="X98" s="122" t="s">
        <v>96</v>
      </c>
      <c r="Y98" s="124" t="s">
        <v>96</v>
      </c>
      <c r="Z98" s="124" t="s">
        <v>96</v>
      </c>
    </row>
    <row r="99" spans="1:26" x14ac:dyDescent="0.25">
      <c r="A99" s="9" t="s">
        <v>79</v>
      </c>
      <c r="B99" s="21">
        <v>11</v>
      </c>
      <c r="C99" s="129" t="s">
        <v>96</v>
      </c>
      <c r="D99" s="129" t="s">
        <v>96</v>
      </c>
      <c r="E99" s="129" t="s">
        <v>96</v>
      </c>
      <c r="F99" s="129" t="s">
        <v>96</v>
      </c>
      <c r="G99" s="123" t="s">
        <v>96</v>
      </c>
      <c r="H99" s="123" t="s">
        <v>96</v>
      </c>
      <c r="I99" s="21">
        <v>32</v>
      </c>
      <c r="J99" s="129">
        <v>8.9</v>
      </c>
      <c r="K99" s="123" t="s">
        <v>96</v>
      </c>
      <c r="L99" s="123" t="s">
        <v>96</v>
      </c>
      <c r="M99" s="123" t="s">
        <v>96</v>
      </c>
      <c r="N99" s="123" t="s">
        <v>96</v>
      </c>
      <c r="O99" s="123" t="s">
        <v>96</v>
      </c>
      <c r="P99" s="123" t="s">
        <v>96</v>
      </c>
      <c r="Q99" s="123" t="s">
        <v>96</v>
      </c>
      <c r="R99" s="123" t="s">
        <v>96</v>
      </c>
      <c r="S99" s="129" t="s">
        <v>96</v>
      </c>
      <c r="T99" s="118" t="s">
        <v>96</v>
      </c>
      <c r="U99" s="118" t="s">
        <v>96</v>
      </c>
      <c r="V99" s="118" t="s">
        <v>96</v>
      </c>
      <c r="W99" s="118" t="s">
        <v>96</v>
      </c>
      <c r="X99" s="122" t="s">
        <v>96</v>
      </c>
      <c r="Y99" s="124" t="s">
        <v>96</v>
      </c>
      <c r="Z99" s="124" t="s">
        <v>96</v>
      </c>
    </row>
    <row r="100" spans="1:26" x14ac:dyDescent="0.25">
      <c r="A100" s="9" t="s">
        <v>80</v>
      </c>
      <c r="B100" s="129" t="s">
        <v>96</v>
      </c>
      <c r="C100" s="129" t="s">
        <v>96</v>
      </c>
      <c r="D100" s="129">
        <v>1.2</v>
      </c>
      <c r="E100" s="129">
        <v>1.9</v>
      </c>
      <c r="F100" s="129">
        <v>2.5</v>
      </c>
      <c r="G100" s="129" t="s">
        <v>96</v>
      </c>
      <c r="H100" s="129">
        <v>2.5</v>
      </c>
      <c r="I100" s="129" t="s">
        <v>96</v>
      </c>
      <c r="J100" s="129" t="s">
        <v>96</v>
      </c>
      <c r="K100" s="129">
        <v>2</v>
      </c>
      <c r="L100" s="129" t="s">
        <v>96</v>
      </c>
      <c r="M100" s="129">
        <v>4.2</v>
      </c>
      <c r="N100" s="129">
        <v>3.4</v>
      </c>
      <c r="O100" s="129" t="s">
        <v>96</v>
      </c>
      <c r="P100" s="129">
        <v>7.8</v>
      </c>
      <c r="Q100" s="129" t="s">
        <v>96</v>
      </c>
      <c r="R100" s="129" t="s">
        <v>96</v>
      </c>
      <c r="S100" s="129" t="s">
        <v>96</v>
      </c>
      <c r="T100" s="134">
        <v>2.1</v>
      </c>
      <c r="U100" s="134" t="s">
        <v>96</v>
      </c>
      <c r="V100" s="118" t="s">
        <v>96</v>
      </c>
      <c r="W100" s="118" t="s">
        <v>96</v>
      </c>
      <c r="X100" s="122" t="s">
        <v>96</v>
      </c>
      <c r="Y100" s="124" t="s">
        <v>96</v>
      </c>
      <c r="Z100" s="124" t="s">
        <v>96</v>
      </c>
    </row>
    <row r="101" spans="1:26" x14ac:dyDescent="0.25">
      <c r="A101" s="9" t="s">
        <v>130</v>
      </c>
      <c r="B101" s="129">
        <v>7.8</v>
      </c>
      <c r="C101" s="129">
        <v>3.4</v>
      </c>
      <c r="D101" s="129" t="s">
        <v>96</v>
      </c>
      <c r="E101" s="129">
        <v>6.8</v>
      </c>
      <c r="F101" s="21">
        <v>16</v>
      </c>
      <c r="G101" s="129">
        <v>6.7</v>
      </c>
      <c r="H101" s="129">
        <v>1.8</v>
      </c>
      <c r="I101" s="21">
        <v>22</v>
      </c>
      <c r="J101" s="129">
        <v>6.7</v>
      </c>
      <c r="K101" s="129" t="s">
        <v>96</v>
      </c>
      <c r="L101" s="21">
        <v>12</v>
      </c>
      <c r="M101" s="129" t="s">
        <v>96</v>
      </c>
      <c r="N101" s="129" t="s">
        <v>96</v>
      </c>
      <c r="O101" s="129">
        <v>5.8</v>
      </c>
      <c r="P101" s="129" t="s">
        <v>96</v>
      </c>
      <c r="Q101" s="129" t="s">
        <v>96</v>
      </c>
      <c r="R101" s="129" t="s">
        <v>96</v>
      </c>
      <c r="S101" s="129" t="s">
        <v>96</v>
      </c>
      <c r="T101" s="134" t="s">
        <v>96</v>
      </c>
      <c r="U101" s="134" t="s">
        <v>96</v>
      </c>
      <c r="V101" s="118" t="s">
        <v>96</v>
      </c>
      <c r="W101" s="122">
        <v>2.4</v>
      </c>
      <c r="X101" s="122" t="s">
        <v>96</v>
      </c>
      <c r="Y101" s="134">
        <v>10</v>
      </c>
      <c r="Z101" s="124" t="s">
        <v>96</v>
      </c>
    </row>
    <row r="102" spans="1:26" x14ac:dyDescent="0.25">
      <c r="A102" s="9" t="s">
        <v>82</v>
      </c>
      <c r="B102" s="129" t="s">
        <v>96</v>
      </c>
      <c r="C102" s="129">
        <v>4</v>
      </c>
      <c r="D102" s="129">
        <v>7.3</v>
      </c>
      <c r="E102" s="21">
        <v>18</v>
      </c>
      <c r="F102" s="21">
        <v>17</v>
      </c>
      <c r="G102" s="129" t="s">
        <v>96</v>
      </c>
      <c r="H102" s="129" t="s">
        <v>96</v>
      </c>
      <c r="I102" s="129" t="s">
        <v>96</v>
      </c>
      <c r="J102" s="129" t="s">
        <v>96</v>
      </c>
      <c r="K102" s="129">
        <v>5.4</v>
      </c>
      <c r="L102" s="129">
        <v>7.8</v>
      </c>
      <c r="M102" s="21">
        <v>16</v>
      </c>
      <c r="N102" s="129">
        <v>1.7</v>
      </c>
      <c r="O102" s="129">
        <v>2.5</v>
      </c>
      <c r="P102" s="129">
        <v>4.2</v>
      </c>
      <c r="Q102" s="21">
        <v>68</v>
      </c>
      <c r="R102" s="129" t="s">
        <v>96</v>
      </c>
      <c r="S102" s="129" t="s">
        <v>96</v>
      </c>
      <c r="T102" s="134" t="s">
        <v>96</v>
      </c>
      <c r="U102" s="134" t="s">
        <v>96</v>
      </c>
      <c r="V102" s="118" t="s">
        <v>96</v>
      </c>
      <c r="W102" s="118" t="s">
        <v>96</v>
      </c>
      <c r="X102" s="122" t="s">
        <v>96</v>
      </c>
      <c r="Y102" s="124" t="s">
        <v>96</v>
      </c>
      <c r="Z102" s="124" t="s">
        <v>96</v>
      </c>
    </row>
    <row r="103" spans="1:26" x14ac:dyDescent="0.25">
      <c r="A103" s="9" t="s">
        <v>83</v>
      </c>
      <c r="B103" s="129" t="s">
        <v>96</v>
      </c>
      <c r="C103" s="129" t="s">
        <v>96</v>
      </c>
      <c r="D103" s="129" t="s">
        <v>96</v>
      </c>
      <c r="E103" s="129" t="s">
        <v>96</v>
      </c>
      <c r="F103" s="129" t="s">
        <v>96</v>
      </c>
      <c r="G103" s="129" t="s">
        <v>96</v>
      </c>
      <c r="H103" s="129" t="s">
        <v>96</v>
      </c>
      <c r="I103" s="129" t="s">
        <v>96</v>
      </c>
      <c r="J103" s="129" t="s">
        <v>96</v>
      </c>
      <c r="K103" s="129" t="s">
        <v>96</v>
      </c>
      <c r="L103" s="21">
        <v>115</v>
      </c>
      <c r="M103" s="129">
        <v>7.7</v>
      </c>
      <c r="N103" s="129" t="s">
        <v>96</v>
      </c>
      <c r="O103" s="129" t="s">
        <v>96</v>
      </c>
      <c r="P103" s="129" t="s">
        <v>96</v>
      </c>
      <c r="Q103" s="21" t="s">
        <v>96</v>
      </c>
      <c r="R103" s="129" t="s">
        <v>96</v>
      </c>
      <c r="S103" s="21">
        <v>14</v>
      </c>
      <c r="T103" s="134" t="s">
        <v>96</v>
      </c>
      <c r="U103" s="134" t="s">
        <v>96</v>
      </c>
      <c r="V103" s="118" t="s">
        <v>96</v>
      </c>
      <c r="W103" s="118" t="s">
        <v>96</v>
      </c>
      <c r="X103" s="122" t="s">
        <v>96</v>
      </c>
      <c r="Y103" s="124" t="s">
        <v>96</v>
      </c>
      <c r="Z103" s="124" t="s">
        <v>96</v>
      </c>
    </row>
    <row r="104" spans="1:26" x14ac:dyDescent="0.25">
      <c r="A104" s="9" t="s">
        <v>84</v>
      </c>
      <c r="B104" s="129" t="s">
        <v>96</v>
      </c>
      <c r="C104" s="129" t="s">
        <v>96</v>
      </c>
      <c r="D104" s="129" t="s">
        <v>96</v>
      </c>
      <c r="E104" s="21">
        <v>10</v>
      </c>
      <c r="F104" s="129" t="s">
        <v>96</v>
      </c>
      <c r="G104" s="129" t="s">
        <v>96</v>
      </c>
      <c r="H104" s="129">
        <v>7.7</v>
      </c>
      <c r="I104" s="129" t="s">
        <v>96</v>
      </c>
      <c r="J104" s="21">
        <v>18</v>
      </c>
      <c r="K104" s="21">
        <v>16</v>
      </c>
      <c r="L104" s="21">
        <v>27</v>
      </c>
      <c r="M104" s="129" t="s">
        <v>96</v>
      </c>
      <c r="N104" s="129" t="s">
        <v>96</v>
      </c>
      <c r="O104" s="129" t="s">
        <v>96</v>
      </c>
      <c r="P104" s="129">
        <v>5.2</v>
      </c>
      <c r="Q104" s="21">
        <v>31</v>
      </c>
      <c r="R104" s="21">
        <v>36</v>
      </c>
      <c r="S104" s="21">
        <v>32</v>
      </c>
      <c r="T104" s="134">
        <v>16</v>
      </c>
      <c r="U104" s="134" t="s">
        <v>96</v>
      </c>
      <c r="V104" s="129">
        <v>6.4</v>
      </c>
      <c r="W104" s="118" t="s">
        <v>96</v>
      </c>
      <c r="X104" s="122" t="s">
        <v>96</v>
      </c>
      <c r="Y104" s="124" t="s">
        <v>96</v>
      </c>
      <c r="Z104" s="122">
        <v>6.6</v>
      </c>
    </row>
    <row r="105" spans="1:26" ht="19.5" x14ac:dyDescent="0.25">
      <c r="A105" s="9" t="s">
        <v>85</v>
      </c>
      <c r="B105" s="129" t="s">
        <v>96</v>
      </c>
      <c r="C105" s="21">
        <v>10</v>
      </c>
      <c r="D105" s="129" t="s">
        <v>96</v>
      </c>
      <c r="E105" s="21">
        <v>16</v>
      </c>
      <c r="F105" s="129" t="s">
        <v>96</v>
      </c>
      <c r="G105" s="129" t="s">
        <v>96</v>
      </c>
      <c r="H105" s="21">
        <v>39</v>
      </c>
      <c r="I105" s="129" t="s">
        <v>96</v>
      </c>
      <c r="J105" s="21">
        <v>43</v>
      </c>
      <c r="K105" s="21" t="s">
        <v>96</v>
      </c>
      <c r="L105" s="129" t="s">
        <v>96</v>
      </c>
      <c r="M105" s="129" t="s">
        <v>96</v>
      </c>
      <c r="N105" s="129" t="s">
        <v>96</v>
      </c>
      <c r="O105" s="129" t="s">
        <v>96</v>
      </c>
      <c r="P105" s="129" t="s">
        <v>96</v>
      </c>
      <c r="Q105" s="21">
        <v>73</v>
      </c>
      <c r="R105" s="21">
        <v>18</v>
      </c>
      <c r="S105" s="129" t="s">
        <v>96</v>
      </c>
      <c r="T105" s="134" t="s">
        <v>96</v>
      </c>
      <c r="U105" s="134" t="s">
        <v>96</v>
      </c>
      <c r="V105" s="118" t="s">
        <v>96</v>
      </c>
      <c r="W105" s="118" t="s">
        <v>96</v>
      </c>
      <c r="X105" s="122" t="s">
        <v>96</v>
      </c>
      <c r="Y105" s="124" t="s">
        <v>96</v>
      </c>
      <c r="Z105" s="124" t="s">
        <v>96</v>
      </c>
    </row>
    <row r="106" spans="1:26" ht="19.5" x14ac:dyDescent="0.25">
      <c r="A106" s="9" t="s">
        <v>270</v>
      </c>
      <c r="B106" s="129" t="s">
        <v>96</v>
      </c>
      <c r="C106" s="129" t="s">
        <v>96</v>
      </c>
      <c r="D106" s="129" t="s">
        <v>96</v>
      </c>
      <c r="E106" s="129" t="s">
        <v>96</v>
      </c>
      <c r="F106" s="129" t="s">
        <v>96</v>
      </c>
      <c r="G106" s="129" t="s">
        <v>96</v>
      </c>
      <c r="H106" s="21">
        <v>22</v>
      </c>
      <c r="I106" s="129">
        <v>1.9</v>
      </c>
      <c r="J106" s="129">
        <v>1</v>
      </c>
      <c r="K106" s="129">
        <v>2.9</v>
      </c>
      <c r="L106" s="129">
        <v>2</v>
      </c>
      <c r="M106" s="129" t="s">
        <v>96</v>
      </c>
      <c r="N106" s="129" t="s">
        <v>96</v>
      </c>
      <c r="O106" s="129">
        <v>5.4</v>
      </c>
      <c r="P106" s="129" t="s">
        <v>96</v>
      </c>
      <c r="Q106" s="129" t="s">
        <v>96</v>
      </c>
      <c r="R106" s="129" t="s">
        <v>96</v>
      </c>
      <c r="S106" s="129" t="s">
        <v>96</v>
      </c>
      <c r="T106" s="134" t="s">
        <v>96</v>
      </c>
      <c r="U106" s="134" t="s">
        <v>96</v>
      </c>
      <c r="V106" s="129">
        <v>1.5</v>
      </c>
      <c r="W106" s="129">
        <v>1.7</v>
      </c>
      <c r="X106" s="122" t="s">
        <v>96</v>
      </c>
      <c r="Y106" s="129">
        <v>3.1</v>
      </c>
      <c r="Z106" s="124" t="s">
        <v>96</v>
      </c>
    </row>
    <row r="107" spans="1:26" x14ac:dyDescent="0.25">
      <c r="A107" s="106" t="s">
        <v>189</v>
      </c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23"/>
      <c r="T107" s="151"/>
      <c r="U107" s="88"/>
      <c r="Z107" s="12"/>
    </row>
    <row r="108" spans="1:26" ht="15.75" customHeight="1" thickBot="1" x14ac:dyDescent="0.3">
      <c r="A108" s="214" t="s">
        <v>271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152"/>
      <c r="Y108" s="25"/>
      <c r="Z108" s="25"/>
    </row>
    <row r="109" spans="1:26" x14ac:dyDescent="0.25">
      <c r="A109" s="12"/>
      <c r="Z109" s="12"/>
    </row>
    <row r="110" spans="1:26" x14ac:dyDescent="0.25">
      <c r="A110" s="12"/>
      <c r="Z110" s="12"/>
    </row>
    <row r="111" spans="1:26" x14ac:dyDescent="0.25">
      <c r="A111" s="12"/>
      <c r="Z111" s="12"/>
    </row>
    <row r="112" spans="1:26" x14ac:dyDescent="0.25">
      <c r="A112" s="73"/>
      <c r="B112" s="75"/>
      <c r="C112" s="75"/>
      <c r="D112" s="75"/>
      <c r="E112" s="75"/>
      <c r="F112" s="75"/>
      <c r="G112" s="55"/>
      <c r="H112" s="76"/>
      <c r="I112" s="76"/>
      <c r="J112" s="76"/>
      <c r="K112" s="76"/>
      <c r="L112" s="76"/>
      <c r="M112" s="55"/>
      <c r="N112" s="55"/>
      <c r="O112" s="76"/>
      <c r="P112" s="55"/>
      <c r="Q112" s="55"/>
      <c r="R112" s="55"/>
      <c r="S112" s="55"/>
    </row>
    <row r="113" spans="1:19" x14ac:dyDescent="0.25">
      <c r="A113" s="73"/>
      <c r="B113" s="75"/>
      <c r="C113" s="75"/>
      <c r="D113" s="75"/>
      <c r="E113" s="75"/>
      <c r="F113" s="75"/>
      <c r="G113" s="55"/>
      <c r="H113" s="55"/>
      <c r="I113" s="55"/>
      <c r="J113" s="55"/>
      <c r="K113" s="55"/>
      <c r="L113" s="75"/>
      <c r="M113" s="153"/>
      <c r="N113" s="75"/>
      <c r="O113" s="75"/>
      <c r="P113" s="75"/>
      <c r="Q113" s="75"/>
      <c r="R113" s="75"/>
      <c r="S113" s="154"/>
    </row>
  </sheetData>
  <mergeCells count="4">
    <mergeCell ref="A108:W108"/>
    <mergeCell ref="A2:Z2"/>
    <mergeCell ref="A3:Z3"/>
    <mergeCell ref="A4:Z4"/>
  </mergeCells>
  <pageMargins left="0.7" right="0.7" top="0.75" bottom="0.75" header="0.3" footer="0.3"/>
  <pageSetup paperSize="9" orientation="portrait" verticalDpi="4294967295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0">
    <tabColor rgb="FFC7E6A4"/>
  </sheetPr>
  <dimension ref="A1:Z110"/>
  <sheetViews>
    <sheetView zoomScale="80" zoomScaleNormal="80" workbookViewId="0">
      <pane ySplit="8" topLeftCell="A87" activePane="bottomLeft" state="frozen"/>
      <selection sqref="A1:T1"/>
      <selection pane="bottomLeft" activeCell="AA94" sqref="AA94"/>
    </sheetView>
  </sheetViews>
  <sheetFormatPr defaultColWidth="9.140625" defaultRowHeight="14.25" x14ac:dyDescent="0.2"/>
  <cols>
    <col min="1" max="1" width="18.28515625" style="95" customWidth="1"/>
    <col min="2" max="12" width="9.140625" style="95" customWidth="1"/>
    <col min="13" max="13" width="8.140625" style="95" customWidth="1"/>
    <col min="14" max="14" width="8.42578125" style="95" customWidth="1"/>
    <col min="15" max="16" width="9.140625" style="95" customWidth="1"/>
    <col min="17" max="17" width="9.140625" style="95"/>
    <col min="18" max="21" width="9.140625" style="95" customWidth="1"/>
    <col min="22" max="22" width="9.140625" style="95"/>
    <col min="23" max="26" width="9.140625" style="145"/>
    <col min="27" max="16384" width="9.140625" style="95"/>
  </cols>
  <sheetData>
    <row r="1" spans="1:26" ht="30" customHeight="1" x14ac:dyDescent="0.2"/>
    <row r="2" spans="1:26" x14ac:dyDescent="0.2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">
      <c r="A5" s="11" t="s">
        <v>233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</row>
    <row r="6" spans="1:26" x14ac:dyDescent="0.2">
      <c r="A6" s="11" t="s">
        <v>232</v>
      </c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</row>
    <row r="7" spans="1:26" ht="15" thickBot="1" x14ac:dyDescent="0.25">
      <c r="A7" s="68" t="s">
        <v>156</v>
      </c>
      <c r="B7" s="191"/>
      <c r="C7" s="191"/>
      <c r="D7" s="191"/>
      <c r="E7" s="191"/>
      <c r="F7" s="191"/>
      <c r="G7" s="191"/>
      <c r="H7" s="191"/>
      <c r="I7" s="191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</row>
    <row r="8" spans="1:26" ht="15" thickBot="1" x14ac:dyDescent="0.25">
      <c r="A8" s="69"/>
      <c r="B8" s="2">
        <v>2000</v>
      </c>
      <c r="C8" s="168">
        <v>2001</v>
      </c>
      <c r="D8" s="168">
        <v>2002</v>
      </c>
      <c r="E8" s="168">
        <v>2003</v>
      </c>
      <c r="F8" s="168">
        <v>2004</v>
      </c>
      <c r="G8" s="168">
        <v>2005</v>
      </c>
      <c r="H8" s="168">
        <v>2006</v>
      </c>
      <c r="I8" s="168">
        <v>2007</v>
      </c>
      <c r="J8" s="168">
        <v>2008</v>
      </c>
      <c r="K8" s="168">
        <v>2009</v>
      </c>
      <c r="L8" s="2">
        <v>2010</v>
      </c>
      <c r="M8" s="168">
        <v>2011</v>
      </c>
      <c r="N8" s="168">
        <v>2012</v>
      </c>
      <c r="O8" s="168">
        <v>2013</v>
      </c>
      <c r="P8" s="168">
        <v>2014</v>
      </c>
      <c r="Q8" s="168">
        <v>2015</v>
      </c>
      <c r="R8" s="168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x14ac:dyDescent="0.2">
      <c r="A9" s="29" t="s">
        <v>0</v>
      </c>
      <c r="B9" s="120">
        <v>24774</v>
      </c>
      <c r="C9" s="120">
        <v>21761</v>
      </c>
      <c r="D9" s="120">
        <v>22030</v>
      </c>
      <c r="E9" s="120">
        <v>20664</v>
      </c>
      <c r="F9" s="120">
        <v>18730</v>
      </c>
      <c r="G9" s="120">
        <v>20222</v>
      </c>
      <c r="H9" s="120">
        <v>22547</v>
      </c>
      <c r="I9" s="120">
        <v>31708</v>
      </c>
      <c r="J9" s="120">
        <v>25327</v>
      </c>
      <c r="K9" s="65">
        <v>22502</v>
      </c>
      <c r="L9" s="120">
        <v>26811</v>
      </c>
      <c r="M9" s="22">
        <v>25175</v>
      </c>
      <c r="N9" s="120">
        <v>18857</v>
      </c>
      <c r="O9" s="120">
        <v>17544</v>
      </c>
      <c r="P9" s="120">
        <v>18846</v>
      </c>
      <c r="Q9" s="120">
        <v>23709</v>
      </c>
      <c r="R9" s="120">
        <v>18087</v>
      </c>
      <c r="S9" s="126">
        <v>20729</v>
      </c>
      <c r="T9" s="133">
        <v>24536</v>
      </c>
      <c r="U9" s="133">
        <v>21264</v>
      </c>
      <c r="V9" s="133">
        <v>26627</v>
      </c>
      <c r="W9" s="133">
        <v>22418</v>
      </c>
      <c r="X9" s="133">
        <v>32235</v>
      </c>
      <c r="Y9" s="155">
        <v>44473</v>
      </c>
      <c r="Z9" s="155">
        <v>35502</v>
      </c>
    </row>
    <row r="10" spans="1:26" ht="18" x14ac:dyDescent="0.2">
      <c r="A10" s="8" t="s">
        <v>92</v>
      </c>
      <c r="B10" s="120">
        <v>6365</v>
      </c>
      <c r="C10" s="120">
        <v>6234</v>
      </c>
      <c r="D10" s="120">
        <v>7610</v>
      </c>
      <c r="E10" s="120">
        <v>6427</v>
      </c>
      <c r="F10" s="120">
        <v>6260</v>
      </c>
      <c r="G10" s="120">
        <v>6187</v>
      </c>
      <c r="H10" s="120">
        <v>8330</v>
      </c>
      <c r="I10" s="120">
        <v>4615</v>
      </c>
      <c r="J10" s="120">
        <v>5410</v>
      </c>
      <c r="K10" s="65">
        <v>3868</v>
      </c>
      <c r="L10" s="120">
        <v>7060</v>
      </c>
      <c r="M10" s="22">
        <v>5279</v>
      </c>
      <c r="N10" s="120">
        <v>5182</v>
      </c>
      <c r="O10" s="120">
        <v>3176</v>
      </c>
      <c r="P10" s="120">
        <v>4722</v>
      </c>
      <c r="Q10" s="120">
        <v>6752</v>
      </c>
      <c r="R10" s="120">
        <v>7394</v>
      </c>
      <c r="S10" s="120">
        <v>6405</v>
      </c>
      <c r="T10" s="133">
        <v>11953</v>
      </c>
      <c r="U10" s="133">
        <v>6261</v>
      </c>
      <c r="V10" s="133">
        <v>8346</v>
      </c>
      <c r="W10" s="133">
        <v>5689</v>
      </c>
      <c r="X10" s="133">
        <v>10620</v>
      </c>
      <c r="Y10" s="155">
        <v>17179</v>
      </c>
      <c r="Z10" s="155">
        <v>9750</v>
      </c>
    </row>
    <row r="11" spans="1:26" x14ac:dyDescent="0.2">
      <c r="A11" s="9" t="s">
        <v>1</v>
      </c>
      <c r="B11" s="118">
        <v>1650</v>
      </c>
      <c r="C11" s="118">
        <v>25</v>
      </c>
      <c r="D11" s="118" t="s">
        <v>96</v>
      </c>
      <c r="E11" s="118" t="s">
        <v>96</v>
      </c>
      <c r="F11" s="118">
        <v>275</v>
      </c>
      <c r="G11" s="118">
        <v>1230</v>
      </c>
      <c r="H11" s="118">
        <v>16</v>
      </c>
      <c r="I11" s="118" t="s">
        <v>96</v>
      </c>
      <c r="J11" s="118">
        <v>135</v>
      </c>
      <c r="K11" s="66" t="s">
        <v>96</v>
      </c>
      <c r="L11" s="118">
        <v>720</v>
      </c>
      <c r="M11" s="21">
        <v>420</v>
      </c>
      <c r="N11" s="118">
        <v>228</v>
      </c>
      <c r="O11" s="118">
        <v>500</v>
      </c>
      <c r="P11" s="118" t="s">
        <v>96</v>
      </c>
      <c r="Q11" s="118">
        <v>10</v>
      </c>
      <c r="R11" s="118" t="s">
        <v>96</v>
      </c>
      <c r="S11" s="118">
        <v>310</v>
      </c>
      <c r="T11" s="134">
        <v>850</v>
      </c>
      <c r="U11" s="134">
        <v>516</v>
      </c>
      <c r="V11" s="134">
        <v>102</v>
      </c>
      <c r="W11" s="134">
        <v>12</v>
      </c>
      <c r="X11" s="134">
        <v>389</v>
      </c>
      <c r="Y11" s="156">
        <v>224</v>
      </c>
      <c r="Z11" s="156">
        <v>380</v>
      </c>
    </row>
    <row r="12" spans="1:26" x14ac:dyDescent="0.2">
      <c r="A12" s="9" t="s">
        <v>2</v>
      </c>
      <c r="B12" s="118">
        <v>580</v>
      </c>
      <c r="C12" s="118">
        <v>40</v>
      </c>
      <c r="D12" s="118">
        <v>535</v>
      </c>
      <c r="E12" s="118">
        <v>727</v>
      </c>
      <c r="F12" s="118" t="s">
        <v>96</v>
      </c>
      <c r="G12" s="118">
        <v>102</v>
      </c>
      <c r="H12" s="118">
        <v>530</v>
      </c>
      <c r="I12" s="118" t="s">
        <v>96</v>
      </c>
      <c r="J12" s="118">
        <v>300</v>
      </c>
      <c r="K12" s="66">
        <v>835</v>
      </c>
      <c r="L12" s="118">
        <v>25</v>
      </c>
      <c r="M12" s="21" t="s">
        <v>96</v>
      </c>
      <c r="N12" s="118">
        <v>415</v>
      </c>
      <c r="O12" s="118">
        <v>50</v>
      </c>
      <c r="P12" s="118">
        <v>27</v>
      </c>
      <c r="Q12" s="118" t="s">
        <v>96</v>
      </c>
      <c r="R12" s="118">
        <v>200</v>
      </c>
      <c r="S12" s="118" t="s">
        <v>96</v>
      </c>
      <c r="T12" s="134">
        <v>20</v>
      </c>
      <c r="U12" s="134">
        <v>460</v>
      </c>
      <c r="V12" s="134">
        <v>210</v>
      </c>
      <c r="W12" s="134">
        <v>50</v>
      </c>
      <c r="X12" s="134">
        <v>15</v>
      </c>
      <c r="Y12" s="156" t="s">
        <v>96</v>
      </c>
      <c r="Z12" s="156">
        <v>35</v>
      </c>
    </row>
    <row r="13" spans="1:26" x14ac:dyDescent="0.2">
      <c r="A13" s="9" t="s">
        <v>3</v>
      </c>
      <c r="B13" s="118" t="s">
        <v>96</v>
      </c>
      <c r="C13" s="118">
        <v>192</v>
      </c>
      <c r="D13" s="118" t="s">
        <v>96</v>
      </c>
      <c r="E13" s="118" t="s">
        <v>96</v>
      </c>
      <c r="F13" s="118" t="s">
        <v>96</v>
      </c>
      <c r="G13" s="118" t="s">
        <v>96</v>
      </c>
      <c r="H13" s="118" t="s">
        <v>96</v>
      </c>
      <c r="I13" s="118">
        <v>150</v>
      </c>
      <c r="J13" s="118">
        <v>40</v>
      </c>
      <c r="K13" s="66">
        <v>60</v>
      </c>
      <c r="L13" s="118" t="s">
        <v>96</v>
      </c>
      <c r="M13" s="21">
        <v>40</v>
      </c>
      <c r="N13" s="118">
        <v>55</v>
      </c>
      <c r="O13" s="118">
        <v>25</v>
      </c>
      <c r="P13" s="118" t="s">
        <v>96</v>
      </c>
      <c r="Q13" s="118">
        <v>78</v>
      </c>
      <c r="R13" s="118">
        <v>70</v>
      </c>
      <c r="S13" s="118">
        <v>76</v>
      </c>
      <c r="T13" s="134">
        <v>23</v>
      </c>
      <c r="U13" s="134">
        <v>266</v>
      </c>
      <c r="V13" s="134">
        <v>429</v>
      </c>
      <c r="W13" s="134">
        <v>384</v>
      </c>
      <c r="X13" s="134">
        <v>180</v>
      </c>
      <c r="Y13" s="156">
        <v>624</v>
      </c>
      <c r="Z13" s="156">
        <v>32</v>
      </c>
    </row>
    <row r="14" spans="1:26" x14ac:dyDescent="0.2">
      <c r="A14" s="9" t="s">
        <v>4</v>
      </c>
      <c r="B14" s="118">
        <v>10</v>
      </c>
      <c r="C14" s="118">
        <v>260</v>
      </c>
      <c r="D14" s="118">
        <v>150</v>
      </c>
      <c r="E14" s="118">
        <v>660</v>
      </c>
      <c r="F14" s="118">
        <v>240</v>
      </c>
      <c r="G14" s="118">
        <v>220</v>
      </c>
      <c r="H14" s="118">
        <v>909</v>
      </c>
      <c r="I14" s="118">
        <v>1155</v>
      </c>
      <c r="J14" s="118">
        <v>725</v>
      </c>
      <c r="K14" s="66">
        <v>35</v>
      </c>
      <c r="L14" s="118">
        <v>780</v>
      </c>
      <c r="M14" s="21">
        <v>997</v>
      </c>
      <c r="N14" s="118">
        <v>214</v>
      </c>
      <c r="O14" s="118" t="s">
        <v>96</v>
      </c>
      <c r="P14" s="118">
        <v>1071</v>
      </c>
      <c r="Q14" s="118">
        <v>2271</v>
      </c>
      <c r="R14" s="118">
        <v>2630</v>
      </c>
      <c r="S14" s="118">
        <v>395</v>
      </c>
      <c r="T14" s="134">
        <v>3154</v>
      </c>
      <c r="U14" s="134">
        <v>20</v>
      </c>
      <c r="V14" s="134">
        <v>425</v>
      </c>
      <c r="W14" s="134">
        <v>308</v>
      </c>
      <c r="X14" s="134">
        <v>1843</v>
      </c>
      <c r="Y14" s="156">
        <v>240</v>
      </c>
      <c r="Z14" s="156">
        <v>700</v>
      </c>
    </row>
    <row r="15" spans="1:26" x14ac:dyDescent="0.2">
      <c r="A15" s="9" t="s">
        <v>5</v>
      </c>
      <c r="B15" s="118" t="s">
        <v>96</v>
      </c>
      <c r="C15" s="118" t="s">
        <v>96</v>
      </c>
      <c r="D15" s="118" t="s">
        <v>96</v>
      </c>
      <c r="E15" s="118" t="s">
        <v>96</v>
      </c>
      <c r="F15" s="118">
        <v>250</v>
      </c>
      <c r="G15" s="118" t="s">
        <v>96</v>
      </c>
      <c r="H15" s="118">
        <v>250</v>
      </c>
      <c r="I15" s="118">
        <v>290</v>
      </c>
      <c r="J15" s="118" t="s">
        <v>96</v>
      </c>
      <c r="K15" s="66">
        <v>20</v>
      </c>
      <c r="L15" s="118" t="s">
        <v>96</v>
      </c>
      <c r="M15" s="21" t="s">
        <v>96</v>
      </c>
      <c r="N15" s="118">
        <v>316</v>
      </c>
      <c r="O15" s="118" t="s">
        <v>96</v>
      </c>
      <c r="P15" s="118">
        <v>125</v>
      </c>
      <c r="Q15" s="118" t="s">
        <v>96</v>
      </c>
      <c r="R15" s="118" t="s">
        <v>96</v>
      </c>
      <c r="S15" s="118" t="s">
        <v>96</v>
      </c>
      <c r="T15" s="134" t="s">
        <v>96</v>
      </c>
      <c r="U15" s="134">
        <v>47</v>
      </c>
      <c r="V15" s="134" t="s">
        <v>96</v>
      </c>
      <c r="W15" s="134">
        <v>150</v>
      </c>
      <c r="X15" s="156" t="s">
        <v>96</v>
      </c>
      <c r="Y15" s="156">
        <v>245</v>
      </c>
      <c r="Z15" s="156" t="s">
        <v>96</v>
      </c>
    </row>
    <row r="16" spans="1:26" x14ac:dyDescent="0.2">
      <c r="A16" s="9" t="s">
        <v>6</v>
      </c>
      <c r="B16" s="118" t="s">
        <v>96</v>
      </c>
      <c r="C16" s="118" t="s">
        <v>96</v>
      </c>
      <c r="D16" s="118">
        <v>50</v>
      </c>
      <c r="E16" s="118">
        <v>100</v>
      </c>
      <c r="F16" s="118">
        <v>230</v>
      </c>
      <c r="G16" s="118" t="s">
        <v>96</v>
      </c>
      <c r="H16" s="118" t="s">
        <v>96</v>
      </c>
      <c r="I16" s="118">
        <v>200</v>
      </c>
      <c r="J16" s="118">
        <v>370</v>
      </c>
      <c r="K16" s="66">
        <v>22</v>
      </c>
      <c r="L16" s="118">
        <v>110</v>
      </c>
      <c r="M16" s="21">
        <v>130</v>
      </c>
      <c r="N16" s="118" t="s">
        <v>96</v>
      </c>
      <c r="O16" s="118">
        <v>7</v>
      </c>
      <c r="P16" s="118">
        <v>200</v>
      </c>
      <c r="Q16" s="118">
        <v>20</v>
      </c>
      <c r="R16" s="118">
        <v>360</v>
      </c>
      <c r="S16" s="118" t="s">
        <v>96</v>
      </c>
      <c r="T16" s="134" t="s">
        <v>96</v>
      </c>
      <c r="U16" s="134" t="s">
        <v>96</v>
      </c>
      <c r="V16" s="134" t="s">
        <v>96</v>
      </c>
      <c r="W16" s="156" t="s">
        <v>96</v>
      </c>
      <c r="X16" s="134">
        <v>500</v>
      </c>
      <c r="Y16" s="156" t="s">
        <v>96</v>
      </c>
      <c r="Z16" s="156" t="s">
        <v>96</v>
      </c>
    </row>
    <row r="17" spans="1:26" x14ac:dyDescent="0.2">
      <c r="A17" s="9" t="s">
        <v>7</v>
      </c>
      <c r="B17" s="118" t="s">
        <v>96</v>
      </c>
      <c r="C17" s="118">
        <v>175</v>
      </c>
      <c r="D17" s="118" t="s">
        <v>96</v>
      </c>
      <c r="E17" s="118" t="s">
        <v>96</v>
      </c>
      <c r="F17" s="118">
        <v>100</v>
      </c>
      <c r="G17" s="118" t="s">
        <v>96</v>
      </c>
      <c r="H17" s="118">
        <v>250</v>
      </c>
      <c r="I17" s="118" t="s">
        <v>96</v>
      </c>
      <c r="J17" s="118">
        <v>100</v>
      </c>
      <c r="K17" s="66" t="s">
        <v>96</v>
      </c>
      <c r="L17" s="118">
        <v>150</v>
      </c>
      <c r="M17" s="21" t="s">
        <v>96</v>
      </c>
      <c r="N17" s="118" t="s">
        <v>96</v>
      </c>
      <c r="O17" s="118" t="s">
        <v>96</v>
      </c>
      <c r="P17" s="118">
        <v>15</v>
      </c>
      <c r="Q17" s="118" t="s">
        <v>96</v>
      </c>
      <c r="R17" s="118" t="s">
        <v>96</v>
      </c>
      <c r="S17" s="118" t="s">
        <v>96</v>
      </c>
      <c r="T17" s="134" t="s">
        <v>96</v>
      </c>
      <c r="U17" s="134" t="s">
        <v>96</v>
      </c>
      <c r="V17" s="134" t="s">
        <v>96</v>
      </c>
      <c r="W17" s="156" t="s">
        <v>96</v>
      </c>
      <c r="X17" s="134">
        <v>300</v>
      </c>
      <c r="Y17" s="156">
        <v>144</v>
      </c>
      <c r="Z17" s="156">
        <v>220</v>
      </c>
    </row>
    <row r="18" spans="1:26" x14ac:dyDescent="0.2">
      <c r="A18" s="9" t="s">
        <v>8</v>
      </c>
      <c r="B18" s="118" t="s">
        <v>96</v>
      </c>
      <c r="C18" s="118">
        <v>20</v>
      </c>
      <c r="D18" s="118">
        <v>250</v>
      </c>
      <c r="E18" s="118">
        <v>200</v>
      </c>
      <c r="F18" s="118" t="s">
        <v>96</v>
      </c>
      <c r="G18" s="118">
        <v>580</v>
      </c>
      <c r="H18" s="118" t="s">
        <v>96</v>
      </c>
      <c r="I18" s="118" t="s">
        <v>96</v>
      </c>
      <c r="J18" s="118" t="s">
        <v>96</v>
      </c>
      <c r="K18" s="66">
        <v>130</v>
      </c>
      <c r="L18" s="118">
        <v>48</v>
      </c>
      <c r="M18" s="21">
        <v>30</v>
      </c>
      <c r="N18" s="118">
        <v>130</v>
      </c>
      <c r="O18" s="118">
        <v>650</v>
      </c>
      <c r="P18" s="118">
        <v>56</v>
      </c>
      <c r="Q18" s="118">
        <v>512</v>
      </c>
      <c r="R18" s="118">
        <v>631</v>
      </c>
      <c r="S18" s="118">
        <v>67</v>
      </c>
      <c r="T18" s="134">
        <v>75</v>
      </c>
      <c r="U18" s="134">
        <v>156</v>
      </c>
      <c r="V18" s="134">
        <v>300</v>
      </c>
      <c r="W18" s="134">
        <v>820</v>
      </c>
      <c r="X18" s="134">
        <v>631</v>
      </c>
      <c r="Y18" s="156">
        <v>1290</v>
      </c>
      <c r="Z18" s="156">
        <v>840</v>
      </c>
    </row>
    <row r="19" spans="1:26" x14ac:dyDescent="0.2">
      <c r="A19" s="9" t="s">
        <v>9</v>
      </c>
      <c r="B19" s="118">
        <v>70</v>
      </c>
      <c r="C19" s="118">
        <v>250</v>
      </c>
      <c r="D19" s="118" t="s">
        <v>96</v>
      </c>
      <c r="E19" s="118">
        <v>180</v>
      </c>
      <c r="F19" s="118">
        <v>860</v>
      </c>
      <c r="G19" s="118">
        <v>720</v>
      </c>
      <c r="H19" s="118">
        <v>170</v>
      </c>
      <c r="I19" s="118">
        <v>250</v>
      </c>
      <c r="J19" s="118">
        <v>445</v>
      </c>
      <c r="K19" s="66">
        <v>225</v>
      </c>
      <c r="L19" s="118">
        <v>700</v>
      </c>
      <c r="M19" s="21">
        <v>80</v>
      </c>
      <c r="N19" s="118">
        <v>220</v>
      </c>
      <c r="O19" s="118">
        <v>30</v>
      </c>
      <c r="P19" s="118">
        <v>175</v>
      </c>
      <c r="Q19" s="118">
        <v>76</v>
      </c>
      <c r="R19" s="118">
        <v>155</v>
      </c>
      <c r="S19" s="118">
        <v>465</v>
      </c>
      <c r="T19" s="134">
        <v>450</v>
      </c>
      <c r="U19" s="134">
        <v>95</v>
      </c>
      <c r="V19" s="134">
        <v>50</v>
      </c>
      <c r="W19" s="156" t="s">
        <v>96</v>
      </c>
      <c r="X19" s="134">
        <v>825</v>
      </c>
      <c r="Y19" s="156">
        <v>280</v>
      </c>
      <c r="Z19" s="156">
        <v>1340</v>
      </c>
    </row>
    <row r="20" spans="1:26" x14ac:dyDescent="0.2">
      <c r="A20" s="9" t="s">
        <v>10</v>
      </c>
      <c r="B20" s="118">
        <v>380</v>
      </c>
      <c r="C20" s="118">
        <v>1710</v>
      </c>
      <c r="D20" s="118">
        <v>810</v>
      </c>
      <c r="E20" s="118">
        <v>1415</v>
      </c>
      <c r="F20" s="118">
        <v>1685</v>
      </c>
      <c r="G20" s="118">
        <v>485</v>
      </c>
      <c r="H20" s="118">
        <v>3740</v>
      </c>
      <c r="I20" s="118">
        <v>1080</v>
      </c>
      <c r="J20" s="118">
        <v>1516</v>
      </c>
      <c r="K20" s="66">
        <v>951</v>
      </c>
      <c r="L20" s="118">
        <v>1600</v>
      </c>
      <c r="M20" s="21">
        <v>1280</v>
      </c>
      <c r="N20" s="118">
        <v>600</v>
      </c>
      <c r="O20" s="118">
        <v>800</v>
      </c>
      <c r="P20" s="118">
        <v>975</v>
      </c>
      <c r="Q20" s="118">
        <v>395</v>
      </c>
      <c r="R20" s="118">
        <v>1600</v>
      </c>
      <c r="S20" s="118">
        <v>3329</v>
      </c>
      <c r="T20" s="134">
        <v>5516</v>
      </c>
      <c r="U20" s="134">
        <v>2006</v>
      </c>
      <c r="V20" s="134">
        <v>4030</v>
      </c>
      <c r="W20" s="134">
        <v>1509</v>
      </c>
      <c r="X20" s="134">
        <v>1768</v>
      </c>
      <c r="Y20" s="156">
        <v>2539</v>
      </c>
      <c r="Z20" s="156">
        <v>4033</v>
      </c>
    </row>
    <row r="21" spans="1:26" x14ac:dyDescent="0.2">
      <c r="A21" s="9" t="s">
        <v>11</v>
      </c>
      <c r="B21" s="118" t="s">
        <v>96</v>
      </c>
      <c r="C21" s="118">
        <v>495</v>
      </c>
      <c r="D21" s="118">
        <v>1825</v>
      </c>
      <c r="E21" s="118">
        <v>250</v>
      </c>
      <c r="F21" s="118">
        <v>250</v>
      </c>
      <c r="G21" s="118">
        <v>380</v>
      </c>
      <c r="H21" s="118" t="s">
        <v>96</v>
      </c>
      <c r="I21" s="118">
        <v>20</v>
      </c>
      <c r="J21" s="118">
        <v>21</v>
      </c>
      <c r="K21" s="66" t="s">
        <v>96</v>
      </c>
      <c r="L21" s="118">
        <v>372</v>
      </c>
      <c r="M21" s="21">
        <v>37</v>
      </c>
      <c r="N21" s="118">
        <v>270</v>
      </c>
      <c r="O21" s="118">
        <v>168</v>
      </c>
      <c r="P21" s="118" t="s">
        <v>96</v>
      </c>
      <c r="Q21" s="118">
        <v>10</v>
      </c>
      <c r="R21" s="118">
        <v>200</v>
      </c>
      <c r="S21" s="118">
        <v>150</v>
      </c>
      <c r="T21" s="134">
        <v>20</v>
      </c>
      <c r="U21" s="134" t="s">
        <v>96</v>
      </c>
      <c r="V21" s="134">
        <v>40</v>
      </c>
      <c r="W21" s="134">
        <v>40</v>
      </c>
      <c r="X21" s="156" t="s">
        <v>96</v>
      </c>
      <c r="Y21" s="156">
        <v>150</v>
      </c>
      <c r="Z21" s="156" t="s">
        <v>96</v>
      </c>
    </row>
    <row r="22" spans="1:26" x14ac:dyDescent="0.2">
      <c r="A22" s="9" t="s">
        <v>12</v>
      </c>
      <c r="B22" s="118" t="s">
        <v>96</v>
      </c>
      <c r="C22" s="118">
        <v>160</v>
      </c>
      <c r="D22" s="118">
        <v>200</v>
      </c>
      <c r="E22" s="118">
        <v>100</v>
      </c>
      <c r="F22" s="118" t="s">
        <v>96</v>
      </c>
      <c r="G22" s="118">
        <v>100</v>
      </c>
      <c r="H22" s="118">
        <v>160</v>
      </c>
      <c r="I22" s="118" t="s">
        <v>96</v>
      </c>
      <c r="J22" s="118">
        <v>450</v>
      </c>
      <c r="K22" s="66" t="s">
        <v>96</v>
      </c>
      <c r="L22" s="118" t="s">
        <v>96</v>
      </c>
      <c r="M22" s="21">
        <v>100</v>
      </c>
      <c r="N22" s="118">
        <v>150</v>
      </c>
      <c r="O22" s="118">
        <v>250</v>
      </c>
      <c r="P22" s="118" t="s">
        <v>96</v>
      </c>
      <c r="Q22" s="118" t="s">
        <v>96</v>
      </c>
      <c r="R22" s="118">
        <v>170</v>
      </c>
      <c r="S22" s="118">
        <v>40</v>
      </c>
      <c r="T22" s="134">
        <v>100</v>
      </c>
      <c r="U22" s="134">
        <v>300</v>
      </c>
      <c r="V22" s="134">
        <v>80</v>
      </c>
      <c r="W22" s="134">
        <v>120</v>
      </c>
      <c r="X22" s="134">
        <v>222</v>
      </c>
      <c r="Y22" s="156" t="s">
        <v>96</v>
      </c>
      <c r="Z22" s="156" t="s">
        <v>96</v>
      </c>
    </row>
    <row r="23" spans="1:26" x14ac:dyDescent="0.2">
      <c r="A23" s="9" t="s">
        <v>13</v>
      </c>
      <c r="B23" s="118" t="s">
        <v>96</v>
      </c>
      <c r="C23" s="118" t="s">
        <v>96</v>
      </c>
      <c r="D23" s="118">
        <v>20</v>
      </c>
      <c r="E23" s="118" t="s">
        <v>96</v>
      </c>
      <c r="F23" s="118" t="s">
        <v>96</v>
      </c>
      <c r="G23" s="118" t="s">
        <v>96</v>
      </c>
      <c r="H23" s="118" t="s">
        <v>96</v>
      </c>
      <c r="I23" s="118" t="s">
        <v>96</v>
      </c>
      <c r="J23" s="118">
        <v>10</v>
      </c>
      <c r="K23" s="66">
        <v>75</v>
      </c>
      <c r="L23" s="118" t="s">
        <v>96</v>
      </c>
      <c r="M23" s="21" t="s">
        <v>96</v>
      </c>
      <c r="N23" s="118">
        <v>140</v>
      </c>
      <c r="O23" s="118" t="s">
        <v>96</v>
      </c>
      <c r="P23" s="118" t="s">
        <v>96</v>
      </c>
      <c r="Q23" s="118">
        <v>100</v>
      </c>
      <c r="R23" s="118" t="s">
        <v>96</v>
      </c>
      <c r="S23" s="118" t="s">
        <v>96</v>
      </c>
      <c r="T23" s="134" t="s">
        <v>96</v>
      </c>
      <c r="U23" s="134" t="s">
        <v>96</v>
      </c>
      <c r="V23" s="134">
        <v>370</v>
      </c>
      <c r="W23" s="134">
        <v>120</v>
      </c>
      <c r="X23" s="156" t="s">
        <v>96</v>
      </c>
      <c r="Y23" s="156">
        <v>700</v>
      </c>
      <c r="Z23" s="156" t="s">
        <v>96</v>
      </c>
    </row>
    <row r="24" spans="1:26" x14ac:dyDescent="0.2">
      <c r="A24" s="9" t="s">
        <v>14</v>
      </c>
      <c r="B24" s="118">
        <v>400</v>
      </c>
      <c r="C24" s="118">
        <v>770</v>
      </c>
      <c r="D24" s="118">
        <v>375</v>
      </c>
      <c r="E24" s="118" t="s">
        <v>96</v>
      </c>
      <c r="F24" s="118" t="s">
        <v>96</v>
      </c>
      <c r="G24" s="118" t="s">
        <v>96</v>
      </c>
      <c r="H24" s="118">
        <v>15</v>
      </c>
      <c r="I24" s="118" t="s">
        <v>96</v>
      </c>
      <c r="J24" s="118">
        <v>548</v>
      </c>
      <c r="K24" s="66">
        <v>20</v>
      </c>
      <c r="L24" s="118">
        <v>50</v>
      </c>
      <c r="M24" s="21" t="s">
        <v>96</v>
      </c>
      <c r="N24" s="118" t="s">
        <v>96</v>
      </c>
      <c r="O24" s="118" t="s">
        <v>96</v>
      </c>
      <c r="P24" s="118">
        <v>80</v>
      </c>
      <c r="Q24" s="118" t="s">
        <v>96</v>
      </c>
      <c r="R24" s="118" t="s">
        <v>96</v>
      </c>
      <c r="S24" s="118">
        <v>40</v>
      </c>
      <c r="T24" s="134">
        <v>15</v>
      </c>
      <c r="U24" s="134">
        <v>75</v>
      </c>
      <c r="V24" s="134">
        <v>90</v>
      </c>
      <c r="W24" s="134">
        <v>15</v>
      </c>
      <c r="X24" s="134">
        <v>25</v>
      </c>
      <c r="Y24" s="156">
        <v>1295</v>
      </c>
      <c r="Z24" s="156">
        <v>105</v>
      </c>
    </row>
    <row r="25" spans="1:26" x14ac:dyDescent="0.2">
      <c r="A25" s="9" t="s">
        <v>15</v>
      </c>
      <c r="B25" s="118">
        <v>675</v>
      </c>
      <c r="C25" s="118">
        <v>400</v>
      </c>
      <c r="D25" s="118">
        <v>200</v>
      </c>
      <c r="E25" s="118">
        <v>325</v>
      </c>
      <c r="F25" s="118">
        <v>400</v>
      </c>
      <c r="G25" s="118" t="s">
        <v>96</v>
      </c>
      <c r="H25" s="118" t="s">
        <v>96</v>
      </c>
      <c r="I25" s="118" t="s">
        <v>96</v>
      </c>
      <c r="J25" s="118" t="s">
        <v>96</v>
      </c>
      <c r="K25" s="66" t="s">
        <v>96</v>
      </c>
      <c r="L25" s="118">
        <v>100</v>
      </c>
      <c r="M25" s="21" t="s">
        <v>96</v>
      </c>
      <c r="N25" s="118" t="s">
        <v>96</v>
      </c>
      <c r="O25" s="118" t="s">
        <v>96</v>
      </c>
      <c r="P25" s="118">
        <v>150</v>
      </c>
      <c r="Q25" s="118" t="s">
        <v>96</v>
      </c>
      <c r="R25" s="118" t="s">
        <v>96</v>
      </c>
      <c r="S25" s="118" t="s">
        <v>96</v>
      </c>
      <c r="T25" s="134" t="s">
        <v>96</v>
      </c>
      <c r="U25" s="134">
        <v>200</v>
      </c>
      <c r="V25" s="134" t="s">
        <v>96</v>
      </c>
      <c r="W25" s="156" t="s">
        <v>96</v>
      </c>
      <c r="X25" s="156" t="s">
        <v>96</v>
      </c>
      <c r="Y25" s="156">
        <v>400</v>
      </c>
      <c r="Z25" s="156">
        <v>500</v>
      </c>
    </row>
    <row r="26" spans="1:26" x14ac:dyDescent="0.2">
      <c r="A26" s="9" t="s">
        <v>16</v>
      </c>
      <c r="B26" s="118">
        <v>100</v>
      </c>
      <c r="C26" s="118" t="s">
        <v>96</v>
      </c>
      <c r="D26" s="118" t="s">
        <v>96</v>
      </c>
      <c r="E26" s="118">
        <v>180</v>
      </c>
      <c r="F26" s="118" t="s">
        <v>96</v>
      </c>
      <c r="G26" s="118" t="s">
        <v>96</v>
      </c>
      <c r="H26" s="118">
        <v>740</v>
      </c>
      <c r="I26" s="118" t="s">
        <v>96</v>
      </c>
      <c r="J26" s="118" t="s">
        <v>96</v>
      </c>
      <c r="K26" s="66" t="s">
        <v>96</v>
      </c>
      <c r="L26" s="118">
        <v>45</v>
      </c>
      <c r="M26" s="21" t="s">
        <v>96</v>
      </c>
      <c r="N26" s="118" t="s">
        <v>96</v>
      </c>
      <c r="O26" s="118" t="s">
        <v>96</v>
      </c>
      <c r="P26" s="118" t="s">
        <v>96</v>
      </c>
      <c r="Q26" s="118" t="s">
        <v>96</v>
      </c>
      <c r="R26" s="118" t="s">
        <v>96</v>
      </c>
      <c r="S26" s="118">
        <v>75</v>
      </c>
      <c r="T26" s="134">
        <v>90</v>
      </c>
      <c r="U26" s="134" t="s">
        <v>96</v>
      </c>
      <c r="V26" s="134" t="s">
        <v>96</v>
      </c>
      <c r="W26" s="134">
        <v>11</v>
      </c>
      <c r="X26" s="156" t="s">
        <v>96</v>
      </c>
      <c r="Y26" s="156">
        <v>400</v>
      </c>
      <c r="Z26" s="156" t="s">
        <v>96</v>
      </c>
    </row>
    <row r="27" spans="1:26" x14ac:dyDescent="0.2">
      <c r="A27" s="9" t="s">
        <v>17</v>
      </c>
      <c r="B27" s="118" t="s">
        <v>96</v>
      </c>
      <c r="C27" s="118" t="s">
        <v>96</v>
      </c>
      <c r="D27" s="118">
        <v>40</v>
      </c>
      <c r="E27" s="118">
        <v>150</v>
      </c>
      <c r="F27" s="118" t="s">
        <v>96</v>
      </c>
      <c r="G27" s="118">
        <v>1000</v>
      </c>
      <c r="H27" s="118">
        <v>8</v>
      </c>
      <c r="I27" s="118">
        <v>400</v>
      </c>
      <c r="J27" s="118">
        <v>200</v>
      </c>
      <c r="K27" s="66">
        <v>445</v>
      </c>
      <c r="L27" s="118">
        <v>70</v>
      </c>
      <c r="M27" s="21">
        <v>205</v>
      </c>
      <c r="N27" s="118">
        <v>68</v>
      </c>
      <c r="O27" s="118">
        <v>21</v>
      </c>
      <c r="P27" s="118">
        <v>268</v>
      </c>
      <c r="Q27" s="118">
        <v>10</v>
      </c>
      <c r="R27" s="118">
        <v>268</v>
      </c>
      <c r="S27" s="118">
        <v>148</v>
      </c>
      <c r="T27" s="134">
        <v>75</v>
      </c>
      <c r="U27" s="134" t="s">
        <v>96</v>
      </c>
      <c r="V27" s="134">
        <v>20</v>
      </c>
      <c r="W27" s="156" t="s">
        <v>96</v>
      </c>
      <c r="X27" s="156" t="s">
        <v>96</v>
      </c>
      <c r="Y27" s="156">
        <v>539</v>
      </c>
      <c r="Z27" s="156" t="s">
        <v>96</v>
      </c>
    </row>
    <row r="28" spans="1:26" x14ac:dyDescent="0.2">
      <c r="A28" s="9" t="s">
        <v>18</v>
      </c>
      <c r="B28" s="118">
        <v>2500</v>
      </c>
      <c r="C28" s="118">
        <v>1737</v>
      </c>
      <c r="D28" s="118">
        <v>3155</v>
      </c>
      <c r="E28" s="118">
        <v>2140</v>
      </c>
      <c r="F28" s="118">
        <v>1970</v>
      </c>
      <c r="G28" s="118">
        <v>1370</v>
      </c>
      <c r="H28" s="118">
        <v>1542</v>
      </c>
      <c r="I28" s="118">
        <v>1070</v>
      </c>
      <c r="J28" s="118">
        <v>550</v>
      </c>
      <c r="K28" s="66">
        <v>1050</v>
      </c>
      <c r="L28" s="118">
        <v>2290</v>
      </c>
      <c r="M28" s="21">
        <v>1960</v>
      </c>
      <c r="N28" s="118">
        <v>2376</v>
      </c>
      <c r="O28" s="118">
        <v>675</v>
      </c>
      <c r="P28" s="118">
        <v>1580</v>
      </c>
      <c r="Q28" s="118">
        <v>3270</v>
      </c>
      <c r="R28" s="118">
        <v>1110</v>
      </c>
      <c r="S28" s="118">
        <v>1310</v>
      </c>
      <c r="T28" s="134">
        <v>1565</v>
      </c>
      <c r="U28" s="134">
        <v>2120</v>
      </c>
      <c r="V28" s="134">
        <v>2200</v>
      </c>
      <c r="W28" s="134">
        <v>2150</v>
      </c>
      <c r="X28" s="134">
        <v>3922</v>
      </c>
      <c r="Y28" s="156">
        <v>8109</v>
      </c>
      <c r="Z28" s="156">
        <v>1565</v>
      </c>
    </row>
    <row r="29" spans="1:26" ht="18" x14ac:dyDescent="0.2">
      <c r="A29" s="8" t="s">
        <v>129</v>
      </c>
      <c r="B29" s="120">
        <v>3392</v>
      </c>
      <c r="C29" s="120">
        <v>1541</v>
      </c>
      <c r="D29" s="120">
        <v>1683</v>
      </c>
      <c r="E29" s="120">
        <v>1197</v>
      </c>
      <c r="F29" s="120">
        <v>2421</v>
      </c>
      <c r="G29" s="120">
        <v>1013</v>
      </c>
      <c r="H29" s="120">
        <v>2180</v>
      </c>
      <c r="I29" s="120">
        <v>3883</v>
      </c>
      <c r="J29" s="120">
        <v>2271</v>
      </c>
      <c r="K29" s="65">
        <v>3438</v>
      </c>
      <c r="L29" s="120">
        <v>3838</v>
      </c>
      <c r="M29" s="22">
        <v>2148</v>
      </c>
      <c r="N29" s="120">
        <v>3044</v>
      </c>
      <c r="O29" s="120">
        <v>1381</v>
      </c>
      <c r="P29" s="120">
        <v>1818</v>
      </c>
      <c r="Q29" s="120">
        <v>2496</v>
      </c>
      <c r="R29" s="120">
        <v>885</v>
      </c>
      <c r="S29" s="120">
        <v>560</v>
      </c>
      <c r="T29" s="133">
        <v>1349</v>
      </c>
      <c r="U29" s="133">
        <v>1105</v>
      </c>
      <c r="V29" s="133">
        <v>969</v>
      </c>
      <c r="W29" s="133">
        <v>4550</v>
      </c>
      <c r="X29" s="133">
        <v>1755</v>
      </c>
      <c r="Y29" s="155">
        <v>3951</v>
      </c>
      <c r="Z29" s="155">
        <v>3857</v>
      </c>
    </row>
    <row r="30" spans="1:26" x14ac:dyDescent="0.2">
      <c r="A30" s="9" t="s">
        <v>19</v>
      </c>
      <c r="B30" s="118">
        <v>20</v>
      </c>
      <c r="C30" s="118">
        <v>140</v>
      </c>
      <c r="D30" s="118">
        <v>550</v>
      </c>
      <c r="E30" s="118">
        <v>532</v>
      </c>
      <c r="F30" s="118" t="s">
        <v>96</v>
      </c>
      <c r="G30" s="118">
        <v>220</v>
      </c>
      <c r="H30" s="118">
        <v>600</v>
      </c>
      <c r="I30" s="118">
        <v>250</v>
      </c>
      <c r="J30" s="118" t="s">
        <v>96</v>
      </c>
      <c r="K30" s="66" t="s">
        <v>96</v>
      </c>
      <c r="L30" s="118" t="s">
        <v>96</v>
      </c>
      <c r="M30" s="21" t="s">
        <v>96</v>
      </c>
      <c r="N30" s="118">
        <v>120</v>
      </c>
      <c r="O30" s="118">
        <v>35</v>
      </c>
      <c r="P30" s="118" t="s">
        <v>96</v>
      </c>
      <c r="Q30" s="118">
        <v>10</v>
      </c>
      <c r="R30" s="118" t="s">
        <v>96</v>
      </c>
      <c r="S30" s="118" t="s">
        <v>96</v>
      </c>
      <c r="T30" s="134">
        <v>10</v>
      </c>
      <c r="U30" s="134">
        <v>30</v>
      </c>
      <c r="V30" s="134">
        <v>55</v>
      </c>
      <c r="W30" s="134">
        <v>130</v>
      </c>
      <c r="X30" s="134">
        <v>77</v>
      </c>
      <c r="Y30" s="156">
        <v>120</v>
      </c>
      <c r="Z30" s="156">
        <v>100</v>
      </c>
    </row>
    <row r="31" spans="1:26" x14ac:dyDescent="0.2">
      <c r="A31" s="9" t="s">
        <v>20</v>
      </c>
      <c r="B31" s="118">
        <v>276</v>
      </c>
      <c r="C31" s="118">
        <v>600</v>
      </c>
      <c r="D31" s="118">
        <v>50</v>
      </c>
      <c r="E31" s="118">
        <v>165</v>
      </c>
      <c r="F31" s="118">
        <v>362</v>
      </c>
      <c r="G31" s="118">
        <v>223</v>
      </c>
      <c r="H31" s="118">
        <v>120</v>
      </c>
      <c r="I31" s="118">
        <v>1155</v>
      </c>
      <c r="J31" s="118">
        <v>482</v>
      </c>
      <c r="K31" s="66">
        <v>400</v>
      </c>
      <c r="L31" s="118">
        <v>38</v>
      </c>
      <c r="M31" s="21">
        <v>631</v>
      </c>
      <c r="N31" s="118">
        <v>45</v>
      </c>
      <c r="O31" s="118">
        <v>15</v>
      </c>
      <c r="P31" s="118">
        <v>735</v>
      </c>
      <c r="Q31" s="118">
        <v>30</v>
      </c>
      <c r="R31" s="118">
        <v>75</v>
      </c>
      <c r="S31" s="118">
        <v>15</v>
      </c>
      <c r="T31" s="134">
        <v>105</v>
      </c>
      <c r="U31" s="134">
        <v>77</v>
      </c>
      <c r="V31" s="134">
        <v>65</v>
      </c>
      <c r="W31" s="134">
        <v>200</v>
      </c>
      <c r="X31" s="134">
        <v>380</v>
      </c>
      <c r="Y31" s="156">
        <v>165</v>
      </c>
      <c r="Z31" s="156">
        <v>105</v>
      </c>
    </row>
    <row r="32" spans="1:26" x14ac:dyDescent="0.2">
      <c r="A32" s="9" t="s">
        <v>21</v>
      </c>
      <c r="B32" s="118">
        <v>345</v>
      </c>
      <c r="C32" s="118">
        <v>90</v>
      </c>
      <c r="D32" s="118">
        <v>50</v>
      </c>
      <c r="E32" s="118">
        <v>265</v>
      </c>
      <c r="F32" s="118">
        <v>200</v>
      </c>
      <c r="G32" s="118">
        <v>10</v>
      </c>
      <c r="H32" s="118" t="s">
        <v>96</v>
      </c>
      <c r="I32" s="118">
        <v>375</v>
      </c>
      <c r="J32" s="118">
        <v>300</v>
      </c>
      <c r="K32" s="66">
        <v>1093</v>
      </c>
      <c r="L32" s="118">
        <v>15</v>
      </c>
      <c r="M32" s="21">
        <v>189</v>
      </c>
      <c r="N32" s="118">
        <v>943</v>
      </c>
      <c r="O32" s="118">
        <v>236</v>
      </c>
      <c r="P32" s="118">
        <v>198</v>
      </c>
      <c r="Q32" s="118">
        <v>437</v>
      </c>
      <c r="R32" s="118">
        <v>15</v>
      </c>
      <c r="S32" s="118" t="s">
        <v>96</v>
      </c>
      <c r="T32" s="134">
        <v>84</v>
      </c>
      <c r="U32" s="134">
        <v>123</v>
      </c>
      <c r="V32" s="134">
        <v>188</v>
      </c>
      <c r="W32" s="134">
        <v>190</v>
      </c>
      <c r="X32" s="134">
        <v>318</v>
      </c>
      <c r="Y32" s="156">
        <v>70</v>
      </c>
      <c r="Z32" s="156" t="s">
        <v>96</v>
      </c>
    </row>
    <row r="33" spans="1:26" x14ac:dyDescent="0.2">
      <c r="A33" s="4" t="s">
        <v>63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21"/>
      <c r="N33" s="118"/>
      <c r="O33" s="118"/>
      <c r="P33" s="118"/>
      <c r="Q33" s="118"/>
      <c r="R33" s="118"/>
      <c r="S33" s="118"/>
      <c r="T33" s="134"/>
      <c r="U33" s="134"/>
      <c r="V33" s="134"/>
      <c r="W33" s="134"/>
      <c r="X33" s="134"/>
      <c r="Y33" s="156"/>
      <c r="Z33" s="156"/>
    </row>
    <row r="34" spans="1:26" ht="19.5" x14ac:dyDescent="0.2">
      <c r="A34" s="14" t="s">
        <v>23</v>
      </c>
      <c r="B34" s="118">
        <v>25</v>
      </c>
      <c r="C34" s="118" t="s">
        <v>96</v>
      </c>
      <c r="D34" s="118" t="s">
        <v>96</v>
      </c>
      <c r="E34" s="118">
        <v>30</v>
      </c>
      <c r="F34" s="118">
        <v>200</v>
      </c>
      <c r="G34" s="118">
        <v>10</v>
      </c>
      <c r="H34" s="118" t="s">
        <v>96</v>
      </c>
      <c r="I34" s="118" t="s">
        <v>96</v>
      </c>
      <c r="J34" s="118">
        <v>50</v>
      </c>
      <c r="K34" s="66" t="s">
        <v>96</v>
      </c>
      <c r="L34" s="118">
        <v>15</v>
      </c>
      <c r="M34" s="21">
        <v>42</v>
      </c>
      <c r="N34" s="118">
        <v>100</v>
      </c>
      <c r="O34" s="118">
        <v>15</v>
      </c>
      <c r="P34" s="118" t="s">
        <v>96</v>
      </c>
      <c r="Q34" s="118" t="s">
        <v>96</v>
      </c>
      <c r="R34" s="118" t="s">
        <v>96</v>
      </c>
      <c r="S34" s="118" t="s">
        <v>96</v>
      </c>
      <c r="T34" s="134" t="s">
        <v>96</v>
      </c>
      <c r="U34" s="134" t="s">
        <v>96</v>
      </c>
      <c r="V34" s="134" t="s">
        <v>96</v>
      </c>
      <c r="W34" s="156" t="s">
        <v>96</v>
      </c>
      <c r="X34" s="156" t="s">
        <v>96</v>
      </c>
      <c r="Y34" s="156" t="s">
        <v>96</v>
      </c>
      <c r="Z34" s="156" t="s">
        <v>96</v>
      </c>
    </row>
    <row r="35" spans="1:26" ht="19.5" x14ac:dyDescent="0.2">
      <c r="A35" s="14" t="s">
        <v>138</v>
      </c>
      <c r="B35" s="118">
        <v>320</v>
      </c>
      <c r="C35" s="118">
        <v>90</v>
      </c>
      <c r="D35" s="118">
        <v>50</v>
      </c>
      <c r="E35" s="118">
        <v>235</v>
      </c>
      <c r="F35" s="118" t="s">
        <v>96</v>
      </c>
      <c r="G35" s="118" t="s">
        <v>96</v>
      </c>
      <c r="H35" s="118" t="s">
        <v>96</v>
      </c>
      <c r="I35" s="118">
        <v>375</v>
      </c>
      <c r="J35" s="118">
        <v>250</v>
      </c>
      <c r="K35" s="118">
        <v>1093</v>
      </c>
      <c r="L35" s="118" t="s">
        <v>96</v>
      </c>
      <c r="M35" s="21">
        <v>147</v>
      </c>
      <c r="N35" s="118">
        <v>843</v>
      </c>
      <c r="O35" s="118">
        <v>221</v>
      </c>
      <c r="P35" s="118">
        <v>198</v>
      </c>
      <c r="Q35" s="118">
        <v>437</v>
      </c>
      <c r="R35" s="118">
        <v>15</v>
      </c>
      <c r="S35" s="118" t="s">
        <v>96</v>
      </c>
      <c r="T35" s="134">
        <v>84</v>
      </c>
      <c r="U35" s="134">
        <v>123</v>
      </c>
      <c r="V35" s="134">
        <v>188</v>
      </c>
      <c r="W35" s="134">
        <v>190</v>
      </c>
      <c r="X35" s="134">
        <v>318</v>
      </c>
      <c r="Y35" s="156">
        <v>70</v>
      </c>
      <c r="Z35" s="156" t="s">
        <v>96</v>
      </c>
    </row>
    <row r="36" spans="1:26" x14ac:dyDescent="0.2">
      <c r="A36" s="9" t="s">
        <v>24</v>
      </c>
      <c r="B36" s="118">
        <v>195</v>
      </c>
      <c r="C36" s="118">
        <v>255</v>
      </c>
      <c r="D36" s="118">
        <v>250</v>
      </c>
      <c r="E36" s="118" t="s">
        <v>96</v>
      </c>
      <c r="F36" s="118">
        <v>110</v>
      </c>
      <c r="G36" s="118">
        <v>10</v>
      </c>
      <c r="H36" s="118">
        <v>45</v>
      </c>
      <c r="I36" s="118">
        <v>381</v>
      </c>
      <c r="J36" s="118">
        <v>291</v>
      </c>
      <c r="K36" s="66">
        <v>1150</v>
      </c>
      <c r="L36" s="118">
        <v>1608</v>
      </c>
      <c r="M36" s="21">
        <v>8</v>
      </c>
      <c r="N36" s="118">
        <v>70</v>
      </c>
      <c r="O36" s="118">
        <v>168</v>
      </c>
      <c r="P36" s="118" t="s">
        <v>96</v>
      </c>
      <c r="Q36" s="118">
        <v>10</v>
      </c>
      <c r="R36" s="118">
        <v>30</v>
      </c>
      <c r="S36" s="118" t="s">
        <v>96</v>
      </c>
      <c r="T36" s="134">
        <v>30</v>
      </c>
      <c r="U36" s="134" t="s">
        <v>96</v>
      </c>
      <c r="V36" s="134">
        <v>28</v>
      </c>
      <c r="W36" s="156" t="s">
        <v>96</v>
      </c>
      <c r="X36" s="134">
        <v>20</v>
      </c>
      <c r="Y36" s="156" t="s">
        <v>96</v>
      </c>
      <c r="Z36" s="156">
        <v>600</v>
      </c>
    </row>
    <row r="37" spans="1:26" x14ac:dyDescent="0.2">
      <c r="A37" s="9" t="s">
        <v>25</v>
      </c>
      <c r="B37" s="118" t="s">
        <v>96</v>
      </c>
      <c r="C37" s="118" t="s">
        <v>96</v>
      </c>
      <c r="D37" s="118" t="s">
        <v>96</v>
      </c>
      <c r="E37" s="118">
        <v>20</v>
      </c>
      <c r="F37" s="118">
        <v>12</v>
      </c>
      <c r="G37" s="118">
        <v>80</v>
      </c>
      <c r="H37" s="118" t="s">
        <v>96</v>
      </c>
      <c r="I37" s="118">
        <v>10</v>
      </c>
      <c r="J37" s="118">
        <v>250</v>
      </c>
      <c r="K37" s="66">
        <v>35</v>
      </c>
      <c r="L37" s="118">
        <v>30</v>
      </c>
      <c r="M37" s="21" t="s">
        <v>96</v>
      </c>
      <c r="N37" s="118">
        <v>1101</v>
      </c>
      <c r="O37" s="118">
        <v>33</v>
      </c>
      <c r="P37" s="118">
        <v>60</v>
      </c>
      <c r="Q37" s="118">
        <v>137</v>
      </c>
      <c r="R37" s="118">
        <v>30</v>
      </c>
      <c r="S37" s="118" t="s">
        <v>96</v>
      </c>
      <c r="T37" s="134">
        <v>60</v>
      </c>
      <c r="U37" s="134" t="s">
        <v>96</v>
      </c>
      <c r="V37" s="134" t="s">
        <v>96</v>
      </c>
      <c r="W37" s="156" t="s">
        <v>96</v>
      </c>
      <c r="X37" s="134">
        <v>140</v>
      </c>
      <c r="Y37" s="156">
        <v>30</v>
      </c>
      <c r="Z37" s="156">
        <v>4</v>
      </c>
    </row>
    <row r="38" spans="1:26" x14ac:dyDescent="0.2">
      <c r="A38" s="9" t="s">
        <v>26</v>
      </c>
      <c r="B38" s="118">
        <v>790</v>
      </c>
      <c r="C38" s="118">
        <v>356</v>
      </c>
      <c r="D38" s="118">
        <v>250</v>
      </c>
      <c r="E38" s="118">
        <v>175</v>
      </c>
      <c r="F38" s="118">
        <v>100</v>
      </c>
      <c r="G38" s="118" t="s">
        <v>96</v>
      </c>
      <c r="H38" s="118">
        <v>55</v>
      </c>
      <c r="I38" s="118">
        <v>620</v>
      </c>
      <c r="J38" s="118">
        <v>480</v>
      </c>
      <c r="K38" s="66">
        <v>180</v>
      </c>
      <c r="L38" s="118">
        <v>40</v>
      </c>
      <c r="M38" s="21">
        <v>592</v>
      </c>
      <c r="N38" s="118">
        <v>150</v>
      </c>
      <c r="O38" s="118">
        <v>635</v>
      </c>
      <c r="P38" s="118">
        <v>25</v>
      </c>
      <c r="Q38" s="118">
        <v>595</v>
      </c>
      <c r="R38" s="118">
        <v>215</v>
      </c>
      <c r="S38" s="118">
        <v>80</v>
      </c>
      <c r="T38" s="134">
        <v>665</v>
      </c>
      <c r="U38" s="134">
        <v>560</v>
      </c>
      <c r="V38" s="134" t="s">
        <v>96</v>
      </c>
      <c r="W38" s="134">
        <v>110</v>
      </c>
      <c r="X38" s="134">
        <v>820</v>
      </c>
      <c r="Y38" s="156">
        <v>126</v>
      </c>
      <c r="Z38" s="156">
        <v>1220</v>
      </c>
    </row>
    <row r="39" spans="1:26" x14ac:dyDescent="0.2">
      <c r="A39" s="9" t="s">
        <v>27</v>
      </c>
      <c r="B39" s="118">
        <v>46</v>
      </c>
      <c r="C39" s="118" t="s">
        <v>96</v>
      </c>
      <c r="D39" s="118">
        <v>48</v>
      </c>
      <c r="E39" s="118" t="s">
        <v>96</v>
      </c>
      <c r="F39" s="118">
        <v>687</v>
      </c>
      <c r="G39" s="118">
        <v>250</v>
      </c>
      <c r="H39" s="118" t="s">
        <v>96</v>
      </c>
      <c r="I39" s="118">
        <v>12</v>
      </c>
      <c r="J39" s="118" t="s">
        <v>96</v>
      </c>
      <c r="K39" s="66" t="s">
        <v>96</v>
      </c>
      <c r="L39" s="118">
        <v>225</v>
      </c>
      <c r="M39" s="21">
        <v>240</v>
      </c>
      <c r="N39" s="118">
        <v>15</v>
      </c>
      <c r="O39" s="118" t="s">
        <v>96</v>
      </c>
      <c r="P39" s="118" t="s">
        <v>96</v>
      </c>
      <c r="Q39" s="118" t="s">
        <v>96</v>
      </c>
      <c r="R39" s="118" t="s">
        <v>96</v>
      </c>
      <c r="S39" s="118" t="s">
        <v>96</v>
      </c>
      <c r="T39" s="134" t="s">
        <v>96</v>
      </c>
      <c r="U39" s="134" t="s">
        <v>96</v>
      </c>
      <c r="V39" s="134">
        <v>128</v>
      </c>
      <c r="W39" s="156" t="s">
        <v>96</v>
      </c>
      <c r="X39" s="156" t="s">
        <v>96</v>
      </c>
      <c r="Y39" s="156" t="s">
        <v>96</v>
      </c>
      <c r="Z39" s="156">
        <v>132</v>
      </c>
    </row>
    <row r="40" spans="1:26" x14ac:dyDescent="0.2">
      <c r="A40" s="9" t="s">
        <v>28</v>
      </c>
      <c r="B40" s="118">
        <v>700</v>
      </c>
      <c r="C40" s="118">
        <v>100</v>
      </c>
      <c r="D40" s="118">
        <v>25</v>
      </c>
      <c r="E40" s="118">
        <v>40</v>
      </c>
      <c r="F40" s="118" t="s">
        <v>96</v>
      </c>
      <c r="G40" s="118" t="s">
        <v>96</v>
      </c>
      <c r="H40" s="118">
        <v>600</v>
      </c>
      <c r="I40" s="118">
        <v>60</v>
      </c>
      <c r="J40" s="118">
        <v>24</v>
      </c>
      <c r="K40" s="66">
        <v>160</v>
      </c>
      <c r="L40" s="118" t="s">
        <v>96</v>
      </c>
      <c r="M40" s="21" t="s">
        <v>96</v>
      </c>
      <c r="N40" s="118" t="s">
        <v>96</v>
      </c>
      <c r="O40" s="118" t="s">
        <v>96</v>
      </c>
      <c r="P40" s="118" t="s">
        <v>96</v>
      </c>
      <c r="Q40" s="118" t="s">
        <v>96</v>
      </c>
      <c r="R40" s="118">
        <v>150</v>
      </c>
      <c r="S40" s="118" t="s">
        <v>96</v>
      </c>
      <c r="T40" s="134" t="s">
        <v>96</v>
      </c>
      <c r="U40" s="134" t="s">
        <v>96</v>
      </c>
      <c r="V40" s="134" t="s">
        <v>96</v>
      </c>
      <c r="W40" s="156" t="s">
        <v>96</v>
      </c>
      <c r="X40" s="156" t="s">
        <v>96</v>
      </c>
      <c r="Y40" s="156" t="s">
        <v>96</v>
      </c>
      <c r="Z40" s="156">
        <v>750</v>
      </c>
    </row>
    <row r="41" spans="1:26" x14ac:dyDescent="0.2">
      <c r="A41" s="9" t="s">
        <v>29</v>
      </c>
      <c r="B41" s="118" t="s">
        <v>96</v>
      </c>
      <c r="C41" s="118" t="s">
        <v>96</v>
      </c>
      <c r="D41" s="118">
        <v>40</v>
      </c>
      <c r="E41" s="118" t="s">
        <v>96</v>
      </c>
      <c r="F41" s="118">
        <v>100</v>
      </c>
      <c r="G41" s="118">
        <v>220</v>
      </c>
      <c r="H41" s="118" t="s">
        <v>96</v>
      </c>
      <c r="I41" s="118" t="s">
        <v>96</v>
      </c>
      <c r="J41" s="118">
        <v>24</v>
      </c>
      <c r="K41" s="66" t="s">
        <v>96</v>
      </c>
      <c r="L41" s="118">
        <v>12</v>
      </c>
      <c r="M41" s="21">
        <v>28</v>
      </c>
      <c r="N41" s="118">
        <v>180</v>
      </c>
      <c r="O41" s="118">
        <v>259</v>
      </c>
      <c r="P41" s="118">
        <v>200</v>
      </c>
      <c r="Q41" s="118">
        <v>85</v>
      </c>
      <c r="R41" s="118">
        <v>150</v>
      </c>
      <c r="S41" s="118">
        <v>45</v>
      </c>
      <c r="T41" s="134">
        <v>45</v>
      </c>
      <c r="U41" s="134">
        <v>75</v>
      </c>
      <c r="V41" s="134" t="s">
        <v>96</v>
      </c>
      <c r="W41" s="156" t="s">
        <v>96</v>
      </c>
      <c r="X41" s="156" t="s">
        <v>96</v>
      </c>
      <c r="Y41" s="156">
        <v>496</v>
      </c>
      <c r="Z41" s="156">
        <v>26</v>
      </c>
    </row>
    <row r="42" spans="1:26" x14ac:dyDescent="0.2">
      <c r="A42" s="9" t="s">
        <v>30</v>
      </c>
      <c r="B42" s="118">
        <v>1020</v>
      </c>
      <c r="C42" s="118" t="s">
        <v>96</v>
      </c>
      <c r="D42" s="118">
        <v>420</v>
      </c>
      <c r="E42" s="118" t="s">
        <v>96</v>
      </c>
      <c r="F42" s="118">
        <v>850</v>
      </c>
      <c r="G42" s="118" t="s">
        <v>96</v>
      </c>
      <c r="H42" s="118">
        <v>760</v>
      </c>
      <c r="I42" s="118">
        <v>1020</v>
      </c>
      <c r="J42" s="118">
        <v>420</v>
      </c>
      <c r="K42" s="66">
        <v>420</v>
      </c>
      <c r="L42" s="118">
        <v>1870</v>
      </c>
      <c r="M42" s="21">
        <v>460</v>
      </c>
      <c r="N42" s="118">
        <v>420</v>
      </c>
      <c r="O42" s="118" t="s">
        <v>96</v>
      </c>
      <c r="P42" s="118">
        <v>600</v>
      </c>
      <c r="Q42" s="118">
        <v>1192</v>
      </c>
      <c r="R42" s="118">
        <v>220</v>
      </c>
      <c r="S42" s="118">
        <v>420</v>
      </c>
      <c r="T42" s="134">
        <v>350</v>
      </c>
      <c r="U42" s="134">
        <v>240</v>
      </c>
      <c r="V42" s="134">
        <v>505</v>
      </c>
      <c r="W42" s="134">
        <v>3920</v>
      </c>
      <c r="X42" s="156" t="s">
        <v>96</v>
      </c>
      <c r="Y42" s="156">
        <v>2944</v>
      </c>
      <c r="Z42" s="156">
        <v>920</v>
      </c>
    </row>
    <row r="43" spans="1:26" ht="18" x14ac:dyDescent="0.2">
      <c r="A43" s="8" t="s">
        <v>220</v>
      </c>
      <c r="B43" s="120">
        <v>3569</v>
      </c>
      <c r="C43" s="120">
        <v>1006</v>
      </c>
      <c r="D43" s="120">
        <v>1092</v>
      </c>
      <c r="E43" s="120">
        <v>863</v>
      </c>
      <c r="F43" s="120">
        <v>1660</v>
      </c>
      <c r="G43" s="120">
        <v>2391</v>
      </c>
      <c r="H43" s="120">
        <v>1596</v>
      </c>
      <c r="I43" s="120">
        <v>4289</v>
      </c>
      <c r="J43" s="120">
        <v>1930</v>
      </c>
      <c r="K43" s="120">
        <v>2933</v>
      </c>
      <c r="L43" s="120">
        <v>2036</v>
      </c>
      <c r="M43" s="22">
        <v>1819</v>
      </c>
      <c r="N43" s="120">
        <v>516</v>
      </c>
      <c r="O43" s="120">
        <v>1447</v>
      </c>
      <c r="P43" s="120">
        <v>1172</v>
      </c>
      <c r="Q43" s="120">
        <v>632</v>
      </c>
      <c r="R43" s="120">
        <v>671</v>
      </c>
      <c r="S43" s="120">
        <v>1588</v>
      </c>
      <c r="T43" s="133">
        <v>2385</v>
      </c>
      <c r="U43" s="133">
        <v>1170</v>
      </c>
      <c r="V43" s="133">
        <v>1605</v>
      </c>
      <c r="W43" s="133">
        <v>1153</v>
      </c>
      <c r="X43" s="133">
        <v>2009</v>
      </c>
      <c r="Y43" s="155">
        <v>3321</v>
      </c>
      <c r="Z43" s="155">
        <v>4137</v>
      </c>
    </row>
    <row r="44" spans="1:26" x14ac:dyDescent="0.2">
      <c r="A44" s="9" t="s">
        <v>31</v>
      </c>
      <c r="B44" s="118">
        <v>200</v>
      </c>
      <c r="C44" s="118" t="s">
        <v>96</v>
      </c>
      <c r="D44" s="118" t="s">
        <v>96</v>
      </c>
      <c r="E44" s="118">
        <v>28</v>
      </c>
      <c r="F44" s="118" t="s">
        <v>96</v>
      </c>
      <c r="G44" s="118">
        <v>20</v>
      </c>
      <c r="H44" s="118" t="s">
        <v>96</v>
      </c>
      <c r="I44" s="118" t="s">
        <v>96</v>
      </c>
      <c r="J44" s="118" t="s">
        <v>96</v>
      </c>
      <c r="K44" s="118" t="s">
        <v>96</v>
      </c>
      <c r="L44" s="118">
        <v>300</v>
      </c>
      <c r="M44" s="21">
        <v>33</v>
      </c>
      <c r="N44" s="118">
        <v>5</v>
      </c>
      <c r="O44" s="118">
        <v>29</v>
      </c>
      <c r="P44" s="118">
        <v>25</v>
      </c>
      <c r="Q44" s="118">
        <v>73</v>
      </c>
      <c r="R44" s="118" t="s">
        <v>96</v>
      </c>
      <c r="S44" s="118">
        <v>532</v>
      </c>
      <c r="T44" s="134">
        <v>700</v>
      </c>
      <c r="U44" s="134" t="s">
        <v>96</v>
      </c>
      <c r="V44" s="134">
        <v>160</v>
      </c>
      <c r="W44" s="134">
        <v>198</v>
      </c>
      <c r="X44" s="134">
        <v>60</v>
      </c>
      <c r="Y44" s="156">
        <v>510</v>
      </c>
      <c r="Z44" s="156">
        <v>470</v>
      </c>
    </row>
    <row r="45" spans="1:26" x14ac:dyDescent="0.2">
      <c r="A45" s="9" t="s">
        <v>32</v>
      </c>
      <c r="B45" s="118" t="s">
        <v>96</v>
      </c>
      <c r="C45" s="118">
        <v>8</v>
      </c>
      <c r="D45" s="118" t="s">
        <v>96</v>
      </c>
      <c r="E45" s="118" t="s">
        <v>96</v>
      </c>
      <c r="F45" s="118" t="s">
        <v>96</v>
      </c>
      <c r="G45" s="118" t="s">
        <v>96</v>
      </c>
      <c r="H45" s="118">
        <v>440</v>
      </c>
      <c r="I45" s="118" t="s">
        <v>96</v>
      </c>
      <c r="J45" s="118">
        <v>27</v>
      </c>
      <c r="K45" s="118" t="s">
        <v>96</v>
      </c>
      <c r="L45" s="118" t="s">
        <v>96</v>
      </c>
      <c r="M45" s="21">
        <v>152</v>
      </c>
      <c r="N45" s="118">
        <v>11</v>
      </c>
      <c r="O45" s="118">
        <v>38</v>
      </c>
      <c r="P45" s="118">
        <v>93</v>
      </c>
      <c r="Q45" s="118">
        <v>8</v>
      </c>
      <c r="R45" s="118" t="s">
        <v>96</v>
      </c>
      <c r="S45" s="118" t="s">
        <v>96</v>
      </c>
      <c r="T45" s="134" t="s">
        <v>96</v>
      </c>
      <c r="U45" s="134">
        <v>35</v>
      </c>
      <c r="V45" s="134">
        <v>29</v>
      </c>
      <c r="W45" s="134">
        <v>562</v>
      </c>
      <c r="X45" s="134">
        <v>108</v>
      </c>
      <c r="Y45" s="156">
        <v>124</v>
      </c>
      <c r="Z45" s="156">
        <v>400</v>
      </c>
    </row>
    <row r="46" spans="1:26" x14ac:dyDescent="0.2">
      <c r="A46" s="9" t="s">
        <v>150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21"/>
      <c r="N46" s="118"/>
      <c r="O46" s="118"/>
      <c r="P46" s="118" t="s">
        <v>96</v>
      </c>
      <c r="Q46" s="118" t="s">
        <v>96</v>
      </c>
      <c r="R46" s="118">
        <v>400</v>
      </c>
      <c r="S46" s="118" t="s">
        <v>96</v>
      </c>
      <c r="T46" s="134">
        <v>980</v>
      </c>
      <c r="U46" s="134" t="s">
        <v>96</v>
      </c>
      <c r="V46" s="134">
        <v>24</v>
      </c>
      <c r="W46" s="156" t="s">
        <v>96</v>
      </c>
      <c r="X46" s="156" t="s">
        <v>96</v>
      </c>
      <c r="Y46" s="156">
        <v>73</v>
      </c>
      <c r="Z46" s="156" t="s">
        <v>96</v>
      </c>
    </row>
    <row r="47" spans="1:26" x14ac:dyDescent="0.2">
      <c r="A47" s="9" t="s">
        <v>34</v>
      </c>
      <c r="B47" s="118">
        <v>1705</v>
      </c>
      <c r="C47" s="118">
        <v>710</v>
      </c>
      <c r="D47" s="118">
        <v>560</v>
      </c>
      <c r="E47" s="118">
        <v>50</v>
      </c>
      <c r="F47" s="118">
        <v>600</v>
      </c>
      <c r="G47" s="118">
        <v>980</v>
      </c>
      <c r="H47" s="118">
        <v>1000</v>
      </c>
      <c r="I47" s="118">
        <v>859</v>
      </c>
      <c r="J47" s="118">
        <v>230</v>
      </c>
      <c r="K47" s="66">
        <v>2200</v>
      </c>
      <c r="L47" s="118">
        <v>250</v>
      </c>
      <c r="M47" s="21">
        <v>880</v>
      </c>
      <c r="N47" s="118">
        <v>85</v>
      </c>
      <c r="O47" s="118">
        <v>568</v>
      </c>
      <c r="P47" s="118">
        <v>306</v>
      </c>
      <c r="Q47" s="118">
        <v>316</v>
      </c>
      <c r="R47" s="118">
        <v>85</v>
      </c>
      <c r="S47" s="118">
        <v>517</v>
      </c>
      <c r="T47" s="134">
        <v>380</v>
      </c>
      <c r="U47" s="134">
        <v>145</v>
      </c>
      <c r="V47" s="134">
        <v>343</v>
      </c>
      <c r="W47" s="134">
        <v>266</v>
      </c>
      <c r="X47" s="134">
        <v>436</v>
      </c>
      <c r="Y47" s="156">
        <v>1143</v>
      </c>
      <c r="Z47" s="156">
        <v>2735</v>
      </c>
    </row>
    <row r="48" spans="1:26" x14ac:dyDescent="0.2">
      <c r="A48" s="9" t="s">
        <v>35</v>
      </c>
      <c r="B48" s="118" t="s">
        <v>96</v>
      </c>
      <c r="C48" s="118">
        <v>60</v>
      </c>
      <c r="D48" s="118" t="s">
        <v>96</v>
      </c>
      <c r="E48" s="118" t="s">
        <v>96</v>
      </c>
      <c r="F48" s="118">
        <v>400</v>
      </c>
      <c r="G48" s="118">
        <v>200</v>
      </c>
      <c r="H48" s="118">
        <v>35</v>
      </c>
      <c r="I48" s="118">
        <v>142</v>
      </c>
      <c r="J48" s="118" t="s">
        <v>96</v>
      </c>
      <c r="K48" s="66">
        <v>100</v>
      </c>
      <c r="L48" s="118">
        <v>600</v>
      </c>
      <c r="M48" s="21" t="s">
        <v>96</v>
      </c>
      <c r="N48" s="118">
        <v>113</v>
      </c>
      <c r="O48" s="118">
        <v>600</v>
      </c>
      <c r="P48" s="118">
        <v>37</v>
      </c>
      <c r="Q48" s="118">
        <v>70</v>
      </c>
      <c r="R48" s="118">
        <v>65</v>
      </c>
      <c r="S48" s="118">
        <v>412</v>
      </c>
      <c r="T48" s="134">
        <v>20</v>
      </c>
      <c r="U48" s="134" t="s">
        <v>96</v>
      </c>
      <c r="V48" s="134">
        <v>27</v>
      </c>
      <c r="W48" s="156" t="s">
        <v>96</v>
      </c>
      <c r="X48" s="156" t="s">
        <v>96</v>
      </c>
      <c r="Y48" s="156" t="s">
        <v>96</v>
      </c>
      <c r="Z48" s="156" t="s">
        <v>96</v>
      </c>
    </row>
    <row r="49" spans="1:26" x14ac:dyDescent="0.2">
      <c r="A49" s="9" t="s">
        <v>36</v>
      </c>
      <c r="B49" s="118">
        <v>289</v>
      </c>
      <c r="C49" s="118">
        <v>228</v>
      </c>
      <c r="D49" s="118">
        <v>116</v>
      </c>
      <c r="E49" s="118">
        <v>185</v>
      </c>
      <c r="F49" s="118">
        <v>109</v>
      </c>
      <c r="G49" s="118">
        <v>139</v>
      </c>
      <c r="H49" s="118">
        <v>100</v>
      </c>
      <c r="I49" s="118">
        <v>1888</v>
      </c>
      <c r="J49" s="118">
        <v>816</v>
      </c>
      <c r="K49" s="66">
        <v>13</v>
      </c>
      <c r="L49" s="118">
        <v>136</v>
      </c>
      <c r="M49" s="21">
        <v>46</v>
      </c>
      <c r="N49" s="118">
        <v>127</v>
      </c>
      <c r="O49" s="118">
        <v>184</v>
      </c>
      <c r="P49" s="118">
        <v>235</v>
      </c>
      <c r="Q49" s="118" t="s">
        <v>96</v>
      </c>
      <c r="R49" s="118">
        <v>113</v>
      </c>
      <c r="S49" s="118">
        <v>100</v>
      </c>
      <c r="T49" s="134">
        <v>33</v>
      </c>
      <c r="U49" s="134">
        <v>990</v>
      </c>
      <c r="V49" s="134">
        <v>780</v>
      </c>
      <c r="W49" s="134">
        <v>80</v>
      </c>
      <c r="X49" s="134">
        <v>1375</v>
      </c>
      <c r="Y49" s="156">
        <v>860</v>
      </c>
      <c r="Z49" s="156">
        <v>510</v>
      </c>
    </row>
    <row r="50" spans="1:26" x14ac:dyDescent="0.2">
      <c r="A50" s="9" t="s">
        <v>37</v>
      </c>
      <c r="B50" s="118">
        <v>1375</v>
      </c>
      <c r="C50" s="118" t="s">
        <v>96</v>
      </c>
      <c r="D50" s="118">
        <v>416</v>
      </c>
      <c r="E50" s="118">
        <v>600</v>
      </c>
      <c r="F50" s="118">
        <v>551</v>
      </c>
      <c r="G50" s="118">
        <v>1052</v>
      </c>
      <c r="H50" s="118">
        <v>21</v>
      </c>
      <c r="I50" s="118">
        <v>1400</v>
      </c>
      <c r="J50" s="118">
        <v>857</v>
      </c>
      <c r="K50" s="66">
        <v>620</v>
      </c>
      <c r="L50" s="118">
        <v>750</v>
      </c>
      <c r="M50" s="21">
        <v>708</v>
      </c>
      <c r="N50" s="118">
        <v>175</v>
      </c>
      <c r="O50" s="118">
        <v>28</v>
      </c>
      <c r="P50" s="118">
        <v>466</v>
      </c>
      <c r="Q50" s="118">
        <v>165</v>
      </c>
      <c r="R50" s="118">
        <v>8</v>
      </c>
      <c r="S50" s="118">
        <v>27</v>
      </c>
      <c r="T50" s="134">
        <v>22</v>
      </c>
      <c r="U50" s="134" t="s">
        <v>96</v>
      </c>
      <c r="V50" s="134">
        <v>242</v>
      </c>
      <c r="W50" s="156" t="s">
        <v>96</v>
      </c>
      <c r="X50" s="156" t="s">
        <v>96</v>
      </c>
      <c r="Y50" s="156">
        <v>100</v>
      </c>
      <c r="Z50" s="156">
        <v>22</v>
      </c>
    </row>
    <row r="51" spans="1:26" x14ac:dyDescent="0.2">
      <c r="A51" s="9" t="s">
        <v>38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66"/>
      <c r="L51" s="118"/>
      <c r="M51" s="21"/>
      <c r="N51" s="118"/>
      <c r="O51" s="118"/>
      <c r="P51" s="118">
        <v>10</v>
      </c>
      <c r="Q51" s="118" t="s">
        <v>96</v>
      </c>
      <c r="R51" s="118" t="s">
        <v>96</v>
      </c>
      <c r="S51" s="118" t="s">
        <v>96</v>
      </c>
      <c r="T51" s="134">
        <v>250</v>
      </c>
      <c r="U51" s="134" t="s">
        <v>96</v>
      </c>
      <c r="V51" s="134" t="s">
        <v>96</v>
      </c>
      <c r="W51" s="134">
        <v>47</v>
      </c>
      <c r="X51" s="134">
        <v>30</v>
      </c>
      <c r="Y51" s="156">
        <v>511</v>
      </c>
      <c r="Z51" s="156" t="s">
        <v>96</v>
      </c>
    </row>
    <row r="52" spans="1:26" ht="18" x14ac:dyDescent="0.2">
      <c r="A52" s="8" t="s">
        <v>115</v>
      </c>
      <c r="B52" s="120">
        <v>522</v>
      </c>
      <c r="C52" s="120">
        <v>475</v>
      </c>
      <c r="D52" s="120">
        <v>683</v>
      </c>
      <c r="E52" s="120">
        <v>874</v>
      </c>
      <c r="F52" s="120">
        <v>242</v>
      </c>
      <c r="G52" s="120">
        <v>414</v>
      </c>
      <c r="H52" s="120">
        <v>753</v>
      </c>
      <c r="I52" s="120">
        <v>1516</v>
      </c>
      <c r="J52" s="120">
        <v>1984</v>
      </c>
      <c r="K52" s="120">
        <v>1864</v>
      </c>
      <c r="L52" s="120">
        <v>2772</v>
      </c>
      <c r="M52" s="22">
        <v>4702</v>
      </c>
      <c r="N52" s="120">
        <v>2516</v>
      </c>
      <c r="O52" s="120">
        <v>2305</v>
      </c>
      <c r="P52" s="120">
        <v>2542</v>
      </c>
      <c r="Q52" s="120">
        <v>1120</v>
      </c>
      <c r="R52" s="120">
        <v>522</v>
      </c>
      <c r="S52" s="120">
        <v>1438</v>
      </c>
      <c r="T52" s="133">
        <v>956</v>
      </c>
      <c r="U52" s="133">
        <v>1432</v>
      </c>
      <c r="V52" s="133">
        <v>1868</v>
      </c>
      <c r="W52" s="133">
        <v>1504</v>
      </c>
      <c r="X52" s="133">
        <v>2151</v>
      </c>
      <c r="Y52" s="155">
        <v>1406</v>
      </c>
      <c r="Z52" s="155">
        <v>1321</v>
      </c>
    </row>
    <row r="53" spans="1:26" x14ac:dyDescent="0.2">
      <c r="A53" s="9" t="s">
        <v>39</v>
      </c>
      <c r="B53" s="118">
        <v>113</v>
      </c>
      <c r="C53" s="118">
        <v>300</v>
      </c>
      <c r="D53" s="118">
        <v>363</v>
      </c>
      <c r="E53" s="118">
        <v>752</v>
      </c>
      <c r="F53" s="118">
        <v>115</v>
      </c>
      <c r="G53" s="118">
        <v>80</v>
      </c>
      <c r="H53" s="118">
        <v>200</v>
      </c>
      <c r="I53" s="118">
        <v>250</v>
      </c>
      <c r="J53" s="118">
        <v>289</v>
      </c>
      <c r="K53" s="66">
        <v>817</v>
      </c>
      <c r="L53" s="118">
        <v>200</v>
      </c>
      <c r="M53" s="21">
        <v>345</v>
      </c>
      <c r="N53" s="118">
        <v>507</v>
      </c>
      <c r="O53" s="118">
        <v>572</v>
      </c>
      <c r="P53" s="118">
        <v>423</v>
      </c>
      <c r="Q53" s="118">
        <v>195</v>
      </c>
      <c r="R53" s="118">
        <v>100</v>
      </c>
      <c r="S53" s="118">
        <v>108</v>
      </c>
      <c r="T53" s="134">
        <v>113</v>
      </c>
      <c r="U53" s="134">
        <v>172</v>
      </c>
      <c r="V53" s="134">
        <v>18</v>
      </c>
      <c r="W53" s="156" t="s">
        <v>96</v>
      </c>
      <c r="X53" s="134">
        <v>452</v>
      </c>
      <c r="Y53" s="156">
        <v>15</v>
      </c>
      <c r="Z53" s="156" t="s">
        <v>96</v>
      </c>
    </row>
    <row r="54" spans="1:26" x14ac:dyDescent="0.2">
      <c r="A54" s="9" t="s">
        <v>99</v>
      </c>
      <c r="B54" s="118" t="s">
        <v>96</v>
      </c>
      <c r="C54" s="118">
        <v>100</v>
      </c>
      <c r="D54" s="118">
        <v>220</v>
      </c>
      <c r="E54" s="118" t="s">
        <v>96</v>
      </c>
      <c r="F54" s="118" t="s">
        <v>96</v>
      </c>
      <c r="G54" s="118" t="s">
        <v>96</v>
      </c>
      <c r="H54" s="118" t="s">
        <v>96</v>
      </c>
      <c r="I54" s="118">
        <v>460</v>
      </c>
      <c r="J54" s="118">
        <v>20</v>
      </c>
      <c r="K54" s="118" t="s">
        <v>96</v>
      </c>
      <c r="L54" s="118" t="s">
        <v>96</v>
      </c>
      <c r="M54" s="21">
        <v>70</v>
      </c>
      <c r="N54" s="118">
        <v>400</v>
      </c>
      <c r="O54" s="118">
        <v>300</v>
      </c>
      <c r="P54" s="118">
        <v>70</v>
      </c>
      <c r="Q54" s="118">
        <v>550</v>
      </c>
      <c r="R54" s="118" t="s">
        <v>96</v>
      </c>
      <c r="S54" s="118" t="s">
        <v>96</v>
      </c>
      <c r="T54" s="134" t="s">
        <v>96</v>
      </c>
      <c r="U54" s="134" t="s">
        <v>96</v>
      </c>
      <c r="V54" s="134" t="s">
        <v>96</v>
      </c>
      <c r="W54" s="156" t="s">
        <v>96</v>
      </c>
      <c r="X54" s="156" t="s">
        <v>96</v>
      </c>
      <c r="Y54" s="156">
        <v>60</v>
      </c>
      <c r="Z54" s="156">
        <v>20</v>
      </c>
    </row>
    <row r="55" spans="1:26" ht="19.5" x14ac:dyDescent="0.2">
      <c r="A55" s="9" t="s">
        <v>41</v>
      </c>
      <c r="B55" s="118">
        <v>325</v>
      </c>
      <c r="C55" s="118" t="s">
        <v>96</v>
      </c>
      <c r="D55" s="118" t="s">
        <v>96</v>
      </c>
      <c r="E55" s="118">
        <v>100</v>
      </c>
      <c r="F55" s="118" t="s">
        <v>96</v>
      </c>
      <c r="G55" s="118">
        <v>175</v>
      </c>
      <c r="H55" s="118" t="s">
        <v>96</v>
      </c>
      <c r="I55" s="118">
        <v>58</v>
      </c>
      <c r="J55" s="118">
        <v>275</v>
      </c>
      <c r="K55" s="66">
        <v>75</v>
      </c>
      <c r="L55" s="118" t="s">
        <v>96</v>
      </c>
      <c r="M55" s="21">
        <v>150</v>
      </c>
      <c r="N55" s="118" t="s">
        <v>96</v>
      </c>
      <c r="O55" s="118">
        <v>30</v>
      </c>
      <c r="P55" s="118">
        <v>1108</v>
      </c>
      <c r="Q55" s="118">
        <v>172</v>
      </c>
      <c r="R55" s="118">
        <v>72</v>
      </c>
      <c r="S55" s="118">
        <v>348</v>
      </c>
      <c r="T55" s="134">
        <v>24</v>
      </c>
      <c r="U55" s="134">
        <v>48</v>
      </c>
      <c r="V55" s="134" t="s">
        <v>96</v>
      </c>
      <c r="W55" s="156" t="s">
        <v>96</v>
      </c>
      <c r="X55" s="134">
        <v>294</v>
      </c>
      <c r="Y55" s="156">
        <v>120</v>
      </c>
      <c r="Z55" s="156">
        <v>30</v>
      </c>
    </row>
    <row r="56" spans="1:26" ht="19.5" x14ac:dyDescent="0.2">
      <c r="A56" s="9" t="s">
        <v>42</v>
      </c>
      <c r="B56" s="118" t="s">
        <v>96</v>
      </c>
      <c r="C56" s="118">
        <v>75</v>
      </c>
      <c r="D56" s="118" t="s">
        <v>96</v>
      </c>
      <c r="E56" s="118" t="s">
        <v>96</v>
      </c>
      <c r="F56" s="118" t="s">
        <v>96</v>
      </c>
      <c r="G56" s="118" t="s">
        <v>96</v>
      </c>
      <c r="H56" s="118" t="s">
        <v>96</v>
      </c>
      <c r="I56" s="118">
        <v>10</v>
      </c>
      <c r="J56" s="118" t="s">
        <v>96</v>
      </c>
      <c r="K56" s="66">
        <v>130</v>
      </c>
      <c r="L56" s="118">
        <v>495</v>
      </c>
      <c r="M56" s="21">
        <v>120</v>
      </c>
      <c r="N56" s="118">
        <v>223</v>
      </c>
      <c r="O56" s="118" t="s">
        <v>96</v>
      </c>
      <c r="P56" s="118" t="s">
        <v>96</v>
      </c>
      <c r="Q56" s="118" t="s">
        <v>96</v>
      </c>
      <c r="R56" s="118">
        <v>50</v>
      </c>
      <c r="S56" s="118" t="s">
        <v>96</v>
      </c>
      <c r="T56" s="134" t="s">
        <v>96</v>
      </c>
      <c r="U56" s="134">
        <v>30</v>
      </c>
      <c r="V56" s="134" t="s">
        <v>96</v>
      </c>
      <c r="W56" s="134">
        <v>710</v>
      </c>
      <c r="X56" s="134">
        <v>475</v>
      </c>
      <c r="Y56" s="156">
        <v>301</v>
      </c>
      <c r="Z56" s="156">
        <v>216</v>
      </c>
    </row>
    <row r="57" spans="1:26" ht="19.5" x14ac:dyDescent="0.2">
      <c r="A57" s="9" t="s">
        <v>43</v>
      </c>
      <c r="B57" s="118" t="s">
        <v>96</v>
      </c>
      <c r="C57" s="118" t="s">
        <v>96</v>
      </c>
      <c r="D57" s="118" t="s">
        <v>96</v>
      </c>
      <c r="E57" s="118" t="s">
        <v>96</v>
      </c>
      <c r="F57" s="118">
        <v>30</v>
      </c>
      <c r="G57" s="118" t="s">
        <v>96</v>
      </c>
      <c r="H57" s="118" t="s">
        <v>96</v>
      </c>
      <c r="I57" s="118" t="s">
        <v>96</v>
      </c>
      <c r="J57" s="118">
        <v>5</v>
      </c>
      <c r="K57" s="118" t="s">
        <v>96</v>
      </c>
      <c r="L57" s="118">
        <v>1105</v>
      </c>
      <c r="M57" s="21" t="s">
        <v>96</v>
      </c>
      <c r="N57" s="118" t="s">
        <v>96</v>
      </c>
      <c r="O57" s="118" t="s">
        <v>96</v>
      </c>
      <c r="P57" s="118">
        <v>600</v>
      </c>
      <c r="Q57" s="118">
        <v>10</v>
      </c>
      <c r="R57" s="118" t="s">
        <v>96</v>
      </c>
      <c r="S57" s="118" t="s">
        <v>96</v>
      </c>
      <c r="T57" s="134">
        <v>250</v>
      </c>
      <c r="U57" s="134">
        <v>285</v>
      </c>
      <c r="V57" s="134">
        <v>250</v>
      </c>
      <c r="W57" s="134">
        <v>250</v>
      </c>
      <c r="X57" s="134">
        <v>140</v>
      </c>
      <c r="Y57" s="156">
        <v>110</v>
      </c>
      <c r="Z57" s="156" t="s">
        <v>96</v>
      </c>
    </row>
    <row r="58" spans="1:26" x14ac:dyDescent="0.2">
      <c r="A58" s="9" t="s">
        <v>97</v>
      </c>
      <c r="B58" s="118" t="s">
        <v>96</v>
      </c>
      <c r="C58" s="118" t="s">
        <v>96</v>
      </c>
      <c r="D58" s="118" t="s">
        <v>96</v>
      </c>
      <c r="E58" s="118" t="s">
        <v>96</v>
      </c>
      <c r="F58" s="118" t="s">
        <v>96</v>
      </c>
      <c r="G58" s="118" t="s">
        <v>96</v>
      </c>
      <c r="H58" s="118" t="s">
        <v>96</v>
      </c>
      <c r="I58" s="118" t="s">
        <v>96</v>
      </c>
      <c r="J58" s="118" t="s">
        <v>96</v>
      </c>
      <c r="K58" s="118" t="s">
        <v>96</v>
      </c>
      <c r="L58" s="118" t="s">
        <v>96</v>
      </c>
      <c r="M58" s="21">
        <v>3935</v>
      </c>
      <c r="N58" s="118">
        <v>620</v>
      </c>
      <c r="O58" s="118">
        <v>130</v>
      </c>
      <c r="P58" s="118" t="s">
        <v>96</v>
      </c>
      <c r="Q58" s="118" t="s">
        <v>96</v>
      </c>
      <c r="R58" s="118" t="s">
        <v>96</v>
      </c>
      <c r="S58" s="118" t="s">
        <v>96</v>
      </c>
      <c r="T58" s="134">
        <v>500</v>
      </c>
      <c r="U58" s="134">
        <v>605</v>
      </c>
      <c r="V58" s="134">
        <v>600</v>
      </c>
      <c r="W58" s="134">
        <v>490</v>
      </c>
      <c r="X58" s="134">
        <v>185</v>
      </c>
      <c r="Y58" s="156">
        <v>550</v>
      </c>
      <c r="Z58" s="156">
        <v>510</v>
      </c>
    </row>
    <row r="59" spans="1:26" x14ac:dyDescent="0.2">
      <c r="A59" s="9" t="s">
        <v>45</v>
      </c>
      <c r="B59" s="118">
        <v>84</v>
      </c>
      <c r="C59" s="118" t="s">
        <v>96</v>
      </c>
      <c r="D59" s="118">
        <v>100</v>
      </c>
      <c r="E59" s="118">
        <v>22</v>
      </c>
      <c r="F59" s="118">
        <v>97</v>
      </c>
      <c r="G59" s="118">
        <v>159</v>
      </c>
      <c r="H59" s="118">
        <v>553</v>
      </c>
      <c r="I59" s="118">
        <v>738</v>
      </c>
      <c r="J59" s="118">
        <v>1395</v>
      </c>
      <c r="K59" s="66">
        <v>842</v>
      </c>
      <c r="L59" s="118">
        <v>972</v>
      </c>
      <c r="M59" s="21">
        <v>82</v>
      </c>
      <c r="N59" s="118">
        <v>766</v>
      </c>
      <c r="O59" s="118">
        <v>1273</v>
      </c>
      <c r="P59" s="118">
        <v>341</v>
      </c>
      <c r="Q59" s="118">
        <v>193</v>
      </c>
      <c r="R59" s="118">
        <v>300</v>
      </c>
      <c r="S59" s="118">
        <v>982</v>
      </c>
      <c r="T59" s="134">
        <v>69</v>
      </c>
      <c r="U59" s="134">
        <v>292</v>
      </c>
      <c r="V59" s="134">
        <v>1000</v>
      </c>
      <c r="W59" s="134">
        <v>54</v>
      </c>
      <c r="X59" s="134">
        <v>605</v>
      </c>
      <c r="Y59" s="156">
        <v>250</v>
      </c>
      <c r="Z59" s="156">
        <v>545</v>
      </c>
    </row>
    <row r="60" spans="1:26" ht="18" x14ac:dyDescent="0.2">
      <c r="A60" s="8" t="s">
        <v>90</v>
      </c>
      <c r="B60" s="120">
        <v>4410</v>
      </c>
      <c r="C60" s="120">
        <v>5902</v>
      </c>
      <c r="D60" s="120">
        <v>5397</v>
      </c>
      <c r="E60" s="120">
        <v>5348</v>
      </c>
      <c r="F60" s="120">
        <v>2778</v>
      </c>
      <c r="G60" s="120">
        <v>4168</v>
      </c>
      <c r="H60" s="120">
        <v>3623</v>
      </c>
      <c r="I60" s="120">
        <v>6537</v>
      </c>
      <c r="J60" s="120">
        <v>5065</v>
      </c>
      <c r="K60" s="65">
        <v>4009</v>
      </c>
      <c r="L60" s="120">
        <v>3552</v>
      </c>
      <c r="M60" s="22">
        <v>4102</v>
      </c>
      <c r="N60" s="120">
        <v>2483</v>
      </c>
      <c r="O60" s="120">
        <v>4100</v>
      </c>
      <c r="P60" s="120">
        <v>4870</v>
      </c>
      <c r="Q60" s="120">
        <v>6525</v>
      </c>
      <c r="R60" s="120">
        <v>4421</v>
      </c>
      <c r="S60" s="120">
        <v>4880</v>
      </c>
      <c r="T60" s="133">
        <v>3811</v>
      </c>
      <c r="U60" s="133">
        <v>7693</v>
      </c>
      <c r="V60" s="133">
        <v>4860</v>
      </c>
      <c r="W60" s="133">
        <v>5742</v>
      </c>
      <c r="X60" s="133">
        <v>7105</v>
      </c>
      <c r="Y60" s="155">
        <v>9554</v>
      </c>
      <c r="Z60" s="155">
        <v>7094</v>
      </c>
    </row>
    <row r="61" spans="1:26" x14ac:dyDescent="0.2">
      <c r="A61" s="9" t="s">
        <v>46</v>
      </c>
      <c r="B61" s="118">
        <v>1675</v>
      </c>
      <c r="C61" s="118">
        <v>1813</v>
      </c>
      <c r="D61" s="118">
        <v>965</v>
      </c>
      <c r="E61" s="118">
        <v>485</v>
      </c>
      <c r="F61" s="118">
        <v>357</v>
      </c>
      <c r="G61" s="118">
        <v>222</v>
      </c>
      <c r="H61" s="118">
        <v>441</v>
      </c>
      <c r="I61" s="118">
        <v>592</v>
      </c>
      <c r="J61" s="118">
        <v>350</v>
      </c>
      <c r="K61" s="66">
        <v>331</v>
      </c>
      <c r="L61" s="118">
        <v>220</v>
      </c>
      <c r="M61" s="21">
        <v>139</v>
      </c>
      <c r="N61" s="118">
        <v>35</v>
      </c>
      <c r="O61" s="118">
        <v>530</v>
      </c>
      <c r="P61" s="118">
        <v>665</v>
      </c>
      <c r="Q61" s="118">
        <v>100</v>
      </c>
      <c r="R61" s="118">
        <v>671</v>
      </c>
      <c r="S61" s="118">
        <v>100</v>
      </c>
      <c r="T61" s="134">
        <v>188</v>
      </c>
      <c r="U61" s="134">
        <v>639</v>
      </c>
      <c r="V61" s="134">
        <v>1065</v>
      </c>
      <c r="W61" s="134">
        <v>294</v>
      </c>
      <c r="X61" s="134">
        <v>1035</v>
      </c>
      <c r="Y61" s="156">
        <v>1744</v>
      </c>
      <c r="Z61" s="156">
        <v>670</v>
      </c>
    </row>
    <row r="62" spans="1:26" x14ac:dyDescent="0.2">
      <c r="A62" s="9" t="s">
        <v>47</v>
      </c>
      <c r="B62" s="118">
        <v>85</v>
      </c>
      <c r="C62" s="118">
        <v>120</v>
      </c>
      <c r="D62" s="118">
        <v>750</v>
      </c>
      <c r="E62" s="118">
        <v>500</v>
      </c>
      <c r="F62" s="118" t="s">
        <v>96</v>
      </c>
      <c r="G62" s="118" t="s">
        <v>96</v>
      </c>
      <c r="H62" s="118">
        <v>100</v>
      </c>
      <c r="I62" s="118" t="s">
        <v>96</v>
      </c>
      <c r="J62" s="118" t="s">
        <v>96</v>
      </c>
      <c r="K62" s="66" t="s">
        <v>96</v>
      </c>
      <c r="L62" s="118">
        <v>75</v>
      </c>
      <c r="M62" s="21" t="s">
        <v>96</v>
      </c>
      <c r="N62" s="118" t="s">
        <v>96</v>
      </c>
      <c r="O62" s="118">
        <v>100</v>
      </c>
      <c r="P62" s="118">
        <v>450</v>
      </c>
      <c r="Q62" s="118">
        <v>840</v>
      </c>
      <c r="R62" s="118">
        <v>345</v>
      </c>
      <c r="S62" s="118">
        <v>30</v>
      </c>
      <c r="T62" s="134" t="s">
        <v>96</v>
      </c>
      <c r="U62" s="134">
        <v>135</v>
      </c>
      <c r="V62" s="134">
        <v>300</v>
      </c>
      <c r="W62" s="134">
        <v>15</v>
      </c>
      <c r="X62" s="134">
        <v>75</v>
      </c>
      <c r="Y62" s="156">
        <v>186</v>
      </c>
      <c r="Z62" s="156" t="s">
        <v>96</v>
      </c>
    </row>
    <row r="63" spans="1:26" x14ac:dyDescent="0.2">
      <c r="A63" s="9" t="s">
        <v>48</v>
      </c>
      <c r="B63" s="118">
        <v>300</v>
      </c>
      <c r="C63" s="118">
        <v>200</v>
      </c>
      <c r="D63" s="118">
        <v>651</v>
      </c>
      <c r="E63" s="118">
        <v>300</v>
      </c>
      <c r="F63" s="118" t="s">
        <v>96</v>
      </c>
      <c r="G63" s="118">
        <v>105</v>
      </c>
      <c r="H63" s="118" t="s">
        <v>96</v>
      </c>
      <c r="I63" s="118">
        <v>720</v>
      </c>
      <c r="J63" s="118" t="s">
        <v>96</v>
      </c>
      <c r="K63" s="66">
        <v>240</v>
      </c>
      <c r="L63" s="118">
        <v>600</v>
      </c>
      <c r="M63" s="21">
        <v>303</v>
      </c>
      <c r="N63" s="118">
        <v>247</v>
      </c>
      <c r="O63" s="118">
        <v>29</v>
      </c>
      <c r="P63" s="118">
        <v>555</v>
      </c>
      <c r="Q63" s="118">
        <v>161</v>
      </c>
      <c r="R63" s="118">
        <v>31</v>
      </c>
      <c r="S63" s="118">
        <v>32</v>
      </c>
      <c r="T63" s="134">
        <v>500</v>
      </c>
      <c r="U63" s="134">
        <v>543</v>
      </c>
      <c r="V63" s="134" t="s">
        <v>96</v>
      </c>
      <c r="W63" s="134">
        <v>350</v>
      </c>
      <c r="X63" s="156" t="s">
        <v>96</v>
      </c>
      <c r="Y63" s="156">
        <v>350</v>
      </c>
      <c r="Z63" s="156" t="s">
        <v>96</v>
      </c>
    </row>
    <row r="64" spans="1:26" x14ac:dyDescent="0.2">
      <c r="A64" s="9" t="s">
        <v>49</v>
      </c>
      <c r="B64" s="118">
        <v>965</v>
      </c>
      <c r="C64" s="118">
        <v>722</v>
      </c>
      <c r="D64" s="118">
        <v>1500</v>
      </c>
      <c r="E64" s="118">
        <v>674</v>
      </c>
      <c r="F64" s="118">
        <v>696</v>
      </c>
      <c r="G64" s="118">
        <v>640</v>
      </c>
      <c r="H64" s="118">
        <v>220</v>
      </c>
      <c r="I64" s="118">
        <v>1565</v>
      </c>
      <c r="J64" s="118">
        <v>1515</v>
      </c>
      <c r="K64" s="66">
        <v>1470</v>
      </c>
      <c r="L64" s="118">
        <v>790</v>
      </c>
      <c r="M64" s="21">
        <v>418</v>
      </c>
      <c r="N64" s="118">
        <v>1067</v>
      </c>
      <c r="O64" s="118">
        <v>1575</v>
      </c>
      <c r="P64" s="118">
        <v>853</v>
      </c>
      <c r="Q64" s="118">
        <v>2227</v>
      </c>
      <c r="R64" s="118">
        <v>1316</v>
      </c>
      <c r="S64" s="118">
        <v>1313</v>
      </c>
      <c r="T64" s="134">
        <v>706</v>
      </c>
      <c r="U64" s="134">
        <v>1388</v>
      </c>
      <c r="V64" s="134">
        <v>1114</v>
      </c>
      <c r="W64" s="134">
        <v>1938</v>
      </c>
      <c r="X64" s="134">
        <v>902</v>
      </c>
      <c r="Y64" s="156">
        <v>1197</v>
      </c>
      <c r="Z64" s="156">
        <v>1469</v>
      </c>
    </row>
    <row r="65" spans="1:26" x14ac:dyDescent="0.2">
      <c r="A65" s="9" t="s">
        <v>50</v>
      </c>
      <c r="B65" s="118" t="s">
        <v>96</v>
      </c>
      <c r="C65" s="118">
        <v>45</v>
      </c>
      <c r="D65" s="118">
        <v>150</v>
      </c>
      <c r="E65" s="118">
        <v>550</v>
      </c>
      <c r="F65" s="118">
        <v>160</v>
      </c>
      <c r="G65" s="118">
        <v>36</v>
      </c>
      <c r="H65" s="118" t="s">
        <v>96</v>
      </c>
      <c r="I65" s="118">
        <v>865</v>
      </c>
      <c r="J65" s="118">
        <v>100</v>
      </c>
      <c r="K65" s="66" t="s">
        <v>96</v>
      </c>
      <c r="L65" s="118">
        <v>200</v>
      </c>
      <c r="M65" s="21">
        <v>185</v>
      </c>
      <c r="N65" s="118">
        <v>200</v>
      </c>
      <c r="O65" s="118" t="s">
        <v>96</v>
      </c>
      <c r="P65" s="118" t="s">
        <v>96</v>
      </c>
      <c r="Q65" s="118">
        <v>110</v>
      </c>
      <c r="R65" s="118">
        <v>126</v>
      </c>
      <c r="S65" s="118">
        <v>55</v>
      </c>
      <c r="T65" s="134">
        <v>510</v>
      </c>
      <c r="U65" s="134">
        <v>76</v>
      </c>
      <c r="V65" s="134">
        <v>160</v>
      </c>
      <c r="W65" s="134">
        <v>935</v>
      </c>
      <c r="X65" s="134">
        <v>1160</v>
      </c>
      <c r="Y65" s="156">
        <v>177</v>
      </c>
      <c r="Z65" s="156">
        <v>75</v>
      </c>
    </row>
    <row r="66" spans="1:26" x14ac:dyDescent="0.2">
      <c r="A66" s="9" t="s">
        <v>51</v>
      </c>
      <c r="B66" s="118">
        <v>415</v>
      </c>
      <c r="C66" s="118">
        <v>255</v>
      </c>
      <c r="D66" s="118">
        <v>115</v>
      </c>
      <c r="E66" s="118">
        <v>550</v>
      </c>
      <c r="F66" s="118">
        <v>25</v>
      </c>
      <c r="G66" s="118">
        <v>200</v>
      </c>
      <c r="H66" s="118">
        <v>500</v>
      </c>
      <c r="I66" s="118" t="s">
        <v>96</v>
      </c>
      <c r="J66" s="118">
        <v>100</v>
      </c>
      <c r="K66" s="66">
        <v>557</v>
      </c>
      <c r="L66" s="118">
        <v>72</v>
      </c>
      <c r="M66" s="21">
        <v>65</v>
      </c>
      <c r="N66" s="118">
        <v>110</v>
      </c>
      <c r="O66" s="118">
        <v>906</v>
      </c>
      <c r="P66" s="118">
        <v>1200</v>
      </c>
      <c r="Q66" s="118">
        <v>1200</v>
      </c>
      <c r="R66" s="118">
        <v>750</v>
      </c>
      <c r="S66" s="118">
        <v>1280</v>
      </c>
      <c r="T66" s="134">
        <v>720</v>
      </c>
      <c r="U66" s="134">
        <v>1310</v>
      </c>
      <c r="V66" s="134">
        <v>240</v>
      </c>
      <c r="W66" s="134">
        <v>825</v>
      </c>
      <c r="X66" s="134">
        <v>290</v>
      </c>
      <c r="Y66" s="156">
        <v>615</v>
      </c>
      <c r="Z66" s="156">
        <v>375</v>
      </c>
    </row>
    <row r="67" spans="1:26" x14ac:dyDescent="0.2">
      <c r="A67" s="9" t="s">
        <v>52</v>
      </c>
      <c r="B67" s="118">
        <v>335</v>
      </c>
      <c r="C67" s="118">
        <v>410</v>
      </c>
      <c r="D67" s="118">
        <v>466</v>
      </c>
      <c r="E67" s="118">
        <v>763</v>
      </c>
      <c r="F67" s="118">
        <v>305</v>
      </c>
      <c r="G67" s="118">
        <v>357</v>
      </c>
      <c r="H67" s="118">
        <v>1077</v>
      </c>
      <c r="I67" s="118">
        <v>417</v>
      </c>
      <c r="J67" s="118">
        <v>432</v>
      </c>
      <c r="K67" s="66">
        <v>32</v>
      </c>
      <c r="L67" s="118">
        <v>479</v>
      </c>
      <c r="M67" s="21">
        <v>555</v>
      </c>
      <c r="N67" s="118">
        <v>398</v>
      </c>
      <c r="O67" s="118">
        <v>223</v>
      </c>
      <c r="P67" s="118">
        <v>655</v>
      </c>
      <c r="Q67" s="118">
        <v>361</v>
      </c>
      <c r="R67" s="118">
        <v>42</v>
      </c>
      <c r="S67" s="118">
        <v>237</v>
      </c>
      <c r="T67" s="134">
        <v>200</v>
      </c>
      <c r="U67" s="134">
        <v>35</v>
      </c>
      <c r="V67" s="134">
        <v>456</v>
      </c>
      <c r="W67" s="134">
        <v>490</v>
      </c>
      <c r="X67" s="134">
        <v>1522</v>
      </c>
      <c r="Y67" s="156">
        <v>1724</v>
      </c>
      <c r="Z67" s="156">
        <v>400</v>
      </c>
    </row>
    <row r="68" spans="1:26" x14ac:dyDescent="0.2">
      <c r="A68" s="9" t="s">
        <v>53</v>
      </c>
      <c r="B68" s="118">
        <v>445</v>
      </c>
      <c r="C68" s="118">
        <v>520</v>
      </c>
      <c r="D68" s="118">
        <v>200</v>
      </c>
      <c r="E68" s="118">
        <v>380</v>
      </c>
      <c r="F68" s="118" t="s">
        <v>96</v>
      </c>
      <c r="G68" s="118">
        <v>250</v>
      </c>
      <c r="H68" s="118" t="s">
        <v>96</v>
      </c>
      <c r="I68" s="118">
        <v>815</v>
      </c>
      <c r="J68" s="118">
        <v>250</v>
      </c>
      <c r="K68" s="66" t="s">
        <v>96</v>
      </c>
      <c r="L68" s="118">
        <v>186</v>
      </c>
      <c r="M68" s="21">
        <v>674</v>
      </c>
      <c r="N68" s="118">
        <v>10</v>
      </c>
      <c r="O68" s="118">
        <v>180</v>
      </c>
      <c r="P68" s="118">
        <v>252</v>
      </c>
      <c r="Q68" s="118">
        <v>783</v>
      </c>
      <c r="R68" s="118">
        <v>408</v>
      </c>
      <c r="S68" s="118">
        <v>149</v>
      </c>
      <c r="T68" s="134">
        <v>56</v>
      </c>
      <c r="U68" s="134">
        <v>26</v>
      </c>
      <c r="V68" s="134">
        <v>15</v>
      </c>
      <c r="W68" s="134">
        <v>50</v>
      </c>
      <c r="X68" s="156" t="s">
        <v>96</v>
      </c>
      <c r="Y68" s="156" t="s">
        <v>96</v>
      </c>
      <c r="Z68" s="156">
        <v>200</v>
      </c>
    </row>
    <row r="69" spans="1:26" x14ac:dyDescent="0.2">
      <c r="A69" s="9" t="s">
        <v>54</v>
      </c>
      <c r="B69" s="118">
        <v>150</v>
      </c>
      <c r="C69" s="118" t="s">
        <v>96</v>
      </c>
      <c r="D69" s="118">
        <v>180</v>
      </c>
      <c r="E69" s="118">
        <v>400</v>
      </c>
      <c r="F69" s="118">
        <v>300</v>
      </c>
      <c r="G69" s="118">
        <v>470</v>
      </c>
      <c r="H69" s="118" t="s">
        <v>96</v>
      </c>
      <c r="I69" s="118">
        <v>365</v>
      </c>
      <c r="J69" s="118">
        <v>353</v>
      </c>
      <c r="K69" s="66" t="s">
        <v>96</v>
      </c>
      <c r="L69" s="118">
        <v>25</v>
      </c>
      <c r="M69" s="21">
        <v>971</v>
      </c>
      <c r="N69" s="118">
        <v>51</v>
      </c>
      <c r="O69" s="118">
        <v>108</v>
      </c>
      <c r="P69" s="118">
        <v>50</v>
      </c>
      <c r="Q69" s="118">
        <v>220</v>
      </c>
      <c r="R69" s="118">
        <v>110</v>
      </c>
      <c r="S69" s="118">
        <v>20</v>
      </c>
      <c r="T69" s="134">
        <v>124</v>
      </c>
      <c r="U69" s="134">
        <v>164</v>
      </c>
      <c r="V69" s="134">
        <v>22</v>
      </c>
      <c r="W69" s="156" t="s">
        <v>96</v>
      </c>
      <c r="X69" s="134">
        <v>286</v>
      </c>
      <c r="Y69" s="156">
        <v>432</v>
      </c>
      <c r="Z69" s="156">
        <v>963</v>
      </c>
    </row>
    <row r="70" spans="1:26" x14ac:dyDescent="0.2">
      <c r="A70" s="9" t="s">
        <v>55</v>
      </c>
      <c r="B70" s="118" t="s">
        <v>96</v>
      </c>
      <c r="C70" s="118">
        <v>912</v>
      </c>
      <c r="D70" s="118">
        <v>300</v>
      </c>
      <c r="E70" s="118">
        <v>426</v>
      </c>
      <c r="F70" s="118">
        <v>333</v>
      </c>
      <c r="G70" s="118">
        <v>70</v>
      </c>
      <c r="H70" s="118">
        <v>150</v>
      </c>
      <c r="I70" s="118">
        <v>379</v>
      </c>
      <c r="J70" s="118">
        <v>450</v>
      </c>
      <c r="K70" s="66">
        <v>400</v>
      </c>
      <c r="L70" s="118">
        <v>160</v>
      </c>
      <c r="M70" s="21">
        <v>592</v>
      </c>
      <c r="N70" s="118">
        <v>75</v>
      </c>
      <c r="O70" s="118">
        <v>224</v>
      </c>
      <c r="P70" s="118">
        <v>30</v>
      </c>
      <c r="Q70" s="118">
        <v>50</v>
      </c>
      <c r="R70" s="118">
        <v>170</v>
      </c>
      <c r="S70" s="118">
        <v>180</v>
      </c>
      <c r="T70" s="134">
        <v>90</v>
      </c>
      <c r="U70" s="134">
        <v>266</v>
      </c>
      <c r="V70" s="134">
        <v>200</v>
      </c>
      <c r="W70" s="134">
        <v>395</v>
      </c>
      <c r="X70" s="134">
        <v>815</v>
      </c>
      <c r="Y70" s="156">
        <v>1045</v>
      </c>
      <c r="Z70" s="156" t="s">
        <v>96</v>
      </c>
    </row>
    <row r="71" spans="1:26" x14ac:dyDescent="0.2">
      <c r="A71" s="9" t="s">
        <v>56</v>
      </c>
      <c r="B71" s="118" t="s">
        <v>96</v>
      </c>
      <c r="C71" s="118" t="s">
        <v>96</v>
      </c>
      <c r="D71" s="118">
        <v>120</v>
      </c>
      <c r="E71" s="118" t="s">
        <v>96</v>
      </c>
      <c r="F71" s="118">
        <v>250</v>
      </c>
      <c r="G71" s="118">
        <v>850</v>
      </c>
      <c r="H71" s="118" t="s">
        <v>96</v>
      </c>
      <c r="I71" s="118" t="s">
        <v>96</v>
      </c>
      <c r="J71" s="118">
        <v>245</v>
      </c>
      <c r="K71" s="66" t="s">
        <v>96</v>
      </c>
      <c r="L71" s="118" t="s">
        <v>96</v>
      </c>
      <c r="M71" s="21" t="s">
        <v>96</v>
      </c>
      <c r="N71" s="118">
        <v>38</v>
      </c>
      <c r="O71" s="118">
        <v>75</v>
      </c>
      <c r="P71" s="118" t="s">
        <v>96</v>
      </c>
      <c r="Q71" s="118">
        <v>268</v>
      </c>
      <c r="R71" s="118">
        <v>47</v>
      </c>
      <c r="S71" s="118">
        <v>692</v>
      </c>
      <c r="T71" s="134">
        <v>116</v>
      </c>
      <c r="U71" s="134">
        <v>468</v>
      </c>
      <c r="V71" s="134">
        <v>558</v>
      </c>
      <c r="W71" s="134">
        <v>200</v>
      </c>
      <c r="X71" s="156" t="s">
        <v>96</v>
      </c>
      <c r="Y71" s="156">
        <v>308</v>
      </c>
      <c r="Z71" s="156" t="s">
        <v>96</v>
      </c>
    </row>
    <row r="72" spans="1:26" x14ac:dyDescent="0.2">
      <c r="A72" s="9" t="s">
        <v>57</v>
      </c>
      <c r="B72" s="118">
        <v>40</v>
      </c>
      <c r="C72" s="118">
        <v>190</v>
      </c>
      <c r="D72" s="118" t="s">
        <v>96</v>
      </c>
      <c r="E72" s="118">
        <v>200</v>
      </c>
      <c r="F72" s="118">
        <v>242</v>
      </c>
      <c r="G72" s="118">
        <v>820</v>
      </c>
      <c r="H72" s="118">
        <v>700</v>
      </c>
      <c r="I72" s="118">
        <v>454</v>
      </c>
      <c r="J72" s="118">
        <v>1055</v>
      </c>
      <c r="K72" s="66">
        <v>658</v>
      </c>
      <c r="L72" s="118">
        <v>715</v>
      </c>
      <c r="M72" s="21" t="s">
        <v>96</v>
      </c>
      <c r="N72" s="118">
        <v>63</v>
      </c>
      <c r="O72" s="118" t="s">
        <v>96</v>
      </c>
      <c r="P72" s="118" t="s">
        <v>96</v>
      </c>
      <c r="Q72" s="118">
        <v>180</v>
      </c>
      <c r="R72" s="118">
        <v>250</v>
      </c>
      <c r="S72" s="118">
        <v>375</v>
      </c>
      <c r="T72" s="134">
        <v>238</v>
      </c>
      <c r="U72" s="134">
        <v>1890</v>
      </c>
      <c r="V72" s="134">
        <v>150</v>
      </c>
      <c r="W72" s="156" t="s">
        <v>96</v>
      </c>
      <c r="X72" s="156" t="s">
        <v>96</v>
      </c>
      <c r="Y72" s="156">
        <v>136</v>
      </c>
      <c r="Z72" s="156">
        <v>1762</v>
      </c>
    </row>
    <row r="73" spans="1:26" x14ac:dyDescent="0.2">
      <c r="A73" s="9" t="s">
        <v>58</v>
      </c>
      <c r="B73" s="118" t="s">
        <v>96</v>
      </c>
      <c r="C73" s="118">
        <v>685</v>
      </c>
      <c r="D73" s="118" t="s">
        <v>96</v>
      </c>
      <c r="E73" s="118">
        <v>120</v>
      </c>
      <c r="F73" s="118">
        <v>110</v>
      </c>
      <c r="G73" s="118">
        <v>8</v>
      </c>
      <c r="H73" s="118">
        <v>60</v>
      </c>
      <c r="I73" s="118">
        <v>153</v>
      </c>
      <c r="J73" s="118">
        <v>200</v>
      </c>
      <c r="K73" s="66">
        <v>321</v>
      </c>
      <c r="L73" s="118">
        <v>30</v>
      </c>
      <c r="M73" s="21">
        <v>175</v>
      </c>
      <c r="N73" s="118">
        <v>129</v>
      </c>
      <c r="O73" s="118">
        <v>50</v>
      </c>
      <c r="P73" s="118">
        <v>130</v>
      </c>
      <c r="Q73" s="118" t="s">
        <v>96</v>
      </c>
      <c r="R73" s="118">
        <v>30</v>
      </c>
      <c r="S73" s="118">
        <v>8</v>
      </c>
      <c r="T73" s="134">
        <v>8</v>
      </c>
      <c r="U73" s="134">
        <v>308</v>
      </c>
      <c r="V73" s="134">
        <v>510</v>
      </c>
      <c r="W73" s="156" t="s">
        <v>96</v>
      </c>
      <c r="X73" s="134">
        <v>850</v>
      </c>
      <c r="Y73" s="156">
        <v>1500</v>
      </c>
      <c r="Z73" s="156">
        <v>1090</v>
      </c>
    </row>
    <row r="74" spans="1:26" x14ac:dyDescent="0.2">
      <c r="A74" s="9" t="s">
        <v>59</v>
      </c>
      <c r="B74" s="118" t="s">
        <v>96</v>
      </c>
      <c r="C74" s="118">
        <v>30</v>
      </c>
      <c r="D74" s="118" t="s">
        <v>96</v>
      </c>
      <c r="E74" s="118" t="s">
        <v>96</v>
      </c>
      <c r="F74" s="118" t="s">
        <v>96</v>
      </c>
      <c r="G74" s="118">
        <v>140</v>
      </c>
      <c r="H74" s="118">
        <v>375</v>
      </c>
      <c r="I74" s="118">
        <v>212</v>
      </c>
      <c r="J74" s="118">
        <v>15</v>
      </c>
      <c r="K74" s="66" t="s">
        <v>96</v>
      </c>
      <c r="L74" s="118" t="s">
        <v>96</v>
      </c>
      <c r="M74" s="21">
        <v>25</v>
      </c>
      <c r="N74" s="118">
        <v>60</v>
      </c>
      <c r="O74" s="118">
        <v>100</v>
      </c>
      <c r="P74" s="118">
        <v>30</v>
      </c>
      <c r="Q74" s="118">
        <v>25</v>
      </c>
      <c r="R74" s="118">
        <v>125</v>
      </c>
      <c r="S74" s="118">
        <v>409</v>
      </c>
      <c r="T74" s="134">
        <v>355</v>
      </c>
      <c r="U74" s="134">
        <v>445</v>
      </c>
      <c r="V74" s="134">
        <v>70</v>
      </c>
      <c r="W74" s="134">
        <v>250</v>
      </c>
      <c r="X74" s="134">
        <v>170</v>
      </c>
      <c r="Y74" s="156">
        <v>140</v>
      </c>
      <c r="Z74" s="156">
        <v>90</v>
      </c>
    </row>
    <row r="75" spans="1:26" ht="18" x14ac:dyDescent="0.2">
      <c r="A75" s="8" t="s">
        <v>136</v>
      </c>
      <c r="B75" s="120">
        <v>2562</v>
      </c>
      <c r="C75" s="120">
        <v>2725</v>
      </c>
      <c r="D75" s="120">
        <v>1708</v>
      </c>
      <c r="E75" s="120">
        <v>1480</v>
      </c>
      <c r="F75" s="120">
        <v>1378</v>
      </c>
      <c r="G75" s="120">
        <v>2347</v>
      </c>
      <c r="H75" s="120">
        <v>3558</v>
      </c>
      <c r="I75" s="120">
        <v>5350</v>
      </c>
      <c r="J75" s="120">
        <v>2072</v>
      </c>
      <c r="K75" s="65">
        <v>1761</v>
      </c>
      <c r="L75" s="120">
        <v>1902</v>
      </c>
      <c r="M75" s="22">
        <v>994</v>
      </c>
      <c r="N75" s="120">
        <v>1502</v>
      </c>
      <c r="O75" s="120">
        <v>1866</v>
      </c>
      <c r="P75" s="120">
        <v>1255</v>
      </c>
      <c r="Q75" s="120">
        <v>2095</v>
      </c>
      <c r="R75" s="120">
        <v>911</v>
      </c>
      <c r="S75" s="120">
        <v>2404</v>
      </c>
      <c r="T75" s="133">
        <v>526</v>
      </c>
      <c r="U75" s="133">
        <v>891</v>
      </c>
      <c r="V75" s="133">
        <v>3929</v>
      </c>
      <c r="W75" s="133">
        <v>1108</v>
      </c>
      <c r="X75" s="133">
        <v>2550</v>
      </c>
      <c r="Y75" s="155">
        <v>1269</v>
      </c>
      <c r="Z75" s="155">
        <v>1588</v>
      </c>
    </row>
    <row r="76" spans="1:26" x14ac:dyDescent="0.2">
      <c r="A76" s="9" t="s">
        <v>60</v>
      </c>
      <c r="B76" s="118" t="s">
        <v>96</v>
      </c>
      <c r="C76" s="118" t="s">
        <v>96</v>
      </c>
      <c r="D76" s="118" t="s">
        <v>96</v>
      </c>
      <c r="E76" s="118" t="s">
        <v>96</v>
      </c>
      <c r="F76" s="118">
        <v>100</v>
      </c>
      <c r="G76" s="118" t="s">
        <v>96</v>
      </c>
      <c r="H76" s="118" t="s">
        <v>96</v>
      </c>
      <c r="I76" s="118">
        <v>1590</v>
      </c>
      <c r="J76" s="118" t="s">
        <v>96</v>
      </c>
      <c r="K76" s="66" t="s">
        <v>96</v>
      </c>
      <c r="L76" s="118" t="s">
        <v>96</v>
      </c>
      <c r="M76" s="21">
        <v>25</v>
      </c>
      <c r="N76" s="118" t="s">
        <v>96</v>
      </c>
      <c r="O76" s="118">
        <v>400</v>
      </c>
      <c r="P76" s="118" t="s">
        <v>96</v>
      </c>
      <c r="Q76" s="118">
        <v>18</v>
      </c>
      <c r="R76" s="118">
        <v>95</v>
      </c>
      <c r="S76" s="118">
        <v>87</v>
      </c>
      <c r="T76" s="134" t="s">
        <v>96</v>
      </c>
      <c r="U76" s="134">
        <v>50</v>
      </c>
      <c r="V76" s="134">
        <v>850</v>
      </c>
      <c r="W76" s="156" t="s">
        <v>96</v>
      </c>
      <c r="X76" s="134">
        <v>572</v>
      </c>
      <c r="Y76" s="156" t="s">
        <v>96</v>
      </c>
      <c r="Z76" s="156" t="s">
        <v>96</v>
      </c>
    </row>
    <row r="77" spans="1:26" x14ac:dyDescent="0.2">
      <c r="A77" s="9" t="s">
        <v>61</v>
      </c>
      <c r="B77" s="118">
        <v>1415</v>
      </c>
      <c r="C77" s="118">
        <v>435</v>
      </c>
      <c r="D77" s="118">
        <v>1200</v>
      </c>
      <c r="E77" s="118">
        <v>515</v>
      </c>
      <c r="F77" s="118">
        <v>650</v>
      </c>
      <c r="G77" s="118">
        <v>882</v>
      </c>
      <c r="H77" s="118">
        <v>2160</v>
      </c>
      <c r="I77" s="118">
        <v>1585</v>
      </c>
      <c r="J77" s="118">
        <v>1464</v>
      </c>
      <c r="K77" s="66">
        <v>1200</v>
      </c>
      <c r="L77" s="118">
        <v>200</v>
      </c>
      <c r="M77" s="21">
        <v>8</v>
      </c>
      <c r="N77" s="118">
        <v>42</v>
      </c>
      <c r="O77" s="118">
        <v>192</v>
      </c>
      <c r="P77" s="118">
        <v>290</v>
      </c>
      <c r="Q77" s="118">
        <v>902</v>
      </c>
      <c r="R77" s="118">
        <v>106</v>
      </c>
      <c r="S77" s="118">
        <v>1370</v>
      </c>
      <c r="T77" s="134">
        <v>401</v>
      </c>
      <c r="U77" s="134">
        <v>170</v>
      </c>
      <c r="V77" s="134">
        <v>1590</v>
      </c>
      <c r="W77" s="156" t="s">
        <v>96</v>
      </c>
      <c r="X77" s="134">
        <v>90</v>
      </c>
      <c r="Y77" s="156">
        <v>300</v>
      </c>
      <c r="Z77" s="156">
        <v>1200</v>
      </c>
    </row>
    <row r="78" spans="1:26" x14ac:dyDescent="0.2">
      <c r="A78" s="9" t="s">
        <v>62</v>
      </c>
      <c r="B78" s="118">
        <v>1038</v>
      </c>
      <c r="C78" s="118">
        <v>2150</v>
      </c>
      <c r="D78" s="118">
        <v>468</v>
      </c>
      <c r="E78" s="118">
        <v>965</v>
      </c>
      <c r="F78" s="118">
        <v>528</v>
      </c>
      <c r="G78" s="118">
        <v>215</v>
      </c>
      <c r="H78" s="118">
        <v>638</v>
      </c>
      <c r="I78" s="118">
        <v>1525</v>
      </c>
      <c r="J78" s="118">
        <v>158</v>
      </c>
      <c r="K78" s="66">
        <v>337</v>
      </c>
      <c r="L78" s="118">
        <v>752</v>
      </c>
      <c r="M78" s="21">
        <v>551</v>
      </c>
      <c r="N78" s="118">
        <v>1160</v>
      </c>
      <c r="O78" s="118">
        <v>1199</v>
      </c>
      <c r="P78" s="118">
        <v>635</v>
      </c>
      <c r="Q78" s="118">
        <v>175</v>
      </c>
      <c r="R78" s="118">
        <v>710</v>
      </c>
      <c r="S78" s="118">
        <v>367</v>
      </c>
      <c r="T78" s="134">
        <v>25</v>
      </c>
      <c r="U78" s="134">
        <v>635</v>
      </c>
      <c r="V78" s="134">
        <v>665</v>
      </c>
      <c r="W78" s="134">
        <v>1012</v>
      </c>
      <c r="X78" s="134">
        <v>1868</v>
      </c>
      <c r="Y78" s="156">
        <v>569</v>
      </c>
      <c r="Z78" s="156">
        <v>104</v>
      </c>
    </row>
    <row r="79" spans="1:26" x14ac:dyDescent="0.2">
      <c r="A79" s="4" t="s">
        <v>63</v>
      </c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21"/>
      <c r="N79" s="118"/>
      <c r="O79" s="118"/>
      <c r="P79" s="118"/>
      <c r="Q79" s="118"/>
      <c r="R79" s="118"/>
      <c r="S79" s="118"/>
      <c r="T79" s="134"/>
      <c r="U79" s="134"/>
      <c r="V79" s="134"/>
      <c r="W79" s="134"/>
      <c r="X79" s="134"/>
      <c r="Y79" s="156"/>
      <c r="Z79" s="156"/>
    </row>
    <row r="80" spans="1:26" ht="19.5" x14ac:dyDescent="0.2">
      <c r="A80" s="14" t="s">
        <v>137</v>
      </c>
      <c r="B80" s="118">
        <v>709</v>
      </c>
      <c r="C80" s="118">
        <v>1450</v>
      </c>
      <c r="D80" s="118">
        <v>276</v>
      </c>
      <c r="E80" s="118">
        <v>910</v>
      </c>
      <c r="F80" s="118">
        <v>528</v>
      </c>
      <c r="G80" s="118" t="s">
        <v>96</v>
      </c>
      <c r="H80" s="118">
        <v>538</v>
      </c>
      <c r="I80" s="118">
        <v>674</v>
      </c>
      <c r="J80" s="118">
        <v>158</v>
      </c>
      <c r="K80" s="66">
        <v>177</v>
      </c>
      <c r="L80" s="118">
        <v>530</v>
      </c>
      <c r="M80" s="21">
        <v>35</v>
      </c>
      <c r="N80" s="118">
        <v>930</v>
      </c>
      <c r="O80" s="118">
        <v>549</v>
      </c>
      <c r="P80" s="118">
        <v>460</v>
      </c>
      <c r="Q80" s="118">
        <v>75</v>
      </c>
      <c r="R80" s="118">
        <v>710</v>
      </c>
      <c r="S80" s="118">
        <v>67</v>
      </c>
      <c r="T80" s="134" t="s">
        <v>96</v>
      </c>
      <c r="U80" s="134">
        <v>100</v>
      </c>
      <c r="V80" s="134">
        <v>425</v>
      </c>
      <c r="W80" s="134">
        <v>165</v>
      </c>
      <c r="X80" s="134">
        <v>246</v>
      </c>
      <c r="Y80" s="156">
        <v>399</v>
      </c>
      <c r="Z80" s="156">
        <v>104</v>
      </c>
    </row>
    <row r="81" spans="1:26" ht="19.5" x14ac:dyDescent="0.2">
      <c r="A81" s="14" t="s">
        <v>135</v>
      </c>
      <c r="B81" s="118">
        <v>24</v>
      </c>
      <c r="C81" s="118">
        <v>250</v>
      </c>
      <c r="D81" s="118">
        <v>90</v>
      </c>
      <c r="E81" s="118">
        <v>5</v>
      </c>
      <c r="F81" s="118" t="s">
        <v>96</v>
      </c>
      <c r="G81" s="118">
        <v>205</v>
      </c>
      <c r="H81" s="118" t="s">
        <v>96</v>
      </c>
      <c r="I81" s="118">
        <v>184</v>
      </c>
      <c r="J81" s="118" t="s">
        <v>96</v>
      </c>
      <c r="K81" s="66">
        <v>150</v>
      </c>
      <c r="L81" s="118" t="s">
        <v>96</v>
      </c>
      <c r="M81" s="21">
        <v>166</v>
      </c>
      <c r="N81" s="118">
        <v>230</v>
      </c>
      <c r="O81" s="118">
        <v>150</v>
      </c>
      <c r="P81" s="118">
        <v>175</v>
      </c>
      <c r="Q81" s="118" t="s">
        <v>96</v>
      </c>
      <c r="R81" s="118" t="s">
        <v>96</v>
      </c>
      <c r="S81" s="118">
        <v>300</v>
      </c>
      <c r="T81" s="134" t="s">
        <v>96</v>
      </c>
      <c r="U81" s="134">
        <v>75</v>
      </c>
      <c r="V81" s="134" t="s">
        <v>96</v>
      </c>
      <c r="W81" s="134">
        <v>197</v>
      </c>
      <c r="X81" s="134">
        <v>650</v>
      </c>
      <c r="Y81" s="156" t="s">
        <v>96</v>
      </c>
      <c r="Z81" s="156" t="s">
        <v>96</v>
      </c>
    </row>
    <row r="82" spans="1:26" ht="19.5" x14ac:dyDescent="0.2">
      <c r="A82" s="14" t="s">
        <v>87</v>
      </c>
      <c r="B82" s="118">
        <v>305</v>
      </c>
      <c r="C82" s="118">
        <v>450</v>
      </c>
      <c r="D82" s="118">
        <v>102</v>
      </c>
      <c r="E82" s="118">
        <v>50</v>
      </c>
      <c r="F82" s="118" t="s">
        <v>96</v>
      </c>
      <c r="G82" s="118">
        <v>10</v>
      </c>
      <c r="H82" s="118">
        <v>100</v>
      </c>
      <c r="I82" s="118">
        <v>667</v>
      </c>
      <c r="J82" s="118" t="s">
        <v>96</v>
      </c>
      <c r="K82" s="118">
        <v>10</v>
      </c>
      <c r="L82" s="118">
        <v>222</v>
      </c>
      <c r="M82" s="21">
        <v>350</v>
      </c>
      <c r="N82" s="118" t="s">
        <v>96</v>
      </c>
      <c r="O82" s="118">
        <v>500</v>
      </c>
      <c r="P82" s="118" t="s">
        <v>96</v>
      </c>
      <c r="Q82" s="118">
        <v>100</v>
      </c>
      <c r="R82" s="118" t="s">
        <v>96</v>
      </c>
      <c r="S82" s="118" t="s">
        <v>96</v>
      </c>
      <c r="T82" s="134">
        <v>25</v>
      </c>
      <c r="U82" s="134">
        <v>460</v>
      </c>
      <c r="V82" s="134">
        <v>240</v>
      </c>
      <c r="W82" s="134">
        <v>650</v>
      </c>
      <c r="X82" s="134">
        <v>972</v>
      </c>
      <c r="Y82" s="156">
        <v>170</v>
      </c>
      <c r="Z82" s="156" t="s">
        <v>96</v>
      </c>
    </row>
    <row r="83" spans="1:26" x14ac:dyDescent="0.2">
      <c r="A83" s="9" t="s">
        <v>65</v>
      </c>
      <c r="B83" s="118">
        <v>109</v>
      </c>
      <c r="C83" s="118">
        <v>140</v>
      </c>
      <c r="D83" s="118">
        <v>40</v>
      </c>
      <c r="E83" s="118" t="s">
        <v>96</v>
      </c>
      <c r="F83" s="118">
        <v>100</v>
      </c>
      <c r="G83" s="118">
        <v>1250</v>
      </c>
      <c r="H83" s="118">
        <v>760</v>
      </c>
      <c r="I83" s="118">
        <v>650</v>
      </c>
      <c r="J83" s="118">
        <v>450</v>
      </c>
      <c r="K83" s="66">
        <v>224</v>
      </c>
      <c r="L83" s="118">
        <v>950</v>
      </c>
      <c r="M83" s="21">
        <v>410</v>
      </c>
      <c r="N83" s="118">
        <v>300</v>
      </c>
      <c r="O83" s="118">
        <v>75</v>
      </c>
      <c r="P83" s="118">
        <v>330</v>
      </c>
      <c r="Q83" s="118">
        <v>1000</v>
      </c>
      <c r="R83" s="118" t="s">
        <v>96</v>
      </c>
      <c r="S83" s="118">
        <v>580</v>
      </c>
      <c r="T83" s="134">
        <v>100</v>
      </c>
      <c r="U83" s="134">
        <v>36</v>
      </c>
      <c r="V83" s="134">
        <v>824</v>
      </c>
      <c r="W83" s="134">
        <v>96</v>
      </c>
      <c r="X83" s="134">
        <v>20</v>
      </c>
      <c r="Y83" s="156">
        <v>400</v>
      </c>
      <c r="Z83" s="156">
        <v>284</v>
      </c>
    </row>
    <row r="84" spans="1:26" ht="18" x14ac:dyDescent="0.2">
      <c r="A84" s="8" t="s">
        <v>126</v>
      </c>
      <c r="B84" s="120">
        <v>2595</v>
      </c>
      <c r="C84" s="120">
        <v>3084</v>
      </c>
      <c r="D84" s="120">
        <v>2682</v>
      </c>
      <c r="E84" s="120">
        <v>2495</v>
      </c>
      <c r="F84" s="120">
        <v>1799</v>
      </c>
      <c r="G84" s="120">
        <v>3030</v>
      </c>
      <c r="H84" s="120">
        <v>1665</v>
      </c>
      <c r="I84" s="120">
        <v>3163</v>
      </c>
      <c r="J84" s="120">
        <v>4440</v>
      </c>
      <c r="K84" s="65">
        <v>3018</v>
      </c>
      <c r="L84" s="120">
        <v>3184</v>
      </c>
      <c r="M84" s="22">
        <v>4601</v>
      </c>
      <c r="N84" s="120">
        <v>2373</v>
      </c>
      <c r="O84" s="120">
        <v>1303</v>
      </c>
      <c r="P84" s="120">
        <v>1260</v>
      </c>
      <c r="Q84" s="120">
        <v>2570</v>
      </c>
      <c r="R84" s="120">
        <v>1829</v>
      </c>
      <c r="S84" s="120">
        <v>1687</v>
      </c>
      <c r="T84" s="133">
        <v>2835</v>
      </c>
      <c r="U84" s="133">
        <v>1721</v>
      </c>
      <c r="V84" s="133">
        <v>3035</v>
      </c>
      <c r="W84" s="133">
        <v>1997</v>
      </c>
      <c r="X84" s="133">
        <v>4888</v>
      </c>
      <c r="Y84" s="155">
        <v>6856</v>
      </c>
      <c r="Z84" s="155">
        <v>6988</v>
      </c>
    </row>
    <row r="85" spans="1:26" x14ac:dyDescent="0.2">
      <c r="A85" s="9" t="s">
        <v>66</v>
      </c>
      <c r="B85" s="118" t="s">
        <v>96</v>
      </c>
      <c r="C85" s="118" t="s">
        <v>96</v>
      </c>
      <c r="D85" s="118" t="s">
        <v>96</v>
      </c>
      <c r="E85" s="118">
        <v>30</v>
      </c>
      <c r="F85" s="118" t="s">
        <v>96</v>
      </c>
      <c r="G85" s="118" t="s">
        <v>96</v>
      </c>
      <c r="H85" s="118">
        <v>103</v>
      </c>
      <c r="I85" s="118">
        <v>50</v>
      </c>
      <c r="J85" s="118">
        <v>113</v>
      </c>
      <c r="K85" s="66">
        <v>17</v>
      </c>
      <c r="L85" s="118">
        <v>300</v>
      </c>
      <c r="M85" s="21">
        <v>164</v>
      </c>
      <c r="N85" s="118" t="s">
        <v>96</v>
      </c>
      <c r="O85" s="118">
        <v>10</v>
      </c>
      <c r="P85" s="118">
        <v>62</v>
      </c>
      <c r="Q85" s="118">
        <v>120</v>
      </c>
      <c r="R85" s="118">
        <v>118</v>
      </c>
      <c r="S85" s="118">
        <v>70</v>
      </c>
      <c r="T85" s="134">
        <v>40</v>
      </c>
      <c r="U85" s="134">
        <v>190</v>
      </c>
      <c r="V85" s="134">
        <v>261</v>
      </c>
      <c r="W85" s="134">
        <v>200</v>
      </c>
      <c r="X85" s="134">
        <v>49</v>
      </c>
      <c r="Y85" s="156">
        <v>27</v>
      </c>
      <c r="Z85" s="156">
        <v>105</v>
      </c>
    </row>
    <row r="86" spans="1:26" x14ac:dyDescent="0.2">
      <c r="A86" s="9" t="s">
        <v>68</v>
      </c>
      <c r="B86" s="118" t="s">
        <v>96</v>
      </c>
      <c r="C86" s="118" t="s">
        <v>96</v>
      </c>
      <c r="D86" s="118">
        <v>200</v>
      </c>
      <c r="E86" s="118" t="s">
        <v>96</v>
      </c>
      <c r="F86" s="118" t="s">
        <v>96</v>
      </c>
      <c r="G86" s="118" t="s">
        <v>96</v>
      </c>
      <c r="H86" s="118">
        <v>20</v>
      </c>
      <c r="I86" s="118" t="s">
        <v>96</v>
      </c>
      <c r="J86" s="118" t="s">
        <v>96</v>
      </c>
      <c r="K86" s="118" t="s">
        <v>96</v>
      </c>
      <c r="L86" s="118">
        <v>100</v>
      </c>
      <c r="M86" s="21">
        <v>10</v>
      </c>
      <c r="N86" s="118" t="s">
        <v>96</v>
      </c>
      <c r="O86" s="118">
        <v>20</v>
      </c>
      <c r="P86" s="118">
        <v>19</v>
      </c>
      <c r="Q86" s="118" t="s">
        <v>96</v>
      </c>
      <c r="R86" s="118" t="s">
        <v>96</v>
      </c>
      <c r="S86" s="118">
        <v>30</v>
      </c>
      <c r="T86" s="134">
        <v>100</v>
      </c>
      <c r="U86" s="134">
        <v>20</v>
      </c>
      <c r="V86" s="134">
        <v>438</v>
      </c>
      <c r="W86" s="134">
        <v>120</v>
      </c>
      <c r="X86" s="134">
        <v>615</v>
      </c>
      <c r="Y86" s="156">
        <v>111</v>
      </c>
      <c r="Z86" s="156">
        <v>137</v>
      </c>
    </row>
    <row r="87" spans="1:26" x14ac:dyDescent="0.2">
      <c r="A87" s="9" t="s">
        <v>69</v>
      </c>
      <c r="B87" s="118" t="s">
        <v>96</v>
      </c>
      <c r="C87" s="118" t="s">
        <v>96</v>
      </c>
      <c r="D87" s="118" t="s">
        <v>96</v>
      </c>
      <c r="E87" s="118" t="s">
        <v>96</v>
      </c>
      <c r="F87" s="118" t="s">
        <v>96</v>
      </c>
      <c r="G87" s="118" t="s">
        <v>96</v>
      </c>
      <c r="H87" s="118" t="s">
        <v>96</v>
      </c>
      <c r="I87" s="118">
        <v>670</v>
      </c>
      <c r="J87" s="118">
        <v>200</v>
      </c>
      <c r="K87" s="118" t="s">
        <v>96</v>
      </c>
      <c r="L87" s="118" t="s">
        <v>96</v>
      </c>
      <c r="M87" s="21" t="s">
        <v>96</v>
      </c>
      <c r="N87" s="118" t="s">
        <v>96</v>
      </c>
      <c r="O87" s="118" t="s">
        <v>96</v>
      </c>
      <c r="P87" s="118" t="s">
        <v>96</v>
      </c>
      <c r="Q87" s="118" t="s">
        <v>96</v>
      </c>
      <c r="R87" s="118">
        <v>40</v>
      </c>
      <c r="S87" s="118">
        <v>7</v>
      </c>
      <c r="T87" s="134">
        <v>70</v>
      </c>
      <c r="U87" s="134">
        <v>40</v>
      </c>
      <c r="V87" s="134">
        <v>360</v>
      </c>
      <c r="W87" s="134">
        <v>336</v>
      </c>
      <c r="X87" s="156" t="s">
        <v>96</v>
      </c>
      <c r="Y87" s="156" t="s">
        <v>96</v>
      </c>
      <c r="Z87" s="156" t="s">
        <v>96</v>
      </c>
    </row>
    <row r="88" spans="1:26" x14ac:dyDescent="0.2">
      <c r="A88" s="9" t="s">
        <v>70</v>
      </c>
      <c r="B88" s="118">
        <v>85</v>
      </c>
      <c r="C88" s="118">
        <v>1312</v>
      </c>
      <c r="D88" s="118">
        <v>632</v>
      </c>
      <c r="E88" s="118">
        <v>865</v>
      </c>
      <c r="F88" s="118" t="s">
        <v>96</v>
      </c>
      <c r="G88" s="118">
        <v>216</v>
      </c>
      <c r="H88" s="118">
        <v>271</v>
      </c>
      <c r="I88" s="118">
        <v>176</v>
      </c>
      <c r="J88" s="118">
        <v>830</v>
      </c>
      <c r="K88" s="66">
        <v>1005</v>
      </c>
      <c r="L88" s="118">
        <v>810</v>
      </c>
      <c r="M88" s="21">
        <v>71</v>
      </c>
      <c r="N88" s="118">
        <v>1403</v>
      </c>
      <c r="O88" s="118">
        <v>319</v>
      </c>
      <c r="P88" s="118">
        <v>579</v>
      </c>
      <c r="Q88" s="118">
        <v>489</v>
      </c>
      <c r="R88" s="118">
        <v>315</v>
      </c>
      <c r="S88" s="118">
        <v>177</v>
      </c>
      <c r="T88" s="134">
        <v>60</v>
      </c>
      <c r="U88" s="134">
        <v>600</v>
      </c>
      <c r="V88" s="134">
        <v>371</v>
      </c>
      <c r="W88" s="134">
        <v>266</v>
      </c>
      <c r="X88" s="134">
        <v>312</v>
      </c>
      <c r="Y88" s="156">
        <v>1768</v>
      </c>
      <c r="Z88" s="156">
        <v>1003</v>
      </c>
    </row>
    <row r="89" spans="1:26" x14ac:dyDescent="0.2">
      <c r="A89" s="9" t="s">
        <v>72</v>
      </c>
      <c r="B89" s="118" t="s">
        <v>96</v>
      </c>
      <c r="C89" s="118">
        <v>1350</v>
      </c>
      <c r="D89" s="118">
        <v>774</v>
      </c>
      <c r="E89" s="118" t="s">
        <v>96</v>
      </c>
      <c r="F89" s="118" t="s">
        <v>96</v>
      </c>
      <c r="G89" s="118">
        <v>750</v>
      </c>
      <c r="H89" s="118">
        <v>375</v>
      </c>
      <c r="I89" s="118" t="s">
        <v>96</v>
      </c>
      <c r="J89" s="118">
        <v>100</v>
      </c>
      <c r="K89" s="66">
        <v>380</v>
      </c>
      <c r="L89" s="118">
        <v>250</v>
      </c>
      <c r="M89" s="21">
        <v>1528</v>
      </c>
      <c r="N89" s="118">
        <v>15</v>
      </c>
      <c r="O89" s="118">
        <v>425</v>
      </c>
      <c r="P89" s="118">
        <v>24</v>
      </c>
      <c r="Q89" s="118">
        <v>1250</v>
      </c>
      <c r="R89" s="118">
        <v>8</v>
      </c>
      <c r="S89" s="118">
        <v>50</v>
      </c>
      <c r="T89" s="134">
        <v>419</v>
      </c>
      <c r="U89" s="134">
        <v>81</v>
      </c>
      <c r="V89" s="134" t="s">
        <v>96</v>
      </c>
      <c r="W89" s="134">
        <v>100</v>
      </c>
      <c r="X89" s="134">
        <v>1844</v>
      </c>
      <c r="Y89" s="156">
        <v>1142</v>
      </c>
      <c r="Z89" s="156">
        <v>513</v>
      </c>
    </row>
    <row r="90" spans="1:26" x14ac:dyDescent="0.2">
      <c r="A90" s="9" t="s">
        <v>73</v>
      </c>
      <c r="B90" s="118">
        <v>1220</v>
      </c>
      <c r="C90" s="118">
        <v>20</v>
      </c>
      <c r="D90" s="118" t="s">
        <v>96</v>
      </c>
      <c r="E90" s="118">
        <v>100</v>
      </c>
      <c r="F90" s="118" t="s">
        <v>96</v>
      </c>
      <c r="G90" s="118">
        <v>100</v>
      </c>
      <c r="H90" s="118" t="s">
        <v>96</v>
      </c>
      <c r="I90" s="118" t="s">
        <v>96</v>
      </c>
      <c r="J90" s="118">
        <v>850</v>
      </c>
      <c r="K90" s="66">
        <v>600</v>
      </c>
      <c r="L90" s="118">
        <v>210</v>
      </c>
      <c r="M90" s="21" t="s">
        <v>96</v>
      </c>
      <c r="N90" s="118" t="s">
        <v>96</v>
      </c>
      <c r="O90" s="118" t="s">
        <v>96</v>
      </c>
      <c r="P90" s="118">
        <v>100</v>
      </c>
      <c r="Q90" s="118">
        <v>394</v>
      </c>
      <c r="R90" s="118">
        <v>260</v>
      </c>
      <c r="S90" s="118">
        <v>491</v>
      </c>
      <c r="T90" s="134">
        <v>322</v>
      </c>
      <c r="U90" s="134">
        <v>180</v>
      </c>
      <c r="V90" s="134">
        <v>468</v>
      </c>
      <c r="W90" s="134">
        <v>651</v>
      </c>
      <c r="X90" s="156" t="s">
        <v>96</v>
      </c>
      <c r="Y90" s="156">
        <v>400</v>
      </c>
      <c r="Z90" s="156">
        <v>300</v>
      </c>
    </row>
    <row r="91" spans="1:26" x14ac:dyDescent="0.2">
      <c r="A91" s="9" t="s">
        <v>74</v>
      </c>
      <c r="B91" s="118">
        <v>510</v>
      </c>
      <c r="C91" s="118">
        <v>221</v>
      </c>
      <c r="D91" s="118">
        <v>656</v>
      </c>
      <c r="E91" s="118">
        <v>428</v>
      </c>
      <c r="F91" s="118">
        <v>1324</v>
      </c>
      <c r="G91" s="118">
        <v>1174</v>
      </c>
      <c r="H91" s="118">
        <v>431</v>
      </c>
      <c r="I91" s="118">
        <v>1241</v>
      </c>
      <c r="J91" s="118">
        <v>1014</v>
      </c>
      <c r="K91" s="66">
        <v>286</v>
      </c>
      <c r="L91" s="118">
        <v>1014</v>
      </c>
      <c r="M91" s="21">
        <v>442</v>
      </c>
      <c r="N91" s="118">
        <v>349</v>
      </c>
      <c r="O91" s="118">
        <v>224</v>
      </c>
      <c r="P91" s="118">
        <v>236</v>
      </c>
      <c r="Q91" s="118">
        <v>102</v>
      </c>
      <c r="R91" s="118">
        <v>511</v>
      </c>
      <c r="S91" s="118">
        <v>132</v>
      </c>
      <c r="T91" s="134" t="s">
        <v>96</v>
      </c>
      <c r="U91" s="134">
        <v>72</v>
      </c>
      <c r="V91" s="134">
        <v>365</v>
      </c>
      <c r="W91" s="134">
        <v>30</v>
      </c>
      <c r="X91" s="134">
        <v>434</v>
      </c>
      <c r="Y91" s="156">
        <v>796</v>
      </c>
      <c r="Z91" s="156">
        <v>1713</v>
      </c>
    </row>
    <row r="92" spans="1:26" x14ac:dyDescent="0.2">
      <c r="A92" s="9" t="s">
        <v>75</v>
      </c>
      <c r="B92" s="118">
        <v>780</v>
      </c>
      <c r="C92" s="118">
        <v>181</v>
      </c>
      <c r="D92" s="118">
        <v>170</v>
      </c>
      <c r="E92" s="118">
        <v>650</v>
      </c>
      <c r="F92" s="118">
        <v>100</v>
      </c>
      <c r="G92" s="118">
        <v>550</v>
      </c>
      <c r="H92" s="118">
        <v>40</v>
      </c>
      <c r="I92" s="118">
        <v>816</v>
      </c>
      <c r="J92" s="118">
        <v>373</v>
      </c>
      <c r="K92" s="66">
        <v>650</v>
      </c>
      <c r="L92" s="118" t="s">
        <v>96</v>
      </c>
      <c r="M92" s="21">
        <v>2262</v>
      </c>
      <c r="N92" s="118">
        <v>356</v>
      </c>
      <c r="O92" s="118">
        <v>226</v>
      </c>
      <c r="P92" s="118">
        <v>150</v>
      </c>
      <c r="Q92" s="118">
        <v>190</v>
      </c>
      <c r="R92" s="118">
        <v>357</v>
      </c>
      <c r="S92" s="118">
        <v>180</v>
      </c>
      <c r="T92" s="134">
        <v>402</v>
      </c>
      <c r="U92" s="134">
        <v>538</v>
      </c>
      <c r="V92" s="134">
        <v>772</v>
      </c>
      <c r="W92" s="134">
        <v>294</v>
      </c>
      <c r="X92" s="134">
        <v>1626</v>
      </c>
      <c r="Y92" s="156">
        <v>2327</v>
      </c>
      <c r="Z92" s="156">
        <v>2575</v>
      </c>
    </row>
    <row r="93" spans="1:26" x14ac:dyDescent="0.2">
      <c r="A93" s="9" t="s">
        <v>76</v>
      </c>
      <c r="B93" s="118" t="s">
        <v>96</v>
      </c>
      <c r="C93" s="118" t="s">
        <v>96</v>
      </c>
      <c r="D93" s="118" t="s">
        <v>96</v>
      </c>
      <c r="E93" s="118">
        <v>72</v>
      </c>
      <c r="F93" s="118">
        <v>375</v>
      </c>
      <c r="G93" s="118">
        <v>40</v>
      </c>
      <c r="H93" s="118">
        <v>375</v>
      </c>
      <c r="I93" s="118">
        <v>150</v>
      </c>
      <c r="J93" s="118">
        <v>600</v>
      </c>
      <c r="K93" s="118" t="s">
        <v>96</v>
      </c>
      <c r="L93" s="118">
        <v>500</v>
      </c>
      <c r="M93" s="21">
        <v>124</v>
      </c>
      <c r="N93" s="118">
        <v>175</v>
      </c>
      <c r="O93" s="118">
        <v>40</v>
      </c>
      <c r="P93" s="118" t="s">
        <v>96</v>
      </c>
      <c r="Q93" s="118" t="s">
        <v>96</v>
      </c>
      <c r="R93" s="118">
        <v>100</v>
      </c>
      <c r="S93" s="118">
        <v>15</v>
      </c>
      <c r="T93" s="134">
        <v>1020</v>
      </c>
      <c r="U93" s="134" t="s">
        <v>96</v>
      </c>
      <c r="V93" s="134" t="s">
        <v>96</v>
      </c>
      <c r="W93" s="156" t="s">
        <v>96</v>
      </c>
      <c r="X93" s="156" t="s">
        <v>96</v>
      </c>
      <c r="Y93" s="156">
        <v>35</v>
      </c>
      <c r="Z93" s="156">
        <v>410</v>
      </c>
    </row>
    <row r="94" spans="1:26" x14ac:dyDescent="0.2">
      <c r="A94" s="9" t="s">
        <v>77</v>
      </c>
      <c r="B94" s="118" t="s">
        <v>96</v>
      </c>
      <c r="C94" s="118" t="s">
        <v>96</v>
      </c>
      <c r="D94" s="118">
        <v>250</v>
      </c>
      <c r="E94" s="118">
        <v>350</v>
      </c>
      <c r="F94" s="118" t="s">
        <v>96</v>
      </c>
      <c r="G94" s="118">
        <v>200</v>
      </c>
      <c r="H94" s="118">
        <v>50</v>
      </c>
      <c r="I94" s="118">
        <v>60</v>
      </c>
      <c r="J94" s="118">
        <v>360</v>
      </c>
      <c r="K94" s="66">
        <v>80</v>
      </c>
      <c r="L94" s="118" t="s">
        <v>96</v>
      </c>
      <c r="M94" s="21" t="s">
        <v>96</v>
      </c>
      <c r="N94" s="118">
        <v>75</v>
      </c>
      <c r="O94" s="118">
        <v>39</v>
      </c>
      <c r="P94" s="118">
        <v>90</v>
      </c>
      <c r="Q94" s="118">
        <v>25</v>
      </c>
      <c r="R94" s="118">
        <v>120</v>
      </c>
      <c r="S94" s="118">
        <v>535</v>
      </c>
      <c r="T94" s="134">
        <v>402</v>
      </c>
      <c r="U94" s="134" t="s">
        <v>96</v>
      </c>
      <c r="V94" s="134" t="s">
        <v>96</v>
      </c>
      <c r="W94" s="156" t="s">
        <v>96</v>
      </c>
      <c r="X94" s="134">
        <v>8</v>
      </c>
      <c r="Y94" s="156">
        <v>250</v>
      </c>
      <c r="Z94" s="156">
        <v>232</v>
      </c>
    </row>
    <row r="95" spans="1:26" ht="18" x14ac:dyDescent="0.2">
      <c r="A95" s="8" t="s">
        <v>139</v>
      </c>
      <c r="B95" s="120">
        <v>1309</v>
      </c>
      <c r="C95" s="120">
        <v>794</v>
      </c>
      <c r="D95" s="120">
        <v>1175</v>
      </c>
      <c r="E95" s="120">
        <v>1980</v>
      </c>
      <c r="F95" s="120">
        <v>2192</v>
      </c>
      <c r="G95" s="120">
        <v>672</v>
      </c>
      <c r="H95" s="120">
        <v>842</v>
      </c>
      <c r="I95" s="120">
        <v>2355</v>
      </c>
      <c r="J95" s="120">
        <v>2155</v>
      </c>
      <c r="K95" s="65">
        <v>1611</v>
      </c>
      <c r="L95" s="120">
        <v>2467</v>
      </c>
      <c r="M95" s="22">
        <v>1530</v>
      </c>
      <c r="N95" s="120">
        <v>1241</v>
      </c>
      <c r="O95" s="120">
        <v>1966</v>
      </c>
      <c r="P95" s="120">
        <v>1207</v>
      </c>
      <c r="Q95" s="120">
        <v>1519</v>
      </c>
      <c r="R95" s="120">
        <v>1454</v>
      </c>
      <c r="S95" s="120">
        <v>1767</v>
      </c>
      <c r="T95" s="133">
        <v>721</v>
      </c>
      <c r="U95" s="133">
        <v>991</v>
      </c>
      <c r="V95" s="133">
        <v>2015</v>
      </c>
      <c r="W95" s="133">
        <v>675</v>
      </c>
      <c r="X95" s="133">
        <v>1157</v>
      </c>
      <c r="Y95" s="155">
        <v>937</v>
      </c>
      <c r="Z95" s="155">
        <v>767</v>
      </c>
    </row>
    <row r="96" spans="1:26" x14ac:dyDescent="0.2">
      <c r="A96" s="9" t="s">
        <v>67</v>
      </c>
      <c r="B96" s="118">
        <v>54</v>
      </c>
      <c r="C96" s="118" t="s">
        <v>96</v>
      </c>
      <c r="D96" s="118">
        <v>25</v>
      </c>
      <c r="E96" s="118" t="s">
        <v>96</v>
      </c>
      <c r="F96" s="118" t="s">
        <v>96</v>
      </c>
      <c r="G96" s="118">
        <v>92</v>
      </c>
      <c r="H96" s="118" t="s">
        <v>96</v>
      </c>
      <c r="I96" s="118">
        <v>400</v>
      </c>
      <c r="J96" s="118">
        <v>200</v>
      </c>
      <c r="K96" s="66">
        <v>75</v>
      </c>
      <c r="L96" s="118">
        <v>500</v>
      </c>
      <c r="M96" s="21">
        <v>11</v>
      </c>
      <c r="N96" s="118">
        <v>180</v>
      </c>
      <c r="O96" s="118">
        <v>570</v>
      </c>
      <c r="P96" s="118">
        <v>14</v>
      </c>
      <c r="Q96" s="118" t="s">
        <v>96</v>
      </c>
      <c r="R96" s="118">
        <v>30</v>
      </c>
      <c r="S96" s="118">
        <v>300</v>
      </c>
      <c r="T96" s="134">
        <v>265</v>
      </c>
      <c r="U96" s="134">
        <v>329</v>
      </c>
      <c r="V96" s="134" t="s">
        <v>96</v>
      </c>
      <c r="W96" s="134">
        <v>200</v>
      </c>
      <c r="X96" s="156" t="s">
        <v>96</v>
      </c>
      <c r="Y96" s="156">
        <v>330</v>
      </c>
      <c r="Z96" s="156">
        <v>50</v>
      </c>
    </row>
    <row r="97" spans="1:26" x14ac:dyDescent="0.2">
      <c r="A97" s="9" t="s">
        <v>78</v>
      </c>
      <c r="B97" s="118">
        <v>25</v>
      </c>
      <c r="C97" s="118">
        <v>184</v>
      </c>
      <c r="D97" s="118">
        <v>54</v>
      </c>
      <c r="E97" s="118">
        <v>1660</v>
      </c>
      <c r="F97" s="118">
        <v>40</v>
      </c>
      <c r="G97" s="118">
        <v>120</v>
      </c>
      <c r="H97" s="118">
        <v>254</v>
      </c>
      <c r="I97" s="118">
        <v>665</v>
      </c>
      <c r="J97" s="118">
        <v>835</v>
      </c>
      <c r="K97" s="66">
        <v>263</v>
      </c>
      <c r="L97" s="118" t="s">
        <v>96</v>
      </c>
      <c r="M97" s="21">
        <v>45</v>
      </c>
      <c r="N97" s="118">
        <v>661</v>
      </c>
      <c r="O97" s="118">
        <v>276</v>
      </c>
      <c r="P97" s="118">
        <v>499</v>
      </c>
      <c r="Q97" s="118">
        <v>623</v>
      </c>
      <c r="R97" s="118">
        <v>550</v>
      </c>
      <c r="S97" s="118">
        <v>240</v>
      </c>
      <c r="T97" s="134">
        <v>46</v>
      </c>
      <c r="U97" s="134">
        <v>44</v>
      </c>
      <c r="V97" s="134">
        <v>289</v>
      </c>
      <c r="W97" s="134">
        <v>32</v>
      </c>
      <c r="X97" s="134">
        <v>50</v>
      </c>
      <c r="Y97" s="156">
        <v>200</v>
      </c>
      <c r="Z97" s="156">
        <v>52</v>
      </c>
    </row>
    <row r="98" spans="1:26" x14ac:dyDescent="0.2">
      <c r="A98" s="9" t="s">
        <v>71</v>
      </c>
      <c r="B98" s="118">
        <v>600</v>
      </c>
      <c r="C98" s="118">
        <v>25</v>
      </c>
      <c r="D98" s="118" t="s">
        <v>96</v>
      </c>
      <c r="E98" s="118">
        <v>320</v>
      </c>
      <c r="F98" s="118">
        <v>20</v>
      </c>
      <c r="G98" s="118" t="s">
        <v>96</v>
      </c>
      <c r="H98" s="118">
        <v>410</v>
      </c>
      <c r="I98" s="118">
        <v>700</v>
      </c>
      <c r="J98" s="118">
        <v>100</v>
      </c>
      <c r="K98" s="66">
        <v>700</v>
      </c>
      <c r="L98" s="118">
        <v>522</v>
      </c>
      <c r="M98" s="21" t="s">
        <v>96</v>
      </c>
      <c r="N98" s="118" t="s">
        <v>96</v>
      </c>
      <c r="O98" s="118" t="s">
        <v>96</v>
      </c>
      <c r="P98" s="118">
        <v>25</v>
      </c>
      <c r="Q98" s="118">
        <v>20</v>
      </c>
      <c r="R98" s="118">
        <v>20</v>
      </c>
      <c r="S98" s="118" t="s">
        <v>96</v>
      </c>
      <c r="T98" s="134" t="s">
        <v>96</v>
      </c>
      <c r="U98" s="134">
        <v>200</v>
      </c>
      <c r="V98" s="134" t="s">
        <v>96</v>
      </c>
      <c r="W98" s="134">
        <v>40</v>
      </c>
      <c r="X98" s="156" t="s">
        <v>96</v>
      </c>
      <c r="Y98" s="156" t="s">
        <v>96</v>
      </c>
      <c r="Z98" s="156" t="s">
        <v>96</v>
      </c>
    </row>
    <row r="99" spans="1:26" x14ac:dyDescent="0.2">
      <c r="A99" s="9" t="s">
        <v>79</v>
      </c>
      <c r="B99" s="118" t="s">
        <v>96</v>
      </c>
      <c r="C99" s="118" t="s">
        <v>96</v>
      </c>
      <c r="D99" s="118" t="s">
        <v>96</v>
      </c>
      <c r="E99" s="118" t="s">
        <v>96</v>
      </c>
      <c r="F99" s="118" t="s">
        <v>96</v>
      </c>
      <c r="G99" s="118" t="s">
        <v>96</v>
      </c>
      <c r="H99" s="118" t="s">
        <v>96</v>
      </c>
      <c r="I99" s="118">
        <v>200</v>
      </c>
      <c r="J99" s="118">
        <v>40</v>
      </c>
      <c r="K99" s="66">
        <v>20</v>
      </c>
      <c r="L99" s="118" t="s">
        <v>96</v>
      </c>
      <c r="M99" s="21" t="s">
        <v>96</v>
      </c>
      <c r="N99" s="118">
        <v>150</v>
      </c>
      <c r="O99" s="118" t="s">
        <v>96</v>
      </c>
      <c r="P99" s="118" t="s">
        <v>96</v>
      </c>
      <c r="Q99" s="118">
        <v>500</v>
      </c>
      <c r="R99" s="118">
        <v>84</v>
      </c>
      <c r="S99" s="118" t="s">
        <v>96</v>
      </c>
      <c r="T99" s="134" t="s">
        <v>96</v>
      </c>
      <c r="U99" s="134" t="s">
        <v>96</v>
      </c>
      <c r="V99" s="134">
        <v>20</v>
      </c>
      <c r="W99" s="134">
        <v>20</v>
      </c>
      <c r="X99" s="156" t="s">
        <v>96</v>
      </c>
      <c r="Y99" s="156">
        <v>85</v>
      </c>
      <c r="Z99" s="156">
        <v>40</v>
      </c>
    </row>
    <row r="100" spans="1:26" x14ac:dyDescent="0.2">
      <c r="A100" s="9" t="s">
        <v>80</v>
      </c>
      <c r="B100" s="118" t="s">
        <v>96</v>
      </c>
      <c r="C100" s="118">
        <v>200</v>
      </c>
      <c r="D100" s="118" t="s">
        <v>96</v>
      </c>
      <c r="E100" s="118" t="s">
        <v>96</v>
      </c>
      <c r="F100" s="118">
        <v>350</v>
      </c>
      <c r="G100" s="118">
        <v>180</v>
      </c>
      <c r="H100" s="118" t="s">
        <v>96</v>
      </c>
      <c r="I100" s="118" t="s">
        <v>96</v>
      </c>
      <c r="J100" s="118" t="s">
        <v>96</v>
      </c>
      <c r="K100" s="118" t="s">
        <v>96</v>
      </c>
      <c r="L100" s="118">
        <v>625</v>
      </c>
      <c r="M100" s="21">
        <v>400</v>
      </c>
      <c r="N100" s="118" t="s">
        <v>96</v>
      </c>
      <c r="O100" s="118">
        <v>600</v>
      </c>
      <c r="P100" s="118">
        <v>372</v>
      </c>
      <c r="Q100" s="118" t="s">
        <v>96</v>
      </c>
      <c r="R100" s="118" t="s">
        <v>96</v>
      </c>
      <c r="S100" s="118">
        <v>479</v>
      </c>
      <c r="T100" s="134" t="s">
        <v>96</v>
      </c>
      <c r="U100" s="134">
        <v>18</v>
      </c>
      <c r="V100" s="134">
        <v>1148</v>
      </c>
      <c r="W100" s="156" t="s">
        <v>96</v>
      </c>
      <c r="X100" s="156" t="s">
        <v>96</v>
      </c>
      <c r="Y100" s="156">
        <v>22</v>
      </c>
      <c r="Z100" s="156">
        <v>305</v>
      </c>
    </row>
    <row r="101" spans="1:26" x14ac:dyDescent="0.2">
      <c r="A101" s="9" t="s">
        <v>130</v>
      </c>
      <c r="B101" s="118">
        <v>250</v>
      </c>
      <c r="C101" s="118">
        <v>300</v>
      </c>
      <c r="D101" s="118">
        <v>860</v>
      </c>
      <c r="E101" s="118" t="s">
        <v>96</v>
      </c>
      <c r="F101" s="118">
        <v>1425</v>
      </c>
      <c r="G101" s="118">
        <v>50</v>
      </c>
      <c r="H101" s="118" t="s">
        <v>96</v>
      </c>
      <c r="I101" s="118">
        <v>200</v>
      </c>
      <c r="J101" s="118">
        <v>770</v>
      </c>
      <c r="K101" s="66">
        <v>64</v>
      </c>
      <c r="L101" s="118">
        <v>340</v>
      </c>
      <c r="M101" s="21" t="s">
        <v>96</v>
      </c>
      <c r="N101" s="118">
        <v>170</v>
      </c>
      <c r="O101" s="118">
        <v>75</v>
      </c>
      <c r="P101" s="118">
        <v>112</v>
      </c>
      <c r="Q101" s="118" t="s">
        <v>96</v>
      </c>
      <c r="R101" s="118" t="s">
        <v>96</v>
      </c>
      <c r="S101" s="118">
        <v>43</v>
      </c>
      <c r="T101" s="134">
        <v>50</v>
      </c>
      <c r="U101" s="134">
        <v>140</v>
      </c>
      <c r="V101" s="134" t="s">
        <v>96</v>
      </c>
      <c r="W101" s="156" t="s">
        <v>96</v>
      </c>
      <c r="X101" s="134">
        <v>500</v>
      </c>
      <c r="Y101" s="156">
        <v>200</v>
      </c>
      <c r="Z101" s="156">
        <v>125</v>
      </c>
    </row>
    <row r="102" spans="1:26" x14ac:dyDescent="0.2">
      <c r="A102" s="9" t="s">
        <v>82</v>
      </c>
      <c r="B102" s="118">
        <v>150</v>
      </c>
      <c r="C102" s="118">
        <v>15</v>
      </c>
      <c r="D102" s="118">
        <v>236</v>
      </c>
      <c r="E102" s="118" t="s">
        <v>96</v>
      </c>
      <c r="F102" s="118" t="s">
        <v>96</v>
      </c>
      <c r="G102" s="118">
        <v>230</v>
      </c>
      <c r="H102" s="118">
        <v>150</v>
      </c>
      <c r="I102" s="118" t="s">
        <v>96</v>
      </c>
      <c r="J102" s="118" t="s">
        <v>96</v>
      </c>
      <c r="K102" s="66">
        <v>189</v>
      </c>
      <c r="L102" s="118">
        <v>460</v>
      </c>
      <c r="M102" s="21">
        <v>664</v>
      </c>
      <c r="N102" s="118">
        <v>70</v>
      </c>
      <c r="O102" s="118">
        <v>420</v>
      </c>
      <c r="P102" s="118" t="s">
        <v>96</v>
      </c>
      <c r="Q102" s="118" t="s">
        <v>96</v>
      </c>
      <c r="R102" s="118">
        <v>400</v>
      </c>
      <c r="S102" s="118" t="s">
        <v>96</v>
      </c>
      <c r="T102" s="134">
        <v>10</v>
      </c>
      <c r="U102" s="134">
        <v>10</v>
      </c>
      <c r="V102" s="134">
        <v>409</v>
      </c>
      <c r="W102" s="134">
        <v>33</v>
      </c>
      <c r="X102" s="156" t="s">
        <v>96</v>
      </c>
      <c r="Y102" s="156" t="s">
        <v>96</v>
      </c>
      <c r="Z102" s="156" t="s">
        <v>96</v>
      </c>
    </row>
    <row r="103" spans="1:26" x14ac:dyDescent="0.2">
      <c r="A103" s="9" t="s">
        <v>83</v>
      </c>
      <c r="B103" s="118" t="s">
        <v>96</v>
      </c>
      <c r="C103" s="118" t="s">
        <v>96</v>
      </c>
      <c r="D103" s="118" t="s">
        <v>96</v>
      </c>
      <c r="E103" s="118" t="s">
        <v>96</v>
      </c>
      <c r="F103" s="118" t="s">
        <v>96</v>
      </c>
      <c r="G103" s="118" t="s">
        <v>96</v>
      </c>
      <c r="H103" s="118" t="s">
        <v>96</v>
      </c>
      <c r="I103" s="118" t="s">
        <v>96</v>
      </c>
      <c r="J103" s="118" t="s">
        <v>96</v>
      </c>
      <c r="K103" s="118" t="s">
        <v>96</v>
      </c>
      <c r="L103" s="118">
        <v>10</v>
      </c>
      <c r="M103" s="21" t="s">
        <v>96</v>
      </c>
      <c r="N103" s="118" t="s">
        <v>96</v>
      </c>
      <c r="O103" s="118" t="s">
        <v>96</v>
      </c>
      <c r="P103" s="118" t="s">
        <v>96</v>
      </c>
      <c r="Q103" s="118">
        <v>31</v>
      </c>
      <c r="R103" s="118" t="s">
        <v>96</v>
      </c>
      <c r="S103" s="118">
        <v>5</v>
      </c>
      <c r="T103" s="134" t="s">
        <v>96</v>
      </c>
      <c r="U103" s="134" t="s">
        <v>96</v>
      </c>
      <c r="V103" s="134" t="s">
        <v>96</v>
      </c>
      <c r="W103" s="156" t="s">
        <v>96</v>
      </c>
      <c r="X103" s="156" t="s">
        <v>96</v>
      </c>
      <c r="Y103" s="156">
        <v>20</v>
      </c>
      <c r="Z103" s="156" t="s">
        <v>96</v>
      </c>
    </row>
    <row r="104" spans="1:26" x14ac:dyDescent="0.2">
      <c r="A104" s="9" t="s">
        <v>84</v>
      </c>
      <c r="B104" s="118">
        <v>230</v>
      </c>
      <c r="C104" s="118">
        <v>70</v>
      </c>
      <c r="D104" s="118" t="s">
        <v>96</v>
      </c>
      <c r="E104" s="118" t="s">
        <v>96</v>
      </c>
      <c r="F104" s="118">
        <v>12</v>
      </c>
      <c r="G104" s="118" t="s">
        <v>96</v>
      </c>
      <c r="H104" s="118" t="s">
        <v>96</v>
      </c>
      <c r="I104" s="118">
        <v>190</v>
      </c>
      <c r="J104" s="118">
        <v>190</v>
      </c>
      <c r="K104" s="66">
        <v>300</v>
      </c>
      <c r="L104" s="118" t="s">
        <v>96</v>
      </c>
      <c r="M104" s="21">
        <v>400</v>
      </c>
      <c r="N104" s="118" t="s">
        <v>96</v>
      </c>
      <c r="O104" s="118">
        <v>25</v>
      </c>
      <c r="P104" s="118">
        <v>175</v>
      </c>
      <c r="Q104" s="118">
        <v>100</v>
      </c>
      <c r="R104" s="118">
        <v>370</v>
      </c>
      <c r="S104" s="118">
        <v>700</v>
      </c>
      <c r="T104" s="134">
        <v>350</v>
      </c>
      <c r="U104" s="134">
        <v>250</v>
      </c>
      <c r="V104" s="134">
        <v>125</v>
      </c>
      <c r="W104" s="134">
        <v>350</v>
      </c>
      <c r="X104" s="134">
        <v>607</v>
      </c>
      <c r="Y104" s="156">
        <v>80</v>
      </c>
      <c r="Z104" s="156">
        <v>195</v>
      </c>
    </row>
    <row r="105" spans="1:26" ht="19.5" x14ac:dyDescent="0.2">
      <c r="A105" s="9" t="s">
        <v>85</v>
      </c>
      <c r="B105" s="118" t="s">
        <v>96</v>
      </c>
      <c r="C105" s="118" t="s">
        <v>96</v>
      </c>
      <c r="D105" s="118" t="s">
        <v>96</v>
      </c>
      <c r="E105" s="118" t="s">
        <v>96</v>
      </c>
      <c r="F105" s="118" t="s">
        <v>96</v>
      </c>
      <c r="G105" s="118" t="s">
        <v>96</v>
      </c>
      <c r="H105" s="118" t="s">
        <v>96</v>
      </c>
      <c r="I105" s="118" t="s">
        <v>96</v>
      </c>
      <c r="J105" s="118">
        <v>20</v>
      </c>
      <c r="K105" s="118" t="s">
        <v>96</v>
      </c>
      <c r="L105" s="118" t="s">
        <v>96</v>
      </c>
      <c r="M105" s="21" t="s">
        <v>96</v>
      </c>
      <c r="N105" s="118" t="s">
        <v>96</v>
      </c>
      <c r="O105" s="118" t="s">
        <v>96</v>
      </c>
      <c r="P105" s="118" t="s">
        <v>96</v>
      </c>
      <c r="Q105" s="118">
        <v>240</v>
      </c>
      <c r="R105" s="118" t="s">
        <v>96</v>
      </c>
      <c r="S105" s="118" t="s">
        <v>96</v>
      </c>
      <c r="T105" s="134" t="s">
        <v>96</v>
      </c>
      <c r="U105" s="134" t="s">
        <v>96</v>
      </c>
      <c r="V105" s="134" t="s">
        <v>96</v>
      </c>
      <c r="W105" s="156" t="s">
        <v>96</v>
      </c>
      <c r="X105" s="156" t="s">
        <v>96</v>
      </c>
      <c r="Y105" s="156" t="s">
        <v>96</v>
      </c>
      <c r="Z105" s="156" t="s">
        <v>96</v>
      </c>
    </row>
    <row r="106" spans="1:26" ht="20.25" thickBot="1" x14ac:dyDescent="0.25">
      <c r="A106" s="71" t="s">
        <v>86</v>
      </c>
      <c r="B106" s="127" t="s">
        <v>96</v>
      </c>
      <c r="C106" s="127" t="s">
        <v>96</v>
      </c>
      <c r="D106" s="127" t="s">
        <v>96</v>
      </c>
      <c r="E106" s="127" t="s">
        <v>96</v>
      </c>
      <c r="F106" s="127">
        <v>345</v>
      </c>
      <c r="G106" s="127" t="s">
        <v>96</v>
      </c>
      <c r="H106" s="127">
        <v>28</v>
      </c>
      <c r="I106" s="127" t="s">
        <v>96</v>
      </c>
      <c r="J106" s="127" t="s">
        <v>96</v>
      </c>
      <c r="K106" s="127" t="s">
        <v>96</v>
      </c>
      <c r="L106" s="127">
        <v>10</v>
      </c>
      <c r="M106" s="64">
        <v>10</v>
      </c>
      <c r="N106" s="127">
        <v>10</v>
      </c>
      <c r="O106" s="127" t="s">
        <v>96</v>
      </c>
      <c r="P106" s="127">
        <v>10</v>
      </c>
      <c r="Q106" s="127">
        <v>5</v>
      </c>
      <c r="R106" s="127" t="s">
        <v>96</v>
      </c>
      <c r="S106" s="127" t="s">
        <v>96</v>
      </c>
      <c r="T106" s="135" t="s">
        <v>96</v>
      </c>
      <c r="U106" s="135" t="s">
        <v>96</v>
      </c>
      <c r="V106" s="135">
        <v>24</v>
      </c>
      <c r="W106" s="135" t="s">
        <v>96</v>
      </c>
      <c r="X106" s="135" t="s">
        <v>96</v>
      </c>
      <c r="Y106" s="135" t="s">
        <v>96</v>
      </c>
      <c r="Z106" s="135" t="s">
        <v>96</v>
      </c>
    </row>
    <row r="107" spans="1:26" x14ac:dyDescent="0.2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</row>
    <row r="108" spans="1:26" x14ac:dyDescent="0.2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</row>
    <row r="109" spans="1:26" x14ac:dyDescent="0.2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</row>
    <row r="110" spans="1:26" x14ac:dyDescent="0.2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</row>
  </sheetData>
  <mergeCells count="3"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01">
    <tabColor rgb="FFC7E6A4"/>
  </sheetPr>
  <dimension ref="A1:Z146"/>
  <sheetViews>
    <sheetView zoomScale="80" zoomScaleNormal="80" workbookViewId="0">
      <pane ySplit="8" topLeftCell="A9" activePane="bottomLeft" state="frozen"/>
      <selection sqref="A1:T1"/>
      <selection pane="bottomLeft" activeCell="D1" sqref="D1"/>
    </sheetView>
  </sheetViews>
  <sheetFormatPr defaultColWidth="9.140625" defaultRowHeight="15" x14ac:dyDescent="0.25"/>
  <cols>
    <col min="1" max="1" width="18" style="1" customWidth="1"/>
    <col min="2" max="12" width="9.140625" style="1" customWidth="1"/>
    <col min="13" max="25" width="9.140625" style="12" customWidth="1"/>
    <col min="26" max="16384" width="9.140625" style="1"/>
  </cols>
  <sheetData>
    <row r="1" spans="1:26" ht="30.75" customHeight="1" x14ac:dyDescent="0.25"/>
    <row r="2" spans="1:26" x14ac:dyDescent="0.25">
      <c r="A2" s="195" t="s">
        <v>180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 x14ac:dyDescent="0.25">
      <c r="A3" s="196" t="s">
        <v>191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x14ac:dyDescent="0.25">
      <c r="A4" s="197" t="s">
        <v>119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</row>
    <row r="5" spans="1:26" x14ac:dyDescent="0.25">
      <c r="A5" s="11" t="s">
        <v>231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Z5" s="12"/>
    </row>
    <row r="6" spans="1:26" x14ac:dyDescent="0.25">
      <c r="A6" s="11" t="s">
        <v>273</v>
      </c>
      <c r="B6" s="11"/>
      <c r="C6" s="11"/>
      <c r="D6" s="11"/>
      <c r="E6" s="11"/>
      <c r="F6" s="11"/>
      <c r="G6" s="12"/>
      <c r="H6" s="12"/>
      <c r="I6" s="12"/>
      <c r="J6" s="12"/>
      <c r="K6" s="12"/>
      <c r="L6" s="12"/>
      <c r="Z6" s="12"/>
    </row>
    <row r="7" spans="1:26" ht="15.75" thickBot="1" x14ac:dyDescent="0.3">
      <c r="A7" s="68" t="s">
        <v>156</v>
      </c>
      <c r="B7" s="68"/>
      <c r="C7" s="68"/>
      <c r="D7" s="68"/>
      <c r="E7" s="68"/>
      <c r="F7" s="68"/>
      <c r="G7" s="25"/>
      <c r="H7" s="25"/>
      <c r="I7" s="25"/>
      <c r="J7" s="25"/>
      <c r="K7" s="25"/>
      <c r="L7" s="25"/>
      <c r="M7" s="25"/>
      <c r="N7" s="25"/>
      <c r="Z7" s="12"/>
    </row>
    <row r="8" spans="1:26" ht="15.75" thickBot="1" x14ac:dyDescent="0.3">
      <c r="A8" s="69"/>
      <c r="B8" s="168">
        <v>2000</v>
      </c>
      <c r="C8" s="168">
        <v>2001</v>
      </c>
      <c r="D8" s="168">
        <v>2002</v>
      </c>
      <c r="E8" s="168">
        <v>2003</v>
      </c>
      <c r="F8" s="168">
        <v>2004</v>
      </c>
      <c r="G8" s="168">
        <v>2005</v>
      </c>
      <c r="H8" s="168">
        <v>2006</v>
      </c>
      <c r="I8" s="168">
        <v>2007</v>
      </c>
      <c r="J8" s="168">
        <v>2008</v>
      </c>
      <c r="K8" s="168">
        <v>2009</v>
      </c>
      <c r="L8" s="168">
        <v>2010</v>
      </c>
      <c r="M8" s="168">
        <v>2011</v>
      </c>
      <c r="N8" s="168">
        <v>2012</v>
      </c>
      <c r="O8" s="168">
        <v>2013</v>
      </c>
      <c r="P8" s="168">
        <v>2014</v>
      </c>
      <c r="Q8" s="168">
        <v>2015</v>
      </c>
      <c r="R8" s="168">
        <v>2016</v>
      </c>
      <c r="S8" s="2">
        <v>2017</v>
      </c>
      <c r="T8" s="2">
        <v>2018</v>
      </c>
      <c r="U8" s="2">
        <v>2019</v>
      </c>
      <c r="V8" s="2">
        <v>2020</v>
      </c>
      <c r="W8" s="2">
        <v>2021</v>
      </c>
      <c r="X8" s="2">
        <v>2022</v>
      </c>
      <c r="Y8" s="2">
        <v>2023</v>
      </c>
      <c r="Z8" s="2">
        <v>2024</v>
      </c>
    </row>
    <row r="9" spans="1:26" x14ac:dyDescent="0.25">
      <c r="A9" s="29" t="s">
        <v>0</v>
      </c>
      <c r="B9" s="120">
        <v>17</v>
      </c>
      <c r="C9" s="120">
        <v>15</v>
      </c>
      <c r="D9" s="120">
        <v>15</v>
      </c>
      <c r="E9" s="120">
        <v>14</v>
      </c>
      <c r="F9" s="120">
        <v>13</v>
      </c>
      <c r="G9" s="120">
        <v>14</v>
      </c>
      <c r="H9" s="120">
        <v>16</v>
      </c>
      <c r="I9" s="120">
        <v>22</v>
      </c>
      <c r="J9" s="120">
        <v>18</v>
      </c>
      <c r="K9" s="120">
        <v>16</v>
      </c>
      <c r="L9" s="120">
        <v>19</v>
      </c>
      <c r="M9" s="120">
        <v>18</v>
      </c>
      <c r="N9" s="120">
        <v>13</v>
      </c>
      <c r="O9" s="120">
        <v>12</v>
      </c>
      <c r="P9" s="120">
        <v>13</v>
      </c>
      <c r="Q9" s="120">
        <v>16</v>
      </c>
      <c r="R9" s="120">
        <v>12</v>
      </c>
      <c r="S9" s="126">
        <v>14</v>
      </c>
      <c r="T9" s="120">
        <v>17</v>
      </c>
      <c r="U9" s="120">
        <v>14</v>
      </c>
      <c r="V9" s="120">
        <v>18</v>
      </c>
      <c r="W9" s="22">
        <v>15</v>
      </c>
      <c r="X9" s="157">
        <v>22</v>
      </c>
      <c r="Y9" s="22">
        <v>30</v>
      </c>
      <c r="Z9" s="22">
        <v>24</v>
      </c>
    </row>
    <row r="10" spans="1:26" ht="18" x14ac:dyDescent="0.25">
      <c r="A10" s="8" t="s">
        <v>92</v>
      </c>
      <c r="B10" s="120">
        <v>17</v>
      </c>
      <c r="C10" s="120">
        <v>16</v>
      </c>
      <c r="D10" s="120">
        <v>20</v>
      </c>
      <c r="E10" s="120">
        <v>17</v>
      </c>
      <c r="F10" s="120">
        <v>16</v>
      </c>
      <c r="G10" s="120">
        <v>16</v>
      </c>
      <c r="H10" s="120">
        <v>22</v>
      </c>
      <c r="I10" s="120">
        <v>12</v>
      </c>
      <c r="J10" s="120">
        <v>14</v>
      </c>
      <c r="K10" s="120">
        <v>10</v>
      </c>
      <c r="L10" s="120">
        <v>18</v>
      </c>
      <c r="M10" s="120">
        <v>14</v>
      </c>
      <c r="N10" s="120">
        <v>13</v>
      </c>
      <c r="O10" s="120">
        <v>8.1</v>
      </c>
      <c r="P10" s="120">
        <v>12</v>
      </c>
      <c r="Q10" s="120">
        <v>17</v>
      </c>
      <c r="R10" s="120">
        <v>19</v>
      </c>
      <c r="S10" s="120">
        <v>16</v>
      </c>
      <c r="T10" s="120">
        <v>30</v>
      </c>
      <c r="U10" s="120">
        <v>16</v>
      </c>
      <c r="V10" s="120">
        <v>21</v>
      </c>
      <c r="W10" s="22">
        <v>14</v>
      </c>
      <c r="X10" s="157">
        <v>26</v>
      </c>
      <c r="Y10" s="22">
        <v>43</v>
      </c>
      <c r="Z10" s="22">
        <v>24</v>
      </c>
    </row>
    <row r="11" spans="1:26" x14ac:dyDescent="0.25">
      <c r="A11" s="9" t="s">
        <v>1</v>
      </c>
      <c r="B11" s="118">
        <v>110</v>
      </c>
      <c r="C11" s="118">
        <v>1.7</v>
      </c>
      <c r="D11" s="118" t="s">
        <v>96</v>
      </c>
      <c r="E11" s="118" t="s">
        <v>96</v>
      </c>
      <c r="F11" s="118">
        <v>18</v>
      </c>
      <c r="G11" s="118">
        <v>81</v>
      </c>
      <c r="H11" s="118">
        <v>1.1000000000000001</v>
      </c>
      <c r="I11" s="118" t="s">
        <v>96</v>
      </c>
      <c r="J11" s="118">
        <v>8.9</v>
      </c>
      <c r="K11" s="118" t="s">
        <v>96</v>
      </c>
      <c r="L11" s="118">
        <v>47</v>
      </c>
      <c r="M11" s="118">
        <v>27</v>
      </c>
      <c r="N11" s="118">
        <v>15</v>
      </c>
      <c r="O11" s="118">
        <v>32</v>
      </c>
      <c r="P11" s="118" t="s">
        <v>96</v>
      </c>
      <c r="Q11" s="118">
        <v>0.6</v>
      </c>
      <c r="R11" s="118" t="s">
        <v>96</v>
      </c>
      <c r="S11" s="118">
        <v>20</v>
      </c>
      <c r="T11" s="118">
        <v>55</v>
      </c>
      <c r="U11" s="118">
        <v>33</v>
      </c>
      <c r="V11" s="118">
        <v>6.6</v>
      </c>
      <c r="W11" s="129">
        <v>0.8</v>
      </c>
      <c r="X11" s="158">
        <v>25</v>
      </c>
      <c r="Y11" s="21">
        <v>15</v>
      </c>
      <c r="Z11" s="21">
        <v>25</v>
      </c>
    </row>
    <row r="12" spans="1:26" x14ac:dyDescent="0.25">
      <c r="A12" s="9" t="s">
        <v>2</v>
      </c>
      <c r="B12" s="118">
        <v>41</v>
      </c>
      <c r="C12" s="118">
        <v>2.9</v>
      </c>
      <c r="D12" s="118">
        <v>39</v>
      </c>
      <c r="E12" s="118">
        <v>53</v>
      </c>
      <c r="F12" s="118" t="s">
        <v>96</v>
      </c>
      <c r="G12" s="118">
        <v>7.6</v>
      </c>
      <c r="H12" s="118">
        <v>40</v>
      </c>
      <c r="I12" s="118" t="s">
        <v>96</v>
      </c>
      <c r="J12" s="118">
        <v>23</v>
      </c>
      <c r="K12" s="118">
        <v>65</v>
      </c>
      <c r="L12" s="129">
        <v>2</v>
      </c>
      <c r="M12" s="118" t="s">
        <v>96</v>
      </c>
      <c r="N12" s="118">
        <v>33</v>
      </c>
      <c r="O12" s="129">
        <v>4</v>
      </c>
      <c r="P12" s="118">
        <v>2.2000000000000002</v>
      </c>
      <c r="Q12" s="118" t="s">
        <v>96</v>
      </c>
      <c r="R12" s="118">
        <v>16</v>
      </c>
      <c r="S12" s="118" t="s">
        <v>96</v>
      </c>
      <c r="T12" s="118">
        <v>1.7</v>
      </c>
      <c r="U12" s="118">
        <v>39</v>
      </c>
      <c r="V12" s="118">
        <v>18</v>
      </c>
      <c r="W12" s="129">
        <v>4.3</v>
      </c>
      <c r="X12" s="159">
        <v>1.3</v>
      </c>
      <c r="Y12" s="158" t="s">
        <v>96</v>
      </c>
      <c r="Z12" s="129">
        <v>3.1</v>
      </c>
    </row>
    <row r="13" spans="1:26" x14ac:dyDescent="0.25">
      <c r="A13" s="9" t="s">
        <v>3</v>
      </c>
      <c r="B13" s="118" t="s">
        <v>96</v>
      </c>
      <c r="C13" s="118">
        <v>12</v>
      </c>
      <c r="D13" s="118" t="s">
        <v>96</v>
      </c>
      <c r="E13" s="118" t="s">
        <v>96</v>
      </c>
      <c r="F13" s="118" t="s">
        <v>96</v>
      </c>
      <c r="G13" s="118" t="s">
        <v>96</v>
      </c>
      <c r="H13" s="118" t="s">
        <v>96</v>
      </c>
      <c r="I13" s="118">
        <v>10</v>
      </c>
      <c r="J13" s="118">
        <v>2.7</v>
      </c>
      <c r="K13" s="118">
        <v>4.0999999999999996</v>
      </c>
      <c r="L13" s="118" t="s">
        <v>96</v>
      </c>
      <c r="M13" s="118">
        <v>2.8</v>
      </c>
      <c r="N13" s="118">
        <v>3.8</v>
      </c>
      <c r="O13" s="118">
        <v>1.8</v>
      </c>
      <c r="P13" s="118" t="s">
        <v>96</v>
      </c>
      <c r="Q13" s="118">
        <v>5.5</v>
      </c>
      <c r="R13" s="129">
        <v>5</v>
      </c>
      <c r="S13" s="118">
        <v>5.4</v>
      </c>
      <c r="T13" s="118">
        <v>1.7</v>
      </c>
      <c r="U13" s="118">
        <v>19</v>
      </c>
      <c r="V13" s="118">
        <v>31</v>
      </c>
      <c r="W13" s="21">
        <v>28</v>
      </c>
      <c r="X13" s="158">
        <v>13</v>
      </c>
      <c r="Y13" s="21">
        <v>47</v>
      </c>
      <c r="Z13" s="129">
        <v>2.5</v>
      </c>
    </row>
    <row r="14" spans="1:26" x14ac:dyDescent="0.25">
      <c r="A14" s="9" t="s">
        <v>4</v>
      </c>
      <c r="B14" s="118">
        <v>0.4</v>
      </c>
      <c r="C14" s="118">
        <v>11</v>
      </c>
      <c r="D14" s="118">
        <v>6.3</v>
      </c>
      <c r="E14" s="118">
        <v>28</v>
      </c>
      <c r="F14" s="118">
        <v>10</v>
      </c>
      <c r="G14" s="118">
        <v>9.3000000000000007</v>
      </c>
      <c r="H14" s="118">
        <v>39</v>
      </c>
      <c r="I14" s="118">
        <v>49</v>
      </c>
      <c r="J14" s="118">
        <v>31</v>
      </c>
      <c r="K14" s="118">
        <v>1.5</v>
      </c>
      <c r="L14" s="118">
        <v>33</v>
      </c>
      <c r="M14" s="118">
        <v>43</v>
      </c>
      <c r="N14" s="118">
        <v>9.1999999999999993</v>
      </c>
      <c r="O14" s="118" t="s">
        <v>96</v>
      </c>
      <c r="P14" s="118">
        <v>46</v>
      </c>
      <c r="Q14" s="118">
        <v>97</v>
      </c>
      <c r="R14" s="118">
        <v>112</v>
      </c>
      <c r="S14" s="118">
        <v>17</v>
      </c>
      <c r="T14" s="118">
        <v>135</v>
      </c>
      <c r="U14" s="118">
        <v>0.9</v>
      </c>
      <c r="V14" s="118">
        <v>18</v>
      </c>
      <c r="W14" s="21">
        <v>13</v>
      </c>
      <c r="X14" s="158">
        <v>80</v>
      </c>
      <c r="Y14" s="21">
        <v>11</v>
      </c>
      <c r="Z14" s="21">
        <v>31</v>
      </c>
    </row>
    <row r="15" spans="1:26" x14ac:dyDescent="0.25">
      <c r="A15" s="9" t="s">
        <v>5</v>
      </c>
      <c r="B15" s="118" t="s">
        <v>96</v>
      </c>
      <c r="C15" s="118" t="s">
        <v>96</v>
      </c>
      <c r="D15" s="118" t="s">
        <v>96</v>
      </c>
      <c r="E15" s="118" t="s">
        <v>96</v>
      </c>
      <c r="F15" s="118">
        <v>22</v>
      </c>
      <c r="G15" s="118" t="s">
        <v>96</v>
      </c>
      <c r="H15" s="118">
        <v>23</v>
      </c>
      <c r="I15" s="118">
        <v>27</v>
      </c>
      <c r="J15" s="118" t="s">
        <v>96</v>
      </c>
      <c r="K15" s="118">
        <v>1.9</v>
      </c>
      <c r="L15" s="118" t="s">
        <v>96</v>
      </c>
      <c r="M15" s="118" t="s">
        <v>96</v>
      </c>
      <c r="N15" s="118">
        <v>30</v>
      </c>
      <c r="O15" s="118" t="s">
        <v>96</v>
      </c>
      <c r="P15" s="118">
        <v>12</v>
      </c>
      <c r="Q15" s="118" t="s">
        <v>96</v>
      </c>
      <c r="R15" s="118" t="s">
        <v>96</v>
      </c>
      <c r="S15" s="118" t="s">
        <v>96</v>
      </c>
      <c r="T15" s="118" t="s">
        <v>96</v>
      </c>
      <c r="U15" s="118">
        <v>4.9000000000000004</v>
      </c>
      <c r="V15" s="139" t="s">
        <v>96</v>
      </c>
      <c r="W15" s="21">
        <v>16</v>
      </c>
      <c r="X15" s="158" t="s">
        <v>96</v>
      </c>
      <c r="Y15" s="21">
        <v>27</v>
      </c>
      <c r="Z15" s="158" t="s">
        <v>96</v>
      </c>
    </row>
    <row r="16" spans="1:26" x14ac:dyDescent="0.25">
      <c r="A16" s="9" t="s">
        <v>6</v>
      </c>
      <c r="B16" s="118" t="s">
        <v>96</v>
      </c>
      <c r="C16" s="118" t="s">
        <v>96</v>
      </c>
      <c r="D16" s="118">
        <v>4.8</v>
      </c>
      <c r="E16" s="118">
        <v>9.6999999999999993</v>
      </c>
      <c r="F16" s="118">
        <v>22</v>
      </c>
      <c r="G16" s="118" t="s">
        <v>96</v>
      </c>
      <c r="H16" s="118" t="s">
        <v>96</v>
      </c>
      <c r="I16" s="118">
        <v>20</v>
      </c>
      <c r="J16" s="118">
        <v>36</v>
      </c>
      <c r="K16" s="118">
        <v>2.2000000000000002</v>
      </c>
      <c r="L16" s="118">
        <v>11</v>
      </c>
      <c r="M16" s="118">
        <v>13</v>
      </c>
      <c r="N16" s="118" t="s">
        <v>96</v>
      </c>
      <c r="O16" s="118">
        <v>0.7</v>
      </c>
      <c r="P16" s="118">
        <v>19</v>
      </c>
      <c r="Q16" s="129">
        <v>1.9</v>
      </c>
      <c r="R16" s="118">
        <v>35</v>
      </c>
      <c r="S16" s="118" t="s">
        <v>96</v>
      </c>
      <c r="T16" s="118" t="s">
        <v>96</v>
      </c>
      <c r="U16" s="118" t="s">
        <v>96</v>
      </c>
      <c r="V16" s="139" t="s">
        <v>96</v>
      </c>
      <c r="W16" s="139" t="s">
        <v>96</v>
      </c>
      <c r="X16" s="158">
        <v>47</v>
      </c>
      <c r="Y16" s="158" t="s">
        <v>96</v>
      </c>
      <c r="Z16" s="158" t="s">
        <v>96</v>
      </c>
    </row>
    <row r="17" spans="1:26" x14ac:dyDescent="0.25">
      <c r="A17" s="9" t="s">
        <v>7</v>
      </c>
      <c r="B17" s="118" t="s">
        <v>96</v>
      </c>
      <c r="C17" s="118">
        <v>23</v>
      </c>
      <c r="D17" s="118" t="s">
        <v>96</v>
      </c>
      <c r="E17" s="118" t="s">
        <v>96</v>
      </c>
      <c r="F17" s="118">
        <v>14</v>
      </c>
      <c r="G17" s="118" t="s">
        <v>96</v>
      </c>
      <c r="H17" s="118">
        <v>36</v>
      </c>
      <c r="I17" s="118" t="s">
        <v>96</v>
      </c>
      <c r="J17" s="118">
        <v>15</v>
      </c>
      <c r="K17" s="118" t="s">
        <v>96</v>
      </c>
      <c r="L17" s="118">
        <v>22</v>
      </c>
      <c r="M17" s="118" t="s">
        <v>96</v>
      </c>
      <c r="N17" s="118" t="s">
        <v>96</v>
      </c>
      <c r="O17" s="118" t="s">
        <v>96</v>
      </c>
      <c r="P17" s="118">
        <v>2.2999999999999998</v>
      </c>
      <c r="Q17" s="118" t="s">
        <v>96</v>
      </c>
      <c r="R17" s="118" t="s">
        <v>96</v>
      </c>
      <c r="S17" s="118" t="s">
        <v>96</v>
      </c>
      <c r="T17" s="118" t="s">
        <v>96</v>
      </c>
      <c r="U17" s="118" t="s">
        <v>96</v>
      </c>
      <c r="V17" s="139" t="s">
        <v>96</v>
      </c>
      <c r="W17" s="139" t="s">
        <v>96</v>
      </c>
      <c r="X17" s="158">
        <v>52</v>
      </c>
      <c r="Y17" s="21">
        <v>25</v>
      </c>
      <c r="Z17" s="21">
        <v>39</v>
      </c>
    </row>
    <row r="18" spans="1:26" x14ac:dyDescent="0.25">
      <c r="A18" s="9" t="s">
        <v>8</v>
      </c>
      <c r="B18" s="118" t="s">
        <v>96</v>
      </c>
      <c r="C18" s="118">
        <v>1.6</v>
      </c>
      <c r="D18" s="118">
        <v>20</v>
      </c>
      <c r="E18" s="118">
        <v>16</v>
      </c>
      <c r="F18" s="118" t="s">
        <v>96</v>
      </c>
      <c r="G18" s="118">
        <v>49</v>
      </c>
      <c r="H18" s="118" t="s">
        <v>96</v>
      </c>
      <c r="I18" s="118" t="s">
        <v>96</v>
      </c>
      <c r="J18" s="118" t="s">
        <v>96</v>
      </c>
      <c r="K18" s="118">
        <v>11</v>
      </c>
      <c r="L18" s="118">
        <v>4.2</v>
      </c>
      <c r="M18" s="118">
        <v>2.7</v>
      </c>
      <c r="N18" s="118">
        <v>12</v>
      </c>
      <c r="O18" s="118">
        <v>58</v>
      </c>
      <c r="P18" s="129">
        <v>5</v>
      </c>
      <c r="Q18" s="118">
        <v>46</v>
      </c>
      <c r="R18" s="118">
        <v>56</v>
      </c>
      <c r="S18" s="129">
        <v>6</v>
      </c>
      <c r="T18" s="118">
        <v>6.8</v>
      </c>
      <c r="U18" s="118">
        <v>14</v>
      </c>
      <c r="V18" s="118">
        <v>27</v>
      </c>
      <c r="W18" s="21">
        <v>76</v>
      </c>
      <c r="X18" s="158">
        <v>59</v>
      </c>
      <c r="Y18" s="21">
        <v>121</v>
      </c>
      <c r="Z18" s="21">
        <v>80</v>
      </c>
    </row>
    <row r="19" spans="1:26" x14ac:dyDescent="0.25">
      <c r="A19" s="9" t="s">
        <v>9</v>
      </c>
      <c r="B19" s="118">
        <v>5.7</v>
      </c>
      <c r="C19" s="118">
        <v>20</v>
      </c>
      <c r="D19" s="118" t="s">
        <v>96</v>
      </c>
      <c r="E19" s="118">
        <v>15</v>
      </c>
      <c r="F19" s="118">
        <v>72</v>
      </c>
      <c r="G19" s="118">
        <v>60</v>
      </c>
      <c r="H19" s="118">
        <v>14</v>
      </c>
      <c r="I19" s="118">
        <v>21</v>
      </c>
      <c r="J19" s="118">
        <v>38</v>
      </c>
      <c r="K19" s="118">
        <v>19</v>
      </c>
      <c r="L19" s="118">
        <v>60</v>
      </c>
      <c r="M19" s="118">
        <v>6.8</v>
      </c>
      <c r="N19" s="118">
        <v>19</v>
      </c>
      <c r="O19" s="118">
        <v>2.6</v>
      </c>
      <c r="P19" s="118">
        <v>15</v>
      </c>
      <c r="Q19" s="118">
        <v>6.5</v>
      </c>
      <c r="R19" s="118">
        <v>13</v>
      </c>
      <c r="S19" s="118">
        <v>40</v>
      </c>
      <c r="T19" s="118">
        <v>39</v>
      </c>
      <c r="U19" s="118">
        <v>8.1999999999999993</v>
      </c>
      <c r="V19" s="118">
        <v>4.3</v>
      </c>
      <c r="W19" s="139" t="s">
        <v>96</v>
      </c>
      <c r="X19" s="158">
        <v>73</v>
      </c>
      <c r="Y19" s="21">
        <v>25</v>
      </c>
      <c r="Z19" s="21">
        <v>120</v>
      </c>
    </row>
    <row r="20" spans="1:26" x14ac:dyDescent="0.25">
      <c r="A20" s="9" t="s">
        <v>10</v>
      </c>
      <c r="B20" s="118">
        <v>5.7</v>
      </c>
      <c r="C20" s="118">
        <v>26</v>
      </c>
      <c r="D20" s="118">
        <v>12</v>
      </c>
      <c r="E20" s="118">
        <v>21</v>
      </c>
      <c r="F20" s="118">
        <v>25</v>
      </c>
      <c r="G20" s="118">
        <v>7.2</v>
      </c>
      <c r="H20" s="118">
        <v>55</v>
      </c>
      <c r="I20" s="118">
        <v>16</v>
      </c>
      <c r="J20" s="118">
        <v>22</v>
      </c>
      <c r="K20" s="118">
        <v>14</v>
      </c>
      <c r="L20" s="118">
        <v>23</v>
      </c>
      <c r="M20" s="118">
        <v>18</v>
      </c>
      <c r="N20" s="118">
        <v>8.1999999999999993</v>
      </c>
      <c r="O20" s="118">
        <v>11</v>
      </c>
      <c r="P20" s="118">
        <v>13</v>
      </c>
      <c r="Q20" s="118">
        <v>5.0999999999999996</v>
      </c>
      <c r="R20" s="118">
        <v>20</v>
      </c>
      <c r="S20" s="118">
        <v>41</v>
      </c>
      <c r="T20" s="118">
        <v>68</v>
      </c>
      <c r="U20" s="118">
        <v>24</v>
      </c>
      <c r="V20" s="118">
        <v>48</v>
      </c>
      <c r="W20" s="21">
        <v>18</v>
      </c>
      <c r="X20" s="158">
        <v>21</v>
      </c>
      <c r="Y20" s="21">
        <v>29</v>
      </c>
      <c r="Z20" s="21">
        <v>46</v>
      </c>
    </row>
    <row r="21" spans="1:26" x14ac:dyDescent="0.25">
      <c r="A21" s="9" t="s">
        <v>11</v>
      </c>
      <c r="B21" s="118" t="s">
        <v>96</v>
      </c>
      <c r="C21" s="118">
        <v>57</v>
      </c>
      <c r="D21" s="118">
        <v>211</v>
      </c>
      <c r="E21" s="118">
        <v>29</v>
      </c>
      <c r="F21" s="118">
        <v>30</v>
      </c>
      <c r="G21" s="118">
        <v>46</v>
      </c>
      <c r="H21" s="118" t="s">
        <v>96</v>
      </c>
      <c r="I21" s="118">
        <v>2.5</v>
      </c>
      <c r="J21" s="118">
        <v>2.6</v>
      </c>
      <c r="K21" s="118" t="s">
        <v>96</v>
      </c>
      <c r="L21" s="118">
        <v>47</v>
      </c>
      <c r="M21" s="118">
        <v>4.7</v>
      </c>
      <c r="N21" s="118">
        <v>35</v>
      </c>
      <c r="O21" s="118">
        <v>22</v>
      </c>
      <c r="P21" s="118" t="s">
        <v>96</v>
      </c>
      <c r="Q21" s="118">
        <v>1.3</v>
      </c>
      <c r="R21" s="118">
        <v>26</v>
      </c>
      <c r="S21" s="118">
        <v>20</v>
      </c>
      <c r="T21" s="118">
        <v>2.7</v>
      </c>
      <c r="U21" s="118" t="s">
        <v>96</v>
      </c>
      <c r="V21" s="118">
        <v>5.5</v>
      </c>
      <c r="W21" s="129">
        <v>5.6</v>
      </c>
      <c r="X21" s="158" t="s">
        <v>96</v>
      </c>
      <c r="Y21" s="21">
        <v>22</v>
      </c>
      <c r="Z21" s="158" t="s">
        <v>96</v>
      </c>
    </row>
    <row r="22" spans="1:26" x14ac:dyDescent="0.25">
      <c r="A22" s="9" t="s">
        <v>12</v>
      </c>
      <c r="B22" s="118" t="s">
        <v>96</v>
      </c>
      <c r="C22" s="118">
        <v>13</v>
      </c>
      <c r="D22" s="118">
        <v>16</v>
      </c>
      <c r="E22" s="118">
        <v>8.1999999999999993</v>
      </c>
      <c r="F22" s="118" t="s">
        <v>96</v>
      </c>
      <c r="G22" s="118">
        <v>8.4</v>
      </c>
      <c r="H22" s="118">
        <v>14</v>
      </c>
      <c r="I22" s="118" t="s">
        <v>96</v>
      </c>
      <c r="J22" s="118">
        <v>38</v>
      </c>
      <c r="K22" s="118" t="s">
        <v>96</v>
      </c>
      <c r="L22" s="118" t="s">
        <v>96</v>
      </c>
      <c r="M22" s="118">
        <v>8.6999999999999993</v>
      </c>
      <c r="N22" s="118">
        <v>13</v>
      </c>
      <c r="O22" s="118">
        <v>22</v>
      </c>
      <c r="P22" s="118" t="s">
        <v>96</v>
      </c>
      <c r="Q22" s="118" t="s">
        <v>96</v>
      </c>
      <c r="R22" s="118">
        <v>15</v>
      </c>
      <c r="S22" s="118">
        <v>3.5</v>
      </c>
      <c r="T22" s="118">
        <v>8.9</v>
      </c>
      <c r="U22" s="118">
        <v>27</v>
      </c>
      <c r="V22" s="118">
        <v>7.2</v>
      </c>
      <c r="W22" s="21">
        <v>11</v>
      </c>
      <c r="X22" s="158">
        <v>20</v>
      </c>
      <c r="Y22" s="158" t="s">
        <v>96</v>
      </c>
      <c r="Z22" s="158" t="s">
        <v>96</v>
      </c>
    </row>
    <row r="23" spans="1:26" x14ac:dyDescent="0.25">
      <c r="A23" s="9" t="s">
        <v>13</v>
      </c>
      <c r="B23" s="118" t="s">
        <v>96</v>
      </c>
      <c r="C23" s="118" t="s">
        <v>96</v>
      </c>
      <c r="D23" s="118">
        <v>1.9</v>
      </c>
      <c r="E23" s="118" t="s">
        <v>96</v>
      </c>
      <c r="F23" s="118" t="s">
        <v>96</v>
      </c>
      <c r="G23" s="118" t="s">
        <v>96</v>
      </c>
      <c r="H23" s="118" t="s">
        <v>96</v>
      </c>
      <c r="I23" s="118" t="s">
        <v>96</v>
      </c>
      <c r="J23" s="129">
        <v>1</v>
      </c>
      <c r="K23" s="118">
        <v>7.5</v>
      </c>
      <c r="L23" s="118" t="s">
        <v>96</v>
      </c>
      <c r="M23" s="118" t="s">
        <v>96</v>
      </c>
      <c r="N23" s="118">
        <v>14</v>
      </c>
      <c r="O23" s="118" t="s">
        <v>96</v>
      </c>
      <c r="P23" s="118" t="s">
        <v>96</v>
      </c>
      <c r="Q23" s="118">
        <v>11</v>
      </c>
      <c r="R23" s="118" t="s">
        <v>96</v>
      </c>
      <c r="S23" s="118" t="s">
        <v>96</v>
      </c>
      <c r="T23" s="118" t="s">
        <v>96</v>
      </c>
      <c r="U23" s="118" t="s">
        <v>96</v>
      </c>
      <c r="V23" s="118">
        <v>41</v>
      </c>
      <c r="W23" s="21">
        <v>13</v>
      </c>
      <c r="X23" s="159" t="s">
        <v>96</v>
      </c>
      <c r="Y23" s="21">
        <v>81</v>
      </c>
      <c r="Z23" s="158" t="s">
        <v>96</v>
      </c>
    </row>
    <row r="24" spans="1:26" x14ac:dyDescent="0.25">
      <c r="A24" s="9" t="s">
        <v>14</v>
      </c>
      <c r="B24" s="118">
        <v>33</v>
      </c>
      <c r="C24" s="118">
        <v>64</v>
      </c>
      <c r="D24" s="118">
        <v>32</v>
      </c>
      <c r="E24" s="118" t="s">
        <v>96</v>
      </c>
      <c r="F24" s="118" t="s">
        <v>96</v>
      </c>
      <c r="G24" s="118" t="s">
        <v>96</v>
      </c>
      <c r="H24" s="118">
        <v>1.3</v>
      </c>
      <c r="I24" s="118" t="s">
        <v>96</v>
      </c>
      <c r="J24" s="118">
        <v>49</v>
      </c>
      <c r="K24" s="118">
        <v>1.8</v>
      </c>
      <c r="L24" s="118">
        <v>4.5999999999999996</v>
      </c>
      <c r="M24" s="118" t="s">
        <v>96</v>
      </c>
      <c r="N24" s="118" t="s">
        <v>96</v>
      </c>
      <c r="O24" s="118" t="s">
        <v>96</v>
      </c>
      <c r="P24" s="118">
        <v>7.5</v>
      </c>
      <c r="Q24" s="118" t="s">
        <v>96</v>
      </c>
      <c r="R24" s="118" t="s">
        <v>96</v>
      </c>
      <c r="S24" s="118">
        <v>3.9</v>
      </c>
      <c r="T24" s="118">
        <v>1.5</v>
      </c>
      <c r="U24" s="118">
        <v>7.4</v>
      </c>
      <c r="V24" s="129">
        <v>9</v>
      </c>
      <c r="W24" s="129">
        <v>1.5</v>
      </c>
      <c r="X24" s="159">
        <v>2.6</v>
      </c>
      <c r="Y24" s="21">
        <v>135</v>
      </c>
      <c r="Z24" s="21">
        <v>11</v>
      </c>
    </row>
    <row r="25" spans="1:26" x14ac:dyDescent="0.25">
      <c r="A25" s="9" t="s">
        <v>15</v>
      </c>
      <c r="B25" s="118">
        <v>44</v>
      </c>
      <c r="C25" s="118">
        <v>27</v>
      </c>
      <c r="D25" s="118">
        <v>14</v>
      </c>
      <c r="E25" s="118">
        <v>22</v>
      </c>
      <c r="F25" s="118">
        <v>28</v>
      </c>
      <c r="G25" s="118" t="s">
        <v>96</v>
      </c>
      <c r="H25" s="118" t="s">
        <v>96</v>
      </c>
      <c r="I25" s="118" t="s">
        <v>96</v>
      </c>
      <c r="J25" s="118" t="s">
        <v>96</v>
      </c>
      <c r="K25" s="118" t="s">
        <v>96</v>
      </c>
      <c r="L25" s="118">
        <v>7.4</v>
      </c>
      <c r="M25" s="118" t="s">
        <v>96</v>
      </c>
      <c r="N25" s="118" t="s">
        <v>96</v>
      </c>
      <c r="O25" s="118" t="s">
        <v>96</v>
      </c>
      <c r="P25" s="118">
        <v>11</v>
      </c>
      <c r="Q25" s="118" t="s">
        <v>96</v>
      </c>
      <c r="R25" s="118" t="s">
        <v>96</v>
      </c>
      <c r="S25" s="118" t="s">
        <v>96</v>
      </c>
      <c r="T25" s="118" t="s">
        <v>96</v>
      </c>
      <c r="U25" s="118">
        <v>16</v>
      </c>
      <c r="V25" s="139" t="s">
        <v>96</v>
      </c>
      <c r="W25" s="139" t="s">
        <v>96</v>
      </c>
      <c r="X25" s="159" t="s">
        <v>96</v>
      </c>
      <c r="Y25" s="21">
        <v>33</v>
      </c>
      <c r="Z25" s="21">
        <v>42</v>
      </c>
    </row>
    <row r="26" spans="1:26" x14ac:dyDescent="0.25">
      <c r="A26" s="9" t="s">
        <v>16</v>
      </c>
      <c r="B26" s="118">
        <v>5.8</v>
      </c>
      <c r="C26" s="118" t="s">
        <v>96</v>
      </c>
      <c r="D26" s="118" t="s">
        <v>96</v>
      </c>
      <c r="E26" s="118">
        <v>11</v>
      </c>
      <c r="F26" s="118" t="s">
        <v>96</v>
      </c>
      <c r="G26" s="118" t="s">
        <v>96</v>
      </c>
      <c r="H26" s="118">
        <v>46</v>
      </c>
      <c r="I26" s="118" t="s">
        <v>96</v>
      </c>
      <c r="J26" s="118" t="s">
        <v>96</v>
      </c>
      <c r="K26" s="118" t="s">
        <v>96</v>
      </c>
      <c r="L26" s="118">
        <v>2.9</v>
      </c>
      <c r="M26" s="118" t="s">
        <v>96</v>
      </c>
      <c r="N26" s="118" t="s">
        <v>96</v>
      </c>
      <c r="O26" s="118" t="s">
        <v>96</v>
      </c>
      <c r="P26" s="118" t="s">
        <v>96</v>
      </c>
      <c r="Q26" s="118" t="s">
        <v>96</v>
      </c>
      <c r="R26" s="118" t="s">
        <v>96</v>
      </c>
      <c r="S26" s="129">
        <v>4.9000000000000004</v>
      </c>
      <c r="T26" s="118">
        <v>5.9</v>
      </c>
      <c r="U26" s="118" t="s">
        <v>96</v>
      </c>
      <c r="V26" s="139" t="s">
        <v>96</v>
      </c>
      <c r="W26" s="129">
        <v>0.7</v>
      </c>
      <c r="X26" s="159" t="s">
        <v>96</v>
      </c>
      <c r="Y26" s="21">
        <v>27</v>
      </c>
      <c r="Z26" s="158" t="s">
        <v>96</v>
      </c>
    </row>
    <row r="27" spans="1:26" x14ac:dyDescent="0.25">
      <c r="A27" s="9" t="s">
        <v>17</v>
      </c>
      <c r="B27" s="118" t="s">
        <v>96</v>
      </c>
      <c r="C27" s="118" t="s">
        <v>96</v>
      </c>
      <c r="D27" s="118">
        <v>2.9</v>
      </c>
      <c r="E27" s="118">
        <v>11</v>
      </c>
      <c r="F27" s="118" t="s">
        <v>96</v>
      </c>
      <c r="G27" s="118">
        <v>76</v>
      </c>
      <c r="H27" s="118">
        <v>0.6</v>
      </c>
      <c r="I27" s="118">
        <v>31</v>
      </c>
      <c r="J27" s="118">
        <v>16</v>
      </c>
      <c r="K27" s="118">
        <v>35</v>
      </c>
      <c r="L27" s="118">
        <v>5.5</v>
      </c>
      <c r="M27" s="118">
        <v>16</v>
      </c>
      <c r="N27" s="118">
        <v>5.4</v>
      </c>
      <c r="O27" s="118">
        <v>1.7</v>
      </c>
      <c r="P27" s="118">
        <v>21</v>
      </c>
      <c r="Q27" s="118">
        <v>0.8</v>
      </c>
      <c r="R27" s="118">
        <v>21</v>
      </c>
      <c r="S27" s="118">
        <v>12</v>
      </c>
      <c r="T27" s="129">
        <v>6</v>
      </c>
      <c r="U27" s="118" t="s">
        <v>96</v>
      </c>
      <c r="V27" s="118">
        <v>1.6</v>
      </c>
      <c r="W27" s="139" t="s">
        <v>96</v>
      </c>
      <c r="X27" s="159" t="s">
        <v>96</v>
      </c>
      <c r="Y27" s="21">
        <v>45</v>
      </c>
      <c r="Z27" s="158" t="s">
        <v>96</v>
      </c>
    </row>
    <row r="28" spans="1:26" x14ac:dyDescent="0.25">
      <c r="A28" s="9" t="s">
        <v>18</v>
      </c>
      <c r="B28" s="118">
        <v>25</v>
      </c>
      <c r="C28" s="118">
        <v>17</v>
      </c>
      <c r="D28" s="118">
        <v>31</v>
      </c>
      <c r="E28" s="118">
        <v>20</v>
      </c>
      <c r="F28" s="118">
        <v>19</v>
      </c>
      <c r="G28" s="118">
        <v>13</v>
      </c>
      <c r="H28" s="118">
        <v>14</v>
      </c>
      <c r="I28" s="118">
        <v>9.6</v>
      </c>
      <c r="J28" s="118">
        <v>4.9000000000000004</v>
      </c>
      <c r="K28" s="118">
        <v>9.3000000000000007</v>
      </c>
      <c r="L28" s="118">
        <v>20</v>
      </c>
      <c r="M28" s="118">
        <v>17</v>
      </c>
      <c r="N28" s="118">
        <v>20</v>
      </c>
      <c r="O28" s="118">
        <v>5.7</v>
      </c>
      <c r="P28" s="118">
        <v>13</v>
      </c>
      <c r="Q28" s="118">
        <v>27</v>
      </c>
      <c r="R28" s="129">
        <v>8.9</v>
      </c>
      <c r="S28" s="118">
        <v>10</v>
      </c>
      <c r="T28" s="118">
        <v>12</v>
      </c>
      <c r="U28" s="118">
        <v>16</v>
      </c>
      <c r="V28" s="118">
        <v>17</v>
      </c>
      <c r="W28" s="21">
        <v>17</v>
      </c>
      <c r="X28" s="158">
        <v>30</v>
      </c>
      <c r="Y28" s="21">
        <v>62</v>
      </c>
      <c r="Z28" s="21">
        <v>12</v>
      </c>
    </row>
    <row r="29" spans="1:26" ht="18" x14ac:dyDescent="0.25">
      <c r="A29" s="8" t="s">
        <v>129</v>
      </c>
      <c r="B29" s="120">
        <v>24</v>
      </c>
      <c r="C29" s="120">
        <v>11</v>
      </c>
      <c r="D29" s="120">
        <v>12</v>
      </c>
      <c r="E29" s="120">
        <v>8.6</v>
      </c>
      <c r="F29" s="120">
        <v>18</v>
      </c>
      <c r="G29" s="120">
        <v>7.4</v>
      </c>
      <c r="H29" s="120">
        <v>16</v>
      </c>
      <c r="I29" s="120">
        <v>28</v>
      </c>
      <c r="J29" s="120">
        <v>17</v>
      </c>
      <c r="K29" s="120">
        <v>25</v>
      </c>
      <c r="L29" s="120">
        <v>28</v>
      </c>
      <c r="M29" s="120">
        <v>16</v>
      </c>
      <c r="N29" s="120">
        <v>22</v>
      </c>
      <c r="O29" s="120">
        <v>10</v>
      </c>
      <c r="P29" s="120">
        <v>13</v>
      </c>
      <c r="Q29" s="120">
        <v>18</v>
      </c>
      <c r="R29" s="120">
        <v>6.4</v>
      </c>
      <c r="S29" s="123">
        <v>4</v>
      </c>
      <c r="T29" s="120">
        <v>9.6999999999999993</v>
      </c>
      <c r="U29" s="120">
        <v>7.9</v>
      </c>
      <c r="V29" s="118">
        <v>6.9</v>
      </c>
      <c r="W29" s="22">
        <v>33</v>
      </c>
      <c r="X29" s="157">
        <v>13</v>
      </c>
      <c r="Y29" s="22">
        <v>29</v>
      </c>
      <c r="Z29" s="22">
        <v>28</v>
      </c>
    </row>
    <row r="30" spans="1:26" x14ac:dyDescent="0.25">
      <c r="A30" s="9" t="s">
        <v>19</v>
      </c>
      <c r="B30" s="118">
        <v>2.7</v>
      </c>
      <c r="C30" s="118">
        <v>19</v>
      </c>
      <c r="D30" s="118">
        <v>77</v>
      </c>
      <c r="E30" s="118">
        <v>75</v>
      </c>
      <c r="F30" s="118" t="s">
        <v>96</v>
      </c>
      <c r="G30" s="118">
        <v>32</v>
      </c>
      <c r="H30" s="118">
        <v>89</v>
      </c>
      <c r="I30" s="118">
        <v>38</v>
      </c>
      <c r="J30" s="118" t="s">
        <v>96</v>
      </c>
      <c r="K30" s="118" t="s">
        <v>96</v>
      </c>
      <c r="L30" s="118" t="s">
        <v>96</v>
      </c>
      <c r="M30" s="118" t="s">
        <v>96</v>
      </c>
      <c r="N30" s="118">
        <v>19</v>
      </c>
      <c r="O30" s="118">
        <v>5.6</v>
      </c>
      <c r="P30" s="118" t="s">
        <v>96</v>
      </c>
      <c r="Q30" s="118">
        <v>1.7</v>
      </c>
      <c r="R30" s="118" t="s">
        <v>96</v>
      </c>
      <c r="S30" s="118" t="s">
        <v>96</v>
      </c>
      <c r="T30" s="118">
        <v>1.8</v>
      </c>
      <c r="U30" s="118">
        <v>5.4</v>
      </c>
      <c r="V30" s="118">
        <v>10</v>
      </c>
      <c r="W30" s="21">
        <v>24</v>
      </c>
      <c r="X30" s="158">
        <v>15</v>
      </c>
      <c r="Y30" s="21">
        <v>23</v>
      </c>
      <c r="Z30" s="21">
        <v>19</v>
      </c>
    </row>
    <row r="31" spans="1:26" x14ac:dyDescent="0.25">
      <c r="A31" s="9" t="s">
        <v>20</v>
      </c>
      <c r="B31" s="118">
        <v>26</v>
      </c>
      <c r="C31" s="118">
        <v>58</v>
      </c>
      <c r="D31" s="118">
        <v>4.9000000000000004</v>
      </c>
      <c r="E31" s="118">
        <v>16</v>
      </c>
      <c r="F31" s="118">
        <v>37</v>
      </c>
      <c r="G31" s="118">
        <v>23</v>
      </c>
      <c r="H31" s="118">
        <v>13</v>
      </c>
      <c r="I31" s="118">
        <v>123</v>
      </c>
      <c r="J31" s="118">
        <v>52</v>
      </c>
      <c r="K31" s="118">
        <v>44</v>
      </c>
      <c r="L31" s="118">
        <v>4.2</v>
      </c>
      <c r="M31" s="118">
        <v>71</v>
      </c>
      <c r="N31" s="118">
        <v>5.0999999999999996</v>
      </c>
      <c r="O31" s="118">
        <v>1.7</v>
      </c>
      <c r="P31" s="118">
        <v>87</v>
      </c>
      <c r="Q31" s="118">
        <v>3.6</v>
      </c>
      <c r="R31" s="118">
        <v>9.1999999999999993</v>
      </c>
      <c r="S31" s="118">
        <v>1.9</v>
      </c>
      <c r="T31" s="118">
        <v>13</v>
      </c>
      <c r="U31" s="118">
        <v>10</v>
      </c>
      <c r="V31" s="118">
        <v>8.6</v>
      </c>
      <c r="W31" s="21">
        <v>27</v>
      </c>
      <c r="X31" s="158">
        <v>52</v>
      </c>
      <c r="Y31" s="21">
        <v>23</v>
      </c>
      <c r="Z31" s="21">
        <v>15</v>
      </c>
    </row>
    <row r="32" spans="1:26" x14ac:dyDescent="0.25">
      <c r="A32" s="9" t="s">
        <v>21</v>
      </c>
      <c r="B32" s="118">
        <v>25</v>
      </c>
      <c r="C32" s="118">
        <v>6.6</v>
      </c>
      <c r="D32" s="118">
        <v>3.7</v>
      </c>
      <c r="E32" s="118">
        <v>20</v>
      </c>
      <c r="F32" s="118">
        <v>15</v>
      </c>
      <c r="G32" s="118">
        <v>0.8</v>
      </c>
      <c r="H32" s="118" t="s">
        <v>96</v>
      </c>
      <c r="I32" s="118">
        <v>30</v>
      </c>
      <c r="J32" s="118">
        <v>24</v>
      </c>
      <c r="K32" s="118">
        <v>88</v>
      </c>
      <c r="L32" s="118">
        <v>1.2</v>
      </c>
      <c r="M32" s="118">
        <v>16</v>
      </c>
      <c r="N32" s="118">
        <v>79</v>
      </c>
      <c r="O32" s="118">
        <v>20</v>
      </c>
      <c r="P32" s="118">
        <v>17</v>
      </c>
      <c r="Q32" s="118">
        <v>38</v>
      </c>
      <c r="R32" s="118">
        <v>1.3</v>
      </c>
      <c r="S32" s="118" t="s">
        <v>96</v>
      </c>
      <c r="T32" s="118">
        <v>7.8</v>
      </c>
      <c r="U32" s="118">
        <v>12</v>
      </c>
      <c r="V32" s="118">
        <v>18</v>
      </c>
      <c r="W32" s="21">
        <v>19</v>
      </c>
      <c r="X32" s="158">
        <v>31</v>
      </c>
      <c r="Y32" s="129">
        <v>7</v>
      </c>
      <c r="Z32" s="158" t="s">
        <v>96</v>
      </c>
    </row>
    <row r="33" spans="1:26" x14ac:dyDescent="0.25">
      <c r="A33" s="4" t="s">
        <v>63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21"/>
      <c r="W33" s="129"/>
      <c r="X33" s="158"/>
      <c r="Y33" s="129"/>
      <c r="Z33" s="129"/>
    </row>
    <row r="34" spans="1:26" ht="19.5" x14ac:dyDescent="0.25">
      <c r="A34" s="14" t="s">
        <v>272</v>
      </c>
      <c r="B34" s="129">
        <v>6.1</v>
      </c>
      <c r="C34" s="129" t="s">
        <v>96</v>
      </c>
      <c r="D34" s="129" t="s">
        <v>96</v>
      </c>
      <c r="E34" s="129">
        <v>7.2</v>
      </c>
      <c r="F34" s="21">
        <v>48</v>
      </c>
      <c r="G34" s="129">
        <v>2.4</v>
      </c>
      <c r="H34" s="129" t="s">
        <v>96</v>
      </c>
      <c r="I34" s="129" t="s">
        <v>96</v>
      </c>
      <c r="J34" s="21">
        <v>12</v>
      </c>
      <c r="K34" s="129" t="s">
        <v>96</v>
      </c>
      <c r="L34" s="129">
        <v>3.6</v>
      </c>
      <c r="M34" s="21">
        <v>10</v>
      </c>
      <c r="N34" s="21">
        <v>24</v>
      </c>
      <c r="O34" s="129">
        <v>3.6</v>
      </c>
      <c r="P34" s="118" t="s">
        <v>96</v>
      </c>
      <c r="Q34" s="118" t="s">
        <v>96</v>
      </c>
      <c r="R34" s="118" t="s">
        <v>96</v>
      </c>
      <c r="S34" s="118" t="s">
        <v>96</v>
      </c>
      <c r="T34" s="118" t="s">
        <v>96</v>
      </c>
      <c r="U34" s="118" t="s">
        <v>96</v>
      </c>
      <c r="V34" s="139" t="s">
        <v>96</v>
      </c>
      <c r="W34" s="139" t="s">
        <v>96</v>
      </c>
      <c r="X34" s="158" t="s">
        <v>96</v>
      </c>
      <c r="Y34" s="158" t="s">
        <v>96</v>
      </c>
      <c r="Z34" s="158" t="s">
        <v>96</v>
      </c>
    </row>
    <row r="35" spans="1:26" ht="19.5" x14ac:dyDescent="0.25">
      <c r="A35" s="14" t="s">
        <v>138</v>
      </c>
      <c r="B35" s="118">
        <v>24</v>
      </c>
      <c r="C35" s="118">
        <v>6.8</v>
      </c>
      <c r="D35" s="118">
        <v>3.8</v>
      </c>
      <c r="E35" s="118">
        <v>18</v>
      </c>
      <c r="F35" s="118" t="s">
        <v>96</v>
      </c>
      <c r="G35" s="118" t="s">
        <v>96</v>
      </c>
      <c r="H35" s="118" t="s">
        <v>96</v>
      </c>
      <c r="I35" s="118">
        <v>31</v>
      </c>
      <c r="J35" s="118">
        <v>21</v>
      </c>
      <c r="K35" s="118">
        <v>91</v>
      </c>
      <c r="L35" s="118" t="s">
        <v>96</v>
      </c>
      <c r="M35" s="118">
        <v>13</v>
      </c>
      <c r="N35" s="118">
        <v>73</v>
      </c>
      <c r="O35" s="118">
        <v>20</v>
      </c>
      <c r="P35" s="118">
        <v>18</v>
      </c>
      <c r="Q35" s="118">
        <v>40</v>
      </c>
      <c r="R35" s="118">
        <v>1.4</v>
      </c>
      <c r="S35" s="118" t="s">
        <v>96</v>
      </c>
      <c r="T35" s="118">
        <v>8.1</v>
      </c>
      <c r="U35" s="118">
        <v>12</v>
      </c>
      <c r="V35" s="118">
        <v>19</v>
      </c>
      <c r="W35" s="21">
        <v>19</v>
      </c>
      <c r="X35" s="158">
        <v>33</v>
      </c>
      <c r="Y35" s="129">
        <v>7.3</v>
      </c>
      <c r="Z35" s="158" t="s">
        <v>96</v>
      </c>
    </row>
    <row r="36" spans="1:26" x14ac:dyDescent="0.25">
      <c r="A36" s="9" t="s">
        <v>24</v>
      </c>
      <c r="B36" s="118">
        <v>15</v>
      </c>
      <c r="C36" s="118">
        <v>20</v>
      </c>
      <c r="D36" s="118">
        <v>20</v>
      </c>
      <c r="E36" s="118" t="s">
        <v>96</v>
      </c>
      <c r="F36" s="118">
        <v>8.8000000000000007</v>
      </c>
      <c r="G36" s="118">
        <v>0.8</v>
      </c>
      <c r="H36" s="118">
        <v>3.7</v>
      </c>
      <c r="I36" s="118">
        <v>31</v>
      </c>
      <c r="J36" s="118">
        <v>24</v>
      </c>
      <c r="K36" s="118">
        <v>95</v>
      </c>
      <c r="L36" s="118">
        <v>133</v>
      </c>
      <c r="M36" s="118">
        <v>0.7</v>
      </c>
      <c r="N36" s="118">
        <v>5.8</v>
      </c>
      <c r="O36" s="118">
        <v>14</v>
      </c>
      <c r="P36" s="118" t="s">
        <v>96</v>
      </c>
      <c r="Q36" s="118">
        <v>0.8</v>
      </c>
      <c r="R36" s="118">
        <v>2.5</v>
      </c>
      <c r="S36" s="118" t="s">
        <v>96</v>
      </c>
      <c r="T36" s="118">
        <v>2.6</v>
      </c>
      <c r="U36" s="118" t="s">
        <v>96</v>
      </c>
      <c r="V36" s="118">
        <v>2.4</v>
      </c>
      <c r="W36" s="139" t="s">
        <v>96</v>
      </c>
      <c r="X36" s="159">
        <v>1.8</v>
      </c>
      <c r="Y36" s="158" t="s">
        <v>96</v>
      </c>
      <c r="Z36" s="21">
        <v>54</v>
      </c>
    </row>
    <row r="37" spans="1:26" x14ac:dyDescent="0.25">
      <c r="A37" s="9" t="s">
        <v>25</v>
      </c>
      <c r="B37" s="118" t="s">
        <v>96</v>
      </c>
      <c r="C37" s="118" t="s">
        <v>96</v>
      </c>
      <c r="D37" s="118" t="s">
        <v>96</v>
      </c>
      <c r="E37" s="118">
        <v>2.1</v>
      </c>
      <c r="F37" s="118">
        <v>1.3</v>
      </c>
      <c r="G37" s="118">
        <v>8.5</v>
      </c>
      <c r="H37" s="118" t="s">
        <v>96</v>
      </c>
      <c r="I37" s="118">
        <v>1.1000000000000001</v>
      </c>
      <c r="J37" s="118">
        <v>27</v>
      </c>
      <c r="K37" s="118">
        <v>3.7</v>
      </c>
      <c r="L37" s="118">
        <v>3.2</v>
      </c>
      <c r="M37" s="118" t="s">
        <v>96</v>
      </c>
      <c r="N37" s="118">
        <v>116</v>
      </c>
      <c r="O37" s="118">
        <v>3.4</v>
      </c>
      <c r="P37" s="118">
        <v>6.2</v>
      </c>
      <c r="Q37" s="118">
        <v>14</v>
      </c>
      <c r="R37" s="118">
        <v>3.1</v>
      </c>
      <c r="S37" s="118" t="s">
        <v>96</v>
      </c>
      <c r="T37" s="129">
        <v>6</v>
      </c>
      <c r="U37" s="129" t="s">
        <v>96</v>
      </c>
      <c r="V37" s="139" t="s">
        <v>96</v>
      </c>
      <c r="W37" s="139" t="s">
        <v>96</v>
      </c>
      <c r="X37" s="158">
        <v>14</v>
      </c>
      <c r="Y37" s="129">
        <v>2.9</v>
      </c>
      <c r="Z37" s="129">
        <v>0.4</v>
      </c>
    </row>
    <row r="38" spans="1:26" x14ac:dyDescent="0.25">
      <c r="A38" s="9" t="s">
        <v>26</v>
      </c>
      <c r="B38" s="118">
        <v>47</v>
      </c>
      <c r="C38" s="118">
        <v>21</v>
      </c>
      <c r="D38" s="118">
        <v>15</v>
      </c>
      <c r="E38" s="118">
        <v>10</v>
      </c>
      <c r="F38" s="129">
        <v>6</v>
      </c>
      <c r="G38" s="118" t="s">
        <v>96</v>
      </c>
      <c r="H38" s="118">
        <v>3.3</v>
      </c>
      <c r="I38" s="118">
        <v>37</v>
      </c>
      <c r="J38" s="118">
        <v>28</v>
      </c>
      <c r="K38" s="118">
        <v>11</v>
      </c>
      <c r="L38" s="118">
        <v>2.2999999999999998</v>
      </c>
      <c r="M38" s="118">
        <v>34</v>
      </c>
      <c r="N38" s="118">
        <v>8.5</v>
      </c>
      <c r="O38" s="118">
        <v>36</v>
      </c>
      <c r="P38" s="118">
        <v>1.4</v>
      </c>
      <c r="Q38" s="118">
        <v>33</v>
      </c>
      <c r="R38" s="118">
        <v>12</v>
      </c>
      <c r="S38" s="118">
        <v>4.3</v>
      </c>
      <c r="T38" s="118">
        <v>35</v>
      </c>
      <c r="U38" s="118">
        <v>29</v>
      </c>
      <c r="V38" s="139" t="s">
        <v>96</v>
      </c>
      <c r="W38" s="129">
        <v>5.5</v>
      </c>
      <c r="X38" s="158">
        <v>41</v>
      </c>
      <c r="Y38" s="129">
        <v>6.2</v>
      </c>
      <c r="Z38" s="21">
        <v>60</v>
      </c>
    </row>
    <row r="39" spans="1:26" x14ac:dyDescent="0.25">
      <c r="A39" s="9" t="s">
        <v>27</v>
      </c>
      <c r="B39" s="118">
        <v>4.9000000000000004</v>
      </c>
      <c r="C39" s="118" t="s">
        <v>96</v>
      </c>
      <c r="D39" s="118">
        <v>5.3</v>
      </c>
      <c r="E39" s="118" t="s">
        <v>96</v>
      </c>
      <c r="F39" s="118">
        <v>79</v>
      </c>
      <c r="G39" s="118">
        <v>29</v>
      </c>
      <c r="H39" s="118" t="s">
        <v>96</v>
      </c>
      <c r="I39" s="118">
        <v>1.5</v>
      </c>
      <c r="J39" s="118" t="s">
        <v>96</v>
      </c>
      <c r="K39" s="118" t="s">
        <v>96</v>
      </c>
      <c r="L39" s="118">
        <v>28</v>
      </c>
      <c r="M39" s="118">
        <v>30</v>
      </c>
      <c r="N39" s="118">
        <v>1.9</v>
      </c>
      <c r="O39" s="118" t="s">
        <v>96</v>
      </c>
      <c r="P39" s="118" t="s">
        <v>96</v>
      </c>
      <c r="Q39" s="118" t="s">
        <v>96</v>
      </c>
      <c r="R39" s="118" t="s">
        <v>96</v>
      </c>
      <c r="S39" s="118" t="s">
        <v>96</v>
      </c>
      <c r="T39" s="118" t="s">
        <v>96</v>
      </c>
      <c r="U39" s="118" t="s">
        <v>96</v>
      </c>
      <c r="V39" s="118">
        <v>19</v>
      </c>
      <c r="W39" s="139" t="s">
        <v>96</v>
      </c>
      <c r="X39" s="159" t="s">
        <v>96</v>
      </c>
      <c r="Y39" s="158" t="s">
        <v>96</v>
      </c>
      <c r="Z39" s="21">
        <v>20</v>
      </c>
    </row>
    <row r="40" spans="1:26" x14ac:dyDescent="0.25">
      <c r="A40" s="9" t="s">
        <v>28</v>
      </c>
      <c r="B40" s="118">
        <v>98</v>
      </c>
      <c r="C40" s="118">
        <v>14</v>
      </c>
      <c r="D40" s="118">
        <v>3.6</v>
      </c>
      <c r="E40" s="118">
        <v>5.8</v>
      </c>
      <c r="F40" s="118" t="s">
        <v>96</v>
      </c>
      <c r="G40" s="118" t="s">
        <v>96</v>
      </c>
      <c r="H40" s="118">
        <v>91</v>
      </c>
      <c r="I40" s="118">
        <v>9.1999999999999993</v>
      </c>
      <c r="J40" s="118">
        <v>3.7</v>
      </c>
      <c r="K40" s="118">
        <v>25</v>
      </c>
      <c r="L40" s="118" t="s">
        <v>96</v>
      </c>
      <c r="M40" s="118" t="s">
        <v>96</v>
      </c>
      <c r="N40" s="118" t="s">
        <v>96</v>
      </c>
      <c r="O40" s="118" t="s">
        <v>96</v>
      </c>
      <c r="P40" s="118" t="s">
        <v>96</v>
      </c>
      <c r="Q40" s="118" t="s">
        <v>96</v>
      </c>
      <c r="R40" s="118">
        <v>25</v>
      </c>
      <c r="S40" s="118" t="s">
        <v>96</v>
      </c>
      <c r="T40" s="118" t="s">
        <v>96</v>
      </c>
      <c r="U40" s="118" t="s">
        <v>96</v>
      </c>
      <c r="V40" s="139" t="s">
        <v>96</v>
      </c>
      <c r="W40" s="139" t="s">
        <v>96</v>
      </c>
      <c r="X40" s="159" t="s">
        <v>96</v>
      </c>
      <c r="Y40" s="158" t="s">
        <v>96</v>
      </c>
      <c r="Z40" s="21">
        <v>132</v>
      </c>
    </row>
    <row r="41" spans="1:26" x14ac:dyDescent="0.25">
      <c r="A41" s="9" t="s">
        <v>29</v>
      </c>
      <c r="B41" s="118" t="s">
        <v>96</v>
      </c>
      <c r="C41" s="118" t="s">
        <v>96</v>
      </c>
      <c r="D41" s="118">
        <v>5.2</v>
      </c>
      <c r="E41" s="118" t="s">
        <v>96</v>
      </c>
      <c r="F41" s="118">
        <v>14</v>
      </c>
      <c r="G41" s="118">
        <v>30</v>
      </c>
      <c r="H41" s="118" t="s">
        <v>96</v>
      </c>
      <c r="I41" s="118" t="s">
        <v>96</v>
      </c>
      <c r="J41" s="118">
        <v>3.5</v>
      </c>
      <c r="K41" s="118" t="s">
        <v>96</v>
      </c>
      <c r="L41" s="118">
        <v>1.8</v>
      </c>
      <c r="M41" s="118">
        <v>4.2</v>
      </c>
      <c r="N41" s="118">
        <v>27</v>
      </c>
      <c r="O41" s="118">
        <v>40</v>
      </c>
      <c r="P41" s="118">
        <v>31</v>
      </c>
      <c r="Q41" s="118">
        <v>13</v>
      </c>
      <c r="R41" s="118">
        <v>24</v>
      </c>
      <c r="S41" s="129">
        <v>7.2</v>
      </c>
      <c r="T41" s="118">
        <v>7.2</v>
      </c>
      <c r="U41" s="118">
        <v>12</v>
      </c>
      <c r="V41" s="139" t="s">
        <v>96</v>
      </c>
      <c r="W41" s="139" t="s">
        <v>96</v>
      </c>
      <c r="X41" s="159" t="s">
        <v>96</v>
      </c>
      <c r="Y41" s="21">
        <v>85</v>
      </c>
      <c r="Z41" s="129">
        <v>4.5</v>
      </c>
    </row>
    <row r="42" spans="1:26" x14ac:dyDescent="0.25">
      <c r="A42" s="9" t="s">
        <v>30</v>
      </c>
      <c r="B42" s="118">
        <v>22</v>
      </c>
      <c r="C42" s="118" t="s">
        <v>96</v>
      </c>
      <c r="D42" s="129">
        <v>9</v>
      </c>
      <c r="E42" s="118" t="s">
        <v>96</v>
      </c>
      <c r="F42" s="118">
        <v>18</v>
      </c>
      <c r="G42" s="118" t="s">
        <v>96</v>
      </c>
      <c r="H42" s="118">
        <v>16</v>
      </c>
      <c r="I42" s="118">
        <v>21</v>
      </c>
      <c r="J42" s="118">
        <v>8.8000000000000007</v>
      </c>
      <c r="K42" s="118">
        <v>8.6999999999999993</v>
      </c>
      <c r="L42" s="118">
        <v>38</v>
      </c>
      <c r="M42" s="118">
        <v>9.3000000000000007</v>
      </c>
      <c r="N42" s="118">
        <v>8.4</v>
      </c>
      <c r="O42" s="118" t="s">
        <v>96</v>
      </c>
      <c r="P42" s="118">
        <v>11</v>
      </c>
      <c r="Q42" s="118">
        <v>22</v>
      </c>
      <c r="R42" s="118">
        <v>4.0999999999999996</v>
      </c>
      <c r="S42" s="118">
        <v>7.7</v>
      </c>
      <c r="T42" s="118">
        <v>6.3</v>
      </c>
      <c r="U42" s="118">
        <v>4.3</v>
      </c>
      <c r="V42" s="129">
        <v>9</v>
      </c>
      <c r="W42" s="21">
        <v>70</v>
      </c>
      <c r="X42" s="159" t="s">
        <v>96</v>
      </c>
      <c r="Y42" s="21">
        <v>53</v>
      </c>
      <c r="Z42" s="21">
        <v>16</v>
      </c>
    </row>
    <row r="43" spans="1:26" ht="18" x14ac:dyDescent="0.25">
      <c r="A43" s="8" t="s">
        <v>220</v>
      </c>
      <c r="B43" s="120">
        <v>25</v>
      </c>
      <c r="C43" s="120">
        <v>7.2</v>
      </c>
      <c r="D43" s="120">
        <v>7.8</v>
      </c>
      <c r="E43" s="120">
        <v>6.2</v>
      </c>
      <c r="F43" s="120">
        <v>12</v>
      </c>
      <c r="G43" s="120">
        <v>17</v>
      </c>
      <c r="H43" s="120">
        <v>12</v>
      </c>
      <c r="I43" s="120">
        <v>31</v>
      </c>
      <c r="J43" s="120">
        <v>14</v>
      </c>
      <c r="K43" s="120">
        <v>21</v>
      </c>
      <c r="L43" s="120">
        <v>15</v>
      </c>
      <c r="M43" s="120">
        <v>13</v>
      </c>
      <c r="N43" s="120">
        <v>3.7</v>
      </c>
      <c r="O43" s="120">
        <v>10</v>
      </c>
      <c r="P43" s="120">
        <v>7.2</v>
      </c>
      <c r="Q43" s="120">
        <v>3.8</v>
      </c>
      <c r="R43" s="120">
        <v>4.0999999999999996</v>
      </c>
      <c r="S43" s="120">
        <v>9.6</v>
      </c>
      <c r="T43" s="120">
        <v>14</v>
      </c>
      <c r="U43" s="123">
        <v>7</v>
      </c>
      <c r="V43" s="120">
        <v>9.6</v>
      </c>
      <c r="W43" s="123">
        <v>6.9</v>
      </c>
      <c r="X43" s="157">
        <v>12</v>
      </c>
      <c r="Y43" s="22">
        <v>20</v>
      </c>
      <c r="Z43" s="22">
        <v>25</v>
      </c>
    </row>
    <row r="44" spans="1:26" x14ac:dyDescent="0.25">
      <c r="A44" s="9" t="s">
        <v>31</v>
      </c>
      <c r="B44" s="118">
        <v>45</v>
      </c>
      <c r="C44" s="118" t="s">
        <v>96</v>
      </c>
      <c r="D44" s="118" t="s">
        <v>96</v>
      </c>
      <c r="E44" s="118">
        <v>6.3</v>
      </c>
      <c r="F44" s="118" t="s">
        <v>96</v>
      </c>
      <c r="G44" s="118">
        <v>4.5</v>
      </c>
      <c r="H44" s="118" t="s">
        <v>96</v>
      </c>
      <c r="I44" s="118" t="s">
        <v>96</v>
      </c>
      <c r="J44" s="118" t="s">
        <v>96</v>
      </c>
      <c r="K44" s="118" t="s">
        <v>96</v>
      </c>
      <c r="L44" s="118">
        <v>68</v>
      </c>
      <c r="M44" s="118">
        <v>7.5</v>
      </c>
      <c r="N44" s="118">
        <v>1.1000000000000001</v>
      </c>
      <c r="O44" s="118">
        <v>6.4</v>
      </c>
      <c r="P44" s="118">
        <v>5.5</v>
      </c>
      <c r="Q44" s="118">
        <v>16</v>
      </c>
      <c r="R44" s="118" t="s">
        <v>96</v>
      </c>
      <c r="S44" s="118">
        <v>113</v>
      </c>
      <c r="T44" s="118">
        <v>148</v>
      </c>
      <c r="U44" s="118" t="s">
        <v>96</v>
      </c>
      <c r="V44" s="118">
        <v>33</v>
      </c>
      <c r="W44" s="21">
        <v>40</v>
      </c>
      <c r="X44" s="158">
        <v>12</v>
      </c>
      <c r="Y44" s="21">
        <v>102</v>
      </c>
      <c r="Z44" s="21">
        <v>94</v>
      </c>
    </row>
    <row r="45" spans="1:26" x14ac:dyDescent="0.25">
      <c r="A45" s="9" t="s">
        <v>32</v>
      </c>
      <c r="B45" s="118" t="s">
        <v>96</v>
      </c>
      <c r="C45" s="118">
        <v>2.6</v>
      </c>
      <c r="D45" s="118" t="s">
        <v>96</v>
      </c>
      <c r="E45" s="118" t="s">
        <v>96</v>
      </c>
      <c r="F45" s="118" t="s">
        <v>96</v>
      </c>
      <c r="G45" s="118" t="s">
        <v>96</v>
      </c>
      <c r="H45" s="118">
        <v>150</v>
      </c>
      <c r="I45" s="118" t="s">
        <v>96</v>
      </c>
      <c r="J45" s="118">
        <v>9.3000000000000007</v>
      </c>
      <c r="K45" s="118" t="s">
        <v>96</v>
      </c>
      <c r="L45" s="118" t="s">
        <v>96</v>
      </c>
      <c r="M45" s="118">
        <v>53</v>
      </c>
      <c r="N45" s="118">
        <v>3.9</v>
      </c>
      <c r="O45" s="118">
        <v>13</v>
      </c>
      <c r="P45" s="118">
        <v>33</v>
      </c>
      <c r="Q45" s="118">
        <v>2.9</v>
      </c>
      <c r="R45" s="118" t="s">
        <v>96</v>
      </c>
      <c r="S45" s="118" t="s">
        <v>96</v>
      </c>
      <c r="T45" s="118" t="s">
        <v>96</v>
      </c>
      <c r="U45" s="118">
        <v>13</v>
      </c>
      <c r="V45" s="118">
        <v>11</v>
      </c>
      <c r="W45" s="21">
        <v>210</v>
      </c>
      <c r="X45" s="158">
        <v>41</v>
      </c>
      <c r="Y45" s="21">
        <v>47</v>
      </c>
      <c r="Z45" s="21">
        <v>150</v>
      </c>
    </row>
    <row r="46" spans="1:26" x14ac:dyDescent="0.25">
      <c r="A46" s="9" t="s">
        <v>150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 t="s">
        <v>96</v>
      </c>
      <c r="Q46" s="118" t="s">
        <v>96</v>
      </c>
      <c r="R46" s="118">
        <v>21</v>
      </c>
      <c r="S46" s="118" t="s">
        <v>96</v>
      </c>
      <c r="T46" s="118">
        <v>51</v>
      </c>
      <c r="U46" s="118" t="s">
        <v>96</v>
      </c>
      <c r="V46" s="118">
        <v>1.2</v>
      </c>
      <c r="W46" s="139" t="s">
        <v>96</v>
      </c>
      <c r="X46" s="159" t="s">
        <v>96</v>
      </c>
      <c r="Y46" s="129">
        <v>3.8</v>
      </c>
      <c r="Z46" s="158" t="s">
        <v>96</v>
      </c>
    </row>
    <row r="47" spans="1:26" x14ac:dyDescent="0.25">
      <c r="A47" s="9" t="s">
        <v>34</v>
      </c>
      <c r="B47" s="118">
        <v>33</v>
      </c>
      <c r="C47" s="118">
        <v>14</v>
      </c>
      <c r="D47" s="118">
        <v>11</v>
      </c>
      <c r="E47" s="129">
        <v>1</v>
      </c>
      <c r="F47" s="21">
        <v>12</v>
      </c>
      <c r="G47" s="118">
        <v>19</v>
      </c>
      <c r="H47" s="118">
        <v>19</v>
      </c>
      <c r="I47" s="118">
        <v>17</v>
      </c>
      <c r="J47" s="118">
        <v>4.4000000000000004</v>
      </c>
      <c r="K47" s="118">
        <v>42</v>
      </c>
      <c r="L47" s="118">
        <v>4.8</v>
      </c>
      <c r="M47" s="118">
        <v>17</v>
      </c>
      <c r="N47" s="118">
        <v>1.6</v>
      </c>
      <c r="O47" s="118">
        <v>11</v>
      </c>
      <c r="P47" s="118">
        <v>5.6</v>
      </c>
      <c r="Q47" s="118">
        <v>5.7</v>
      </c>
      <c r="R47" s="118">
        <v>1.5</v>
      </c>
      <c r="S47" s="118">
        <v>9.1</v>
      </c>
      <c r="T47" s="118">
        <v>6.6</v>
      </c>
      <c r="U47" s="118">
        <v>2.5</v>
      </c>
      <c r="V47" s="118">
        <v>5.9</v>
      </c>
      <c r="W47" s="129">
        <v>4.5999999999999996</v>
      </c>
      <c r="X47" s="159">
        <v>7.5</v>
      </c>
      <c r="Y47" s="21">
        <v>20</v>
      </c>
      <c r="Z47" s="21">
        <v>47</v>
      </c>
    </row>
    <row r="48" spans="1:26" x14ac:dyDescent="0.25">
      <c r="A48" s="9" t="s">
        <v>35</v>
      </c>
      <c r="B48" s="118" t="s">
        <v>96</v>
      </c>
      <c r="C48" s="129">
        <v>6</v>
      </c>
      <c r="D48" s="118" t="s">
        <v>96</v>
      </c>
      <c r="E48" s="118" t="s">
        <v>96</v>
      </c>
      <c r="F48" s="118">
        <v>40</v>
      </c>
      <c r="G48" s="118">
        <v>20</v>
      </c>
      <c r="H48" s="118">
        <v>3.5</v>
      </c>
      <c r="I48" s="118">
        <v>14</v>
      </c>
      <c r="J48" s="118" t="s">
        <v>96</v>
      </c>
      <c r="K48" s="118">
        <v>9.9</v>
      </c>
      <c r="L48" s="118">
        <v>59</v>
      </c>
      <c r="M48" s="118" t="s">
        <v>96</v>
      </c>
      <c r="N48" s="118">
        <v>11</v>
      </c>
      <c r="O48" s="118">
        <v>60</v>
      </c>
      <c r="P48" s="118">
        <v>3.7</v>
      </c>
      <c r="Q48" s="129">
        <v>7</v>
      </c>
      <c r="R48" s="118">
        <v>6.5</v>
      </c>
      <c r="S48" s="118">
        <v>41</v>
      </c>
      <c r="T48" s="129">
        <v>2</v>
      </c>
      <c r="U48" s="129" t="s">
        <v>96</v>
      </c>
      <c r="V48" s="118">
        <v>2.8</v>
      </c>
      <c r="W48" s="139" t="s">
        <v>96</v>
      </c>
      <c r="X48" s="159" t="s">
        <v>96</v>
      </c>
      <c r="Y48" s="158" t="s">
        <v>96</v>
      </c>
      <c r="Z48" s="158" t="s">
        <v>96</v>
      </c>
    </row>
    <row r="49" spans="1:26" x14ac:dyDescent="0.25">
      <c r="A49" s="9" t="s">
        <v>36</v>
      </c>
      <c r="B49" s="118">
        <v>11</v>
      </c>
      <c r="C49" s="118">
        <v>8.4</v>
      </c>
      <c r="D49" s="118">
        <v>4.3</v>
      </c>
      <c r="E49" s="118">
        <v>6.9</v>
      </c>
      <c r="F49" s="118">
        <v>4.0999999999999996</v>
      </c>
      <c r="G49" s="118">
        <v>5.2</v>
      </c>
      <c r="H49" s="118">
        <v>3.8</v>
      </c>
      <c r="I49" s="118">
        <v>72</v>
      </c>
      <c r="J49" s="118">
        <v>31</v>
      </c>
      <c r="K49" s="118">
        <v>0.5</v>
      </c>
      <c r="L49" s="118">
        <v>5.2</v>
      </c>
      <c r="M49" s="118">
        <v>1.8</v>
      </c>
      <c r="N49" s="118">
        <v>4.9000000000000004</v>
      </c>
      <c r="O49" s="118">
        <v>7.1</v>
      </c>
      <c r="P49" s="118">
        <v>9.1</v>
      </c>
      <c r="Q49" s="118" t="s">
        <v>96</v>
      </c>
      <c r="R49" s="118">
        <v>4.4000000000000004</v>
      </c>
      <c r="S49" s="129">
        <v>3.9</v>
      </c>
      <c r="T49" s="118">
        <v>1.3</v>
      </c>
      <c r="U49" s="118">
        <v>39</v>
      </c>
      <c r="V49" s="118">
        <v>31</v>
      </c>
      <c r="W49" s="129">
        <v>3.2</v>
      </c>
      <c r="X49" s="158">
        <v>55</v>
      </c>
      <c r="Y49" s="21">
        <v>35</v>
      </c>
      <c r="Z49" s="21">
        <v>21</v>
      </c>
    </row>
    <row r="50" spans="1:26" x14ac:dyDescent="0.25">
      <c r="A50" s="9" t="s">
        <v>37</v>
      </c>
      <c r="B50" s="118">
        <v>31</v>
      </c>
      <c r="C50" s="118" t="s">
        <v>96</v>
      </c>
      <c r="D50" s="118">
        <v>9.4</v>
      </c>
      <c r="E50" s="118">
        <v>14</v>
      </c>
      <c r="F50" s="118">
        <v>13</v>
      </c>
      <c r="G50" s="118">
        <v>24</v>
      </c>
      <c r="H50" s="118">
        <v>0.5</v>
      </c>
      <c r="I50" s="118">
        <v>33</v>
      </c>
      <c r="J50" s="118">
        <v>20</v>
      </c>
      <c r="K50" s="118">
        <v>14</v>
      </c>
      <c r="L50" s="118">
        <v>18</v>
      </c>
      <c r="M50" s="118">
        <v>17</v>
      </c>
      <c r="N50" s="118">
        <v>4.0999999999999996</v>
      </c>
      <c r="O50" s="118">
        <v>0.7</v>
      </c>
      <c r="P50" s="118">
        <v>11</v>
      </c>
      <c r="Q50" s="118">
        <v>3.9</v>
      </c>
      <c r="R50" s="118">
        <v>0.2</v>
      </c>
      <c r="S50" s="118">
        <v>0.6</v>
      </c>
      <c r="T50" s="118">
        <v>0.5</v>
      </c>
      <c r="U50" s="118" t="s">
        <v>96</v>
      </c>
      <c r="V50" s="118">
        <v>5.7</v>
      </c>
      <c r="W50" s="139" t="s">
        <v>96</v>
      </c>
      <c r="X50" s="159" t="s">
        <v>96</v>
      </c>
      <c r="Y50" s="129">
        <v>2.4</v>
      </c>
      <c r="Z50" s="129">
        <v>0.5</v>
      </c>
    </row>
    <row r="51" spans="1:26" x14ac:dyDescent="0.25">
      <c r="A51" s="9" t="s">
        <v>38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>
        <v>2.6</v>
      </c>
      <c r="Q51" s="118" t="s">
        <v>96</v>
      </c>
      <c r="R51" s="118" t="s">
        <v>96</v>
      </c>
      <c r="S51" s="118" t="s">
        <v>96</v>
      </c>
      <c r="T51" s="118">
        <v>51</v>
      </c>
      <c r="U51" s="118" t="s">
        <v>96</v>
      </c>
      <c r="V51" s="139" t="s">
        <v>96</v>
      </c>
      <c r="W51" s="129">
        <v>8.6999999999999993</v>
      </c>
      <c r="X51" s="159">
        <v>5.4</v>
      </c>
      <c r="Y51" s="21">
        <v>91</v>
      </c>
      <c r="Z51" s="158" t="s">
        <v>96</v>
      </c>
    </row>
    <row r="52" spans="1:26" ht="18" x14ac:dyDescent="0.25">
      <c r="A52" s="8" t="s">
        <v>115</v>
      </c>
      <c r="B52" s="123">
        <v>6</v>
      </c>
      <c r="C52" s="120">
        <v>5.4</v>
      </c>
      <c r="D52" s="120">
        <v>7.7</v>
      </c>
      <c r="E52" s="120">
        <v>9.8000000000000007</v>
      </c>
      <c r="F52" s="120">
        <v>2.7</v>
      </c>
      <c r="G52" s="120">
        <v>4.5999999999999996</v>
      </c>
      <c r="H52" s="120">
        <v>8.3000000000000007</v>
      </c>
      <c r="I52" s="120">
        <v>17</v>
      </c>
      <c r="J52" s="120">
        <v>22</v>
      </c>
      <c r="K52" s="120">
        <v>20</v>
      </c>
      <c r="L52" s="120">
        <v>30</v>
      </c>
      <c r="M52" s="120">
        <v>50</v>
      </c>
      <c r="N52" s="120">
        <v>26</v>
      </c>
      <c r="O52" s="120">
        <v>24</v>
      </c>
      <c r="P52" s="120">
        <v>26</v>
      </c>
      <c r="Q52" s="120">
        <v>11</v>
      </c>
      <c r="R52" s="120">
        <v>5.3</v>
      </c>
      <c r="S52" s="120">
        <v>15</v>
      </c>
      <c r="T52" s="120">
        <v>9.6</v>
      </c>
      <c r="U52" s="120">
        <v>14</v>
      </c>
      <c r="V52" s="120">
        <v>18</v>
      </c>
      <c r="W52" s="22">
        <v>15</v>
      </c>
      <c r="X52" s="157">
        <v>21</v>
      </c>
      <c r="Y52" s="22">
        <v>14</v>
      </c>
      <c r="Z52" s="22">
        <v>13</v>
      </c>
    </row>
    <row r="53" spans="1:26" x14ac:dyDescent="0.25">
      <c r="A53" s="9" t="s">
        <v>39</v>
      </c>
      <c r="B53" s="118">
        <v>4.5999999999999996</v>
      </c>
      <c r="C53" s="118">
        <v>12</v>
      </c>
      <c r="D53" s="118">
        <v>14</v>
      </c>
      <c r="E53" s="118">
        <v>29</v>
      </c>
      <c r="F53" s="118">
        <v>4.4000000000000004</v>
      </c>
      <c r="G53" s="129">
        <v>3</v>
      </c>
      <c r="H53" s="129">
        <v>7.4</v>
      </c>
      <c r="I53" s="129">
        <v>9.1</v>
      </c>
      <c r="J53" s="21">
        <v>10</v>
      </c>
      <c r="K53" s="21">
        <v>29</v>
      </c>
      <c r="L53" s="118">
        <v>6.9</v>
      </c>
      <c r="M53" s="118">
        <v>12</v>
      </c>
      <c r="N53" s="118">
        <v>17</v>
      </c>
      <c r="O53" s="118">
        <v>19</v>
      </c>
      <c r="P53" s="118">
        <v>14</v>
      </c>
      <c r="Q53" s="118">
        <v>6.5</v>
      </c>
      <c r="R53" s="118">
        <v>3.3</v>
      </c>
      <c r="S53" s="118">
        <v>3.5</v>
      </c>
      <c r="T53" s="118">
        <v>3.6</v>
      </c>
      <c r="U53" s="118">
        <v>5.5</v>
      </c>
      <c r="V53" s="118">
        <v>0.6</v>
      </c>
      <c r="W53" s="139" t="s">
        <v>96</v>
      </c>
      <c r="X53" s="158">
        <v>14</v>
      </c>
      <c r="Y53" s="129">
        <v>0.5</v>
      </c>
      <c r="Z53" s="158" t="s">
        <v>96</v>
      </c>
    </row>
    <row r="54" spans="1:26" x14ac:dyDescent="0.25">
      <c r="A54" s="9" t="s">
        <v>99</v>
      </c>
      <c r="B54" s="118" t="s">
        <v>96</v>
      </c>
      <c r="C54" s="118">
        <v>22</v>
      </c>
      <c r="D54" s="118">
        <v>48</v>
      </c>
      <c r="E54" s="118" t="s">
        <v>96</v>
      </c>
      <c r="F54" s="118" t="s">
        <v>96</v>
      </c>
      <c r="G54" s="118" t="s">
        <v>96</v>
      </c>
      <c r="H54" s="118" t="s">
        <v>96</v>
      </c>
      <c r="I54" s="118">
        <v>113</v>
      </c>
      <c r="J54" s="118">
        <v>4.9000000000000004</v>
      </c>
      <c r="K54" s="118" t="s">
        <v>96</v>
      </c>
      <c r="L54" s="118" t="s">
        <v>96</v>
      </c>
      <c r="M54" s="118">
        <v>17</v>
      </c>
      <c r="N54" s="118">
        <v>92</v>
      </c>
      <c r="O54" s="118">
        <v>67</v>
      </c>
      <c r="P54" s="118">
        <v>15</v>
      </c>
      <c r="Q54" s="118">
        <v>119</v>
      </c>
      <c r="R54" s="118" t="s">
        <v>96</v>
      </c>
      <c r="S54" s="118" t="s">
        <v>96</v>
      </c>
      <c r="T54" s="118" t="s">
        <v>96</v>
      </c>
      <c r="U54" s="118" t="s">
        <v>96</v>
      </c>
      <c r="V54" s="139" t="s">
        <v>96</v>
      </c>
      <c r="W54" s="139" t="s">
        <v>96</v>
      </c>
      <c r="X54" s="158" t="s">
        <v>96</v>
      </c>
      <c r="Y54" s="21">
        <v>11</v>
      </c>
      <c r="Z54" s="129">
        <v>3.8</v>
      </c>
    </row>
    <row r="55" spans="1:26" ht="19.5" x14ac:dyDescent="0.25">
      <c r="A55" s="9" t="s">
        <v>41</v>
      </c>
      <c r="B55" s="118">
        <v>37</v>
      </c>
      <c r="C55" s="118" t="s">
        <v>96</v>
      </c>
      <c r="D55" s="118" t="s">
        <v>96</v>
      </c>
      <c r="E55" s="118">
        <v>11</v>
      </c>
      <c r="F55" s="118" t="s">
        <v>96</v>
      </c>
      <c r="G55" s="118">
        <v>20</v>
      </c>
      <c r="H55" s="118" t="s">
        <v>96</v>
      </c>
      <c r="I55" s="118">
        <v>6.8</v>
      </c>
      <c r="J55" s="118">
        <v>32</v>
      </c>
      <c r="K55" s="118">
        <v>8.6999999999999993</v>
      </c>
      <c r="L55" s="118" t="s">
        <v>96</v>
      </c>
      <c r="M55" s="118">
        <v>17</v>
      </c>
      <c r="N55" s="118" t="s">
        <v>96</v>
      </c>
      <c r="O55" s="118">
        <v>3.5</v>
      </c>
      <c r="P55" s="118">
        <v>127</v>
      </c>
      <c r="Q55" s="118">
        <v>20</v>
      </c>
      <c r="R55" s="118">
        <v>8.1999999999999993</v>
      </c>
      <c r="S55" s="118">
        <v>39</v>
      </c>
      <c r="T55" s="118">
        <v>2.7</v>
      </c>
      <c r="U55" s="118">
        <v>5.4</v>
      </c>
      <c r="V55" s="139" t="s">
        <v>96</v>
      </c>
      <c r="W55" s="139" t="s">
        <v>96</v>
      </c>
      <c r="X55" s="158">
        <v>33</v>
      </c>
      <c r="Y55" s="21">
        <v>13</v>
      </c>
      <c r="Z55" s="129">
        <v>3.3</v>
      </c>
    </row>
    <row r="56" spans="1:26" ht="19.5" x14ac:dyDescent="0.25">
      <c r="A56" s="9" t="s">
        <v>42</v>
      </c>
      <c r="B56" s="118" t="s">
        <v>96</v>
      </c>
      <c r="C56" s="118">
        <v>17</v>
      </c>
      <c r="D56" s="118" t="s">
        <v>96</v>
      </c>
      <c r="E56" s="118" t="s">
        <v>96</v>
      </c>
      <c r="F56" s="118" t="s">
        <v>96</v>
      </c>
      <c r="G56" s="118" t="s">
        <v>96</v>
      </c>
      <c r="H56" s="118" t="s">
        <v>96</v>
      </c>
      <c r="I56" s="118">
        <v>2.2000000000000002</v>
      </c>
      <c r="J56" s="118" t="s">
        <v>96</v>
      </c>
      <c r="K56" s="118">
        <v>28</v>
      </c>
      <c r="L56" s="118">
        <v>104</v>
      </c>
      <c r="M56" s="118">
        <v>25</v>
      </c>
      <c r="N56" s="118">
        <v>47</v>
      </c>
      <c r="O56" s="118" t="s">
        <v>96</v>
      </c>
      <c r="P56" s="118" t="s">
        <v>96</v>
      </c>
      <c r="Q56" s="118" t="s">
        <v>96</v>
      </c>
      <c r="R56" s="118">
        <v>11</v>
      </c>
      <c r="S56" s="118" t="s">
        <v>96</v>
      </c>
      <c r="T56" s="118" t="s">
        <v>96</v>
      </c>
      <c r="U56" s="118">
        <v>6.4</v>
      </c>
      <c r="V56" s="139" t="s">
        <v>96</v>
      </c>
      <c r="W56" s="21">
        <v>151</v>
      </c>
      <c r="X56" s="158">
        <v>101</v>
      </c>
      <c r="Y56" s="21">
        <v>64</v>
      </c>
      <c r="Z56" s="21">
        <v>46</v>
      </c>
    </row>
    <row r="57" spans="1:26" ht="19.5" x14ac:dyDescent="0.25">
      <c r="A57" s="9" t="s">
        <v>43</v>
      </c>
      <c r="B57" s="118" t="s">
        <v>96</v>
      </c>
      <c r="C57" s="118" t="s">
        <v>96</v>
      </c>
      <c r="D57" s="118" t="s">
        <v>96</v>
      </c>
      <c r="E57" s="118" t="s">
        <v>96</v>
      </c>
      <c r="F57" s="118">
        <v>4.2</v>
      </c>
      <c r="G57" s="118" t="s">
        <v>96</v>
      </c>
      <c r="H57" s="118" t="s">
        <v>96</v>
      </c>
      <c r="I57" s="118" t="s">
        <v>96</v>
      </c>
      <c r="J57" s="118">
        <v>0.7</v>
      </c>
      <c r="K57" s="118" t="s">
        <v>96</v>
      </c>
      <c r="L57" s="118">
        <v>155</v>
      </c>
      <c r="M57" s="118" t="s">
        <v>96</v>
      </c>
      <c r="N57" s="118" t="s">
        <v>96</v>
      </c>
      <c r="O57" s="118" t="s">
        <v>96</v>
      </c>
      <c r="P57" s="118">
        <v>85</v>
      </c>
      <c r="Q57" s="118">
        <v>1.4</v>
      </c>
      <c r="R57" s="118" t="s">
        <v>96</v>
      </c>
      <c r="S57" s="118" t="s">
        <v>96</v>
      </c>
      <c r="T57" s="118">
        <v>36</v>
      </c>
      <c r="U57" s="118">
        <v>41</v>
      </c>
      <c r="V57" s="118">
        <v>36</v>
      </c>
      <c r="W57" s="21">
        <v>36</v>
      </c>
      <c r="X57" s="158">
        <v>20</v>
      </c>
      <c r="Y57" s="21">
        <v>16</v>
      </c>
      <c r="Z57" s="158" t="s">
        <v>96</v>
      </c>
    </row>
    <row r="58" spans="1:26" x14ac:dyDescent="0.25">
      <c r="A58" s="9" t="s">
        <v>97</v>
      </c>
      <c r="B58" s="118" t="s">
        <v>96</v>
      </c>
      <c r="C58" s="118" t="s">
        <v>96</v>
      </c>
      <c r="D58" s="118" t="s">
        <v>96</v>
      </c>
      <c r="E58" s="118" t="s">
        <v>96</v>
      </c>
      <c r="F58" s="118" t="s">
        <v>96</v>
      </c>
      <c r="G58" s="118" t="s">
        <v>96</v>
      </c>
      <c r="H58" s="118" t="s">
        <v>96</v>
      </c>
      <c r="I58" s="118" t="s">
        <v>96</v>
      </c>
      <c r="J58" s="118" t="s">
        <v>96</v>
      </c>
      <c r="K58" s="118" t="s">
        <v>96</v>
      </c>
      <c r="L58" s="118" t="s">
        <v>96</v>
      </c>
      <c r="M58" s="118">
        <v>305</v>
      </c>
      <c r="N58" s="118">
        <v>47</v>
      </c>
      <c r="O58" s="118">
        <v>9.6999999999999993</v>
      </c>
      <c r="P58" s="118" t="s">
        <v>96</v>
      </c>
      <c r="Q58" s="118" t="s">
        <v>96</v>
      </c>
      <c r="R58" s="118" t="s">
        <v>96</v>
      </c>
      <c r="S58" s="118" t="s">
        <v>96</v>
      </c>
      <c r="T58" s="118">
        <v>35</v>
      </c>
      <c r="U58" s="118">
        <v>41</v>
      </c>
      <c r="V58" s="118">
        <v>40</v>
      </c>
      <c r="W58" s="21">
        <v>33</v>
      </c>
      <c r="X58" s="158">
        <v>12</v>
      </c>
      <c r="Y58" s="21">
        <v>36</v>
      </c>
      <c r="Z58" s="21">
        <v>33</v>
      </c>
    </row>
    <row r="59" spans="1:26" x14ac:dyDescent="0.25">
      <c r="A59" s="9" t="s">
        <v>45</v>
      </c>
      <c r="B59" s="118">
        <v>3.1</v>
      </c>
      <c r="C59" s="118" t="s">
        <v>96</v>
      </c>
      <c r="D59" s="118">
        <v>3.7</v>
      </c>
      <c r="E59" s="118">
        <v>0.8</v>
      </c>
      <c r="F59" s="118">
        <v>3.5</v>
      </c>
      <c r="G59" s="118">
        <v>5.8</v>
      </c>
      <c r="H59" s="118">
        <v>20</v>
      </c>
      <c r="I59" s="118">
        <v>27</v>
      </c>
      <c r="J59" s="118">
        <v>50</v>
      </c>
      <c r="K59" s="118">
        <v>30</v>
      </c>
      <c r="L59" s="118">
        <v>35</v>
      </c>
      <c r="M59" s="118">
        <v>2.9</v>
      </c>
      <c r="N59" s="118">
        <v>27</v>
      </c>
      <c r="O59" s="118">
        <v>45</v>
      </c>
      <c r="P59" s="118">
        <v>12</v>
      </c>
      <c r="Q59" s="118">
        <v>6.8</v>
      </c>
      <c r="R59" s="118">
        <v>10</v>
      </c>
      <c r="S59" s="118">
        <v>34</v>
      </c>
      <c r="T59" s="118">
        <v>2.4</v>
      </c>
      <c r="U59" s="118">
        <v>10</v>
      </c>
      <c r="V59" s="118">
        <v>34</v>
      </c>
      <c r="W59" s="129">
        <v>1.9</v>
      </c>
      <c r="X59" s="158">
        <v>21</v>
      </c>
      <c r="Y59" s="129">
        <v>8.6999999999999993</v>
      </c>
      <c r="Z59" s="21">
        <v>19</v>
      </c>
    </row>
    <row r="60" spans="1:26" ht="18" x14ac:dyDescent="0.25">
      <c r="A60" s="8" t="s">
        <v>90</v>
      </c>
      <c r="B60" s="120">
        <v>14</v>
      </c>
      <c r="C60" s="120">
        <v>19</v>
      </c>
      <c r="D60" s="120">
        <v>17</v>
      </c>
      <c r="E60" s="120">
        <v>17</v>
      </c>
      <c r="F60" s="123">
        <v>9</v>
      </c>
      <c r="G60" s="120">
        <v>14</v>
      </c>
      <c r="H60" s="120">
        <v>12</v>
      </c>
      <c r="I60" s="120">
        <v>22</v>
      </c>
      <c r="J60" s="120">
        <v>17</v>
      </c>
      <c r="K60" s="120">
        <v>13</v>
      </c>
      <c r="L60" s="120">
        <v>12</v>
      </c>
      <c r="M60" s="120">
        <v>14</v>
      </c>
      <c r="N60" s="120">
        <v>8.3000000000000007</v>
      </c>
      <c r="O60" s="120">
        <v>14</v>
      </c>
      <c r="P60" s="120">
        <v>16</v>
      </c>
      <c r="Q60" s="120">
        <v>22</v>
      </c>
      <c r="R60" s="120">
        <v>15</v>
      </c>
      <c r="S60" s="120">
        <v>16</v>
      </c>
      <c r="T60" s="120">
        <v>13</v>
      </c>
      <c r="U60" s="120">
        <v>26</v>
      </c>
      <c r="V60" s="120">
        <v>17</v>
      </c>
      <c r="W60" s="22">
        <v>20</v>
      </c>
      <c r="X60" s="157">
        <v>25</v>
      </c>
      <c r="Y60" s="22">
        <v>33</v>
      </c>
      <c r="Z60" s="22">
        <v>25</v>
      </c>
    </row>
    <row r="61" spans="1:26" x14ac:dyDescent="0.25">
      <c r="A61" s="9" t="s">
        <v>46</v>
      </c>
      <c r="B61" s="118">
        <v>41</v>
      </c>
      <c r="C61" s="118">
        <v>44</v>
      </c>
      <c r="D61" s="118">
        <v>24</v>
      </c>
      <c r="E61" s="118">
        <v>12</v>
      </c>
      <c r="F61" s="118">
        <v>8.6999999999999993</v>
      </c>
      <c r="G61" s="118">
        <v>5.4</v>
      </c>
      <c r="H61" s="118">
        <v>11</v>
      </c>
      <c r="I61" s="118">
        <v>15</v>
      </c>
      <c r="J61" s="118">
        <v>8.6</v>
      </c>
      <c r="K61" s="118">
        <v>8.1</v>
      </c>
      <c r="L61" s="118">
        <v>5.4</v>
      </c>
      <c r="M61" s="118">
        <v>3.4</v>
      </c>
      <c r="N61" s="118">
        <v>0.9</v>
      </c>
      <c r="O61" s="118">
        <v>13</v>
      </c>
      <c r="P61" s="118">
        <v>16</v>
      </c>
      <c r="Q61" s="118">
        <v>2.4</v>
      </c>
      <c r="R61" s="118">
        <v>16</v>
      </c>
      <c r="S61" s="118">
        <v>2.4</v>
      </c>
      <c r="T61" s="118">
        <v>4.5999999999999996</v>
      </c>
      <c r="U61" s="118">
        <v>16</v>
      </c>
      <c r="V61" s="118">
        <v>26</v>
      </c>
      <c r="W61" s="129">
        <v>7.2</v>
      </c>
      <c r="X61" s="158">
        <v>25</v>
      </c>
      <c r="Y61" s="21">
        <v>43</v>
      </c>
      <c r="Z61" s="21">
        <v>17</v>
      </c>
    </row>
    <row r="62" spans="1:26" x14ac:dyDescent="0.25">
      <c r="A62" s="9" t="s">
        <v>47</v>
      </c>
      <c r="B62" s="118">
        <v>11</v>
      </c>
      <c r="C62" s="118">
        <v>16</v>
      </c>
      <c r="D62" s="118">
        <v>103</v>
      </c>
      <c r="E62" s="118">
        <v>69</v>
      </c>
      <c r="F62" s="118" t="s">
        <v>96</v>
      </c>
      <c r="G62" s="118" t="s">
        <v>96</v>
      </c>
      <c r="H62" s="118">
        <v>14</v>
      </c>
      <c r="I62" s="118" t="s">
        <v>96</v>
      </c>
      <c r="J62" s="118" t="s">
        <v>96</v>
      </c>
      <c r="K62" s="118" t="s">
        <v>96</v>
      </c>
      <c r="L62" s="118">
        <v>11</v>
      </c>
      <c r="M62" s="118" t="s">
        <v>96</v>
      </c>
      <c r="N62" s="118" t="s">
        <v>96</v>
      </c>
      <c r="O62" s="118">
        <v>14</v>
      </c>
      <c r="P62" s="118">
        <v>65</v>
      </c>
      <c r="Q62" s="118">
        <v>122</v>
      </c>
      <c r="R62" s="118">
        <v>50</v>
      </c>
      <c r="S62" s="118">
        <v>4.4000000000000004</v>
      </c>
      <c r="T62" s="118" t="s">
        <v>96</v>
      </c>
      <c r="U62" s="118">
        <v>20</v>
      </c>
      <c r="V62" s="118">
        <v>44</v>
      </c>
      <c r="W62" s="129">
        <v>2.2000000000000002</v>
      </c>
      <c r="X62" s="158">
        <v>11</v>
      </c>
      <c r="Y62" s="21">
        <v>28</v>
      </c>
      <c r="Z62" s="158" t="s">
        <v>96</v>
      </c>
    </row>
    <row r="63" spans="1:26" x14ac:dyDescent="0.25">
      <c r="A63" s="9" t="s">
        <v>48</v>
      </c>
      <c r="B63" s="118">
        <v>33</v>
      </c>
      <c r="C63" s="118">
        <v>22</v>
      </c>
      <c r="D63" s="118">
        <v>73</v>
      </c>
      <c r="E63" s="118">
        <v>34</v>
      </c>
      <c r="F63" s="118" t="s">
        <v>96</v>
      </c>
      <c r="G63" s="118">
        <v>12</v>
      </c>
      <c r="H63" s="118" t="s">
        <v>96</v>
      </c>
      <c r="I63" s="118">
        <v>84</v>
      </c>
      <c r="J63" s="118" t="s">
        <v>96</v>
      </c>
      <c r="K63" s="118">
        <v>29</v>
      </c>
      <c r="L63" s="118">
        <v>72</v>
      </c>
      <c r="M63" s="118">
        <v>37</v>
      </c>
      <c r="N63" s="118">
        <v>30</v>
      </c>
      <c r="O63" s="118">
        <v>3.5</v>
      </c>
      <c r="P63" s="118">
        <v>68</v>
      </c>
      <c r="Q63" s="118">
        <v>20</v>
      </c>
      <c r="R63" s="118">
        <v>3.8</v>
      </c>
      <c r="S63" s="129">
        <v>3.9</v>
      </c>
      <c r="T63" s="118">
        <v>62</v>
      </c>
      <c r="U63" s="118">
        <v>68</v>
      </c>
      <c r="V63" s="139" t="s">
        <v>96</v>
      </c>
      <c r="W63" s="21">
        <v>45</v>
      </c>
      <c r="X63" s="159" t="s">
        <v>96</v>
      </c>
      <c r="Y63" s="21">
        <v>46</v>
      </c>
      <c r="Z63" s="158" t="s">
        <v>96</v>
      </c>
    </row>
    <row r="64" spans="1:26" x14ac:dyDescent="0.25">
      <c r="A64" s="9" t="s">
        <v>49</v>
      </c>
      <c r="B64" s="118">
        <v>25</v>
      </c>
      <c r="C64" s="118">
        <v>19</v>
      </c>
      <c r="D64" s="118">
        <v>40</v>
      </c>
      <c r="E64" s="118">
        <v>18</v>
      </c>
      <c r="F64" s="118">
        <v>18</v>
      </c>
      <c r="G64" s="118">
        <v>17</v>
      </c>
      <c r="H64" s="118">
        <v>5.8</v>
      </c>
      <c r="I64" s="118">
        <v>42</v>
      </c>
      <c r="J64" s="118">
        <v>40</v>
      </c>
      <c r="K64" s="118">
        <v>39</v>
      </c>
      <c r="L64" s="118">
        <v>21</v>
      </c>
      <c r="M64" s="118">
        <v>11</v>
      </c>
      <c r="N64" s="118">
        <v>28</v>
      </c>
      <c r="O64" s="118">
        <v>41</v>
      </c>
      <c r="P64" s="118">
        <v>22</v>
      </c>
      <c r="Q64" s="118">
        <v>57</v>
      </c>
      <c r="R64" s="118">
        <v>33</v>
      </c>
      <c r="S64" s="118">
        <v>33</v>
      </c>
      <c r="T64" s="118">
        <v>18</v>
      </c>
      <c r="U64" s="118">
        <v>35</v>
      </c>
      <c r="V64" s="118">
        <v>28</v>
      </c>
      <c r="W64" s="21">
        <v>48</v>
      </c>
      <c r="X64" s="158">
        <v>23</v>
      </c>
      <c r="Y64" s="21">
        <v>30</v>
      </c>
      <c r="Z64" s="21">
        <v>37</v>
      </c>
    </row>
    <row r="65" spans="1:26" x14ac:dyDescent="0.25">
      <c r="A65" s="9" t="s">
        <v>50</v>
      </c>
      <c r="B65" s="118" t="s">
        <v>96</v>
      </c>
      <c r="C65" s="118">
        <v>2.8</v>
      </c>
      <c r="D65" s="118">
        <v>9.5</v>
      </c>
      <c r="E65" s="118">
        <v>35</v>
      </c>
      <c r="F65" s="118">
        <v>10</v>
      </c>
      <c r="G65" s="118">
        <v>2.2999999999999998</v>
      </c>
      <c r="H65" s="118" t="s">
        <v>96</v>
      </c>
      <c r="I65" s="118">
        <v>56</v>
      </c>
      <c r="J65" s="118">
        <v>6.5</v>
      </c>
      <c r="K65" s="118" t="s">
        <v>96</v>
      </c>
      <c r="L65" s="118">
        <v>13</v>
      </c>
      <c r="M65" s="118">
        <v>12</v>
      </c>
      <c r="N65" s="118">
        <v>13</v>
      </c>
      <c r="O65" s="118" t="s">
        <v>96</v>
      </c>
      <c r="P65" s="118" t="s">
        <v>96</v>
      </c>
      <c r="Q65" s="118">
        <v>7.3</v>
      </c>
      <c r="R65" s="118">
        <v>8.4</v>
      </c>
      <c r="S65" s="118">
        <v>3.7</v>
      </c>
      <c r="T65" s="118">
        <v>34</v>
      </c>
      <c r="U65" s="118">
        <v>5.0999999999999996</v>
      </c>
      <c r="V65" s="118">
        <v>11</v>
      </c>
      <c r="W65" s="21">
        <v>64</v>
      </c>
      <c r="X65" s="158">
        <v>80</v>
      </c>
      <c r="Y65" s="21">
        <v>12</v>
      </c>
      <c r="Z65" s="129">
        <v>5.2</v>
      </c>
    </row>
    <row r="66" spans="1:26" x14ac:dyDescent="0.25">
      <c r="A66" s="9" t="s">
        <v>51</v>
      </c>
      <c r="B66" s="118">
        <v>31</v>
      </c>
      <c r="C66" s="118">
        <v>19</v>
      </c>
      <c r="D66" s="118">
        <v>8.6999999999999993</v>
      </c>
      <c r="E66" s="118">
        <v>42</v>
      </c>
      <c r="F66" s="118">
        <v>1.9</v>
      </c>
      <c r="G66" s="118">
        <v>16</v>
      </c>
      <c r="H66" s="118">
        <v>39</v>
      </c>
      <c r="I66" s="118" t="s">
        <v>96</v>
      </c>
      <c r="J66" s="118">
        <v>7.9</v>
      </c>
      <c r="K66" s="118">
        <v>44</v>
      </c>
      <c r="L66" s="118">
        <v>5.7</v>
      </c>
      <c r="M66" s="118">
        <v>5.2</v>
      </c>
      <c r="N66" s="118">
        <v>8.8000000000000007</v>
      </c>
      <c r="O66" s="118">
        <v>73</v>
      </c>
      <c r="P66" s="118">
        <v>97</v>
      </c>
      <c r="Q66" s="118">
        <v>98</v>
      </c>
      <c r="R66" s="118">
        <v>61</v>
      </c>
      <c r="S66" s="118">
        <v>105</v>
      </c>
      <c r="T66" s="118">
        <v>59</v>
      </c>
      <c r="U66" s="118">
        <v>108</v>
      </c>
      <c r="V66" s="118">
        <v>20</v>
      </c>
      <c r="W66" s="21">
        <v>69</v>
      </c>
      <c r="X66" s="158">
        <v>25</v>
      </c>
      <c r="Y66" s="21">
        <v>53</v>
      </c>
      <c r="Z66" s="21">
        <v>32</v>
      </c>
    </row>
    <row r="67" spans="1:26" x14ac:dyDescent="0.25">
      <c r="A67" s="9" t="s">
        <v>52</v>
      </c>
      <c r="B67" s="118">
        <v>12</v>
      </c>
      <c r="C67" s="118">
        <v>14</v>
      </c>
      <c r="D67" s="118">
        <v>16</v>
      </c>
      <c r="E67" s="118">
        <v>27</v>
      </c>
      <c r="F67" s="118">
        <v>11</v>
      </c>
      <c r="G67" s="118">
        <v>13</v>
      </c>
      <c r="H67" s="118">
        <v>40</v>
      </c>
      <c r="I67" s="118">
        <v>16</v>
      </c>
      <c r="J67" s="118">
        <v>16</v>
      </c>
      <c r="K67" s="118">
        <v>1.2</v>
      </c>
      <c r="L67" s="118">
        <v>18</v>
      </c>
      <c r="M67" s="118">
        <v>21</v>
      </c>
      <c r="N67" s="118">
        <v>15</v>
      </c>
      <c r="O67" s="118">
        <v>8.5</v>
      </c>
      <c r="P67" s="118">
        <v>25</v>
      </c>
      <c r="Q67" s="118">
        <v>14</v>
      </c>
      <c r="R67" s="118">
        <v>1.6</v>
      </c>
      <c r="S67" s="129">
        <v>9.1</v>
      </c>
      <c r="T67" s="118">
        <v>7.7</v>
      </c>
      <c r="U67" s="118">
        <v>1.4</v>
      </c>
      <c r="V67" s="118">
        <v>18</v>
      </c>
      <c r="W67" s="21">
        <v>19</v>
      </c>
      <c r="X67" s="158">
        <v>60</v>
      </c>
      <c r="Y67" s="21">
        <v>69</v>
      </c>
      <c r="Z67" s="21">
        <v>16</v>
      </c>
    </row>
    <row r="68" spans="1:26" x14ac:dyDescent="0.25">
      <c r="A68" s="9" t="s">
        <v>53</v>
      </c>
      <c r="B68" s="118">
        <v>29</v>
      </c>
      <c r="C68" s="118">
        <v>34</v>
      </c>
      <c r="D68" s="118">
        <v>13</v>
      </c>
      <c r="E68" s="118">
        <v>26</v>
      </c>
      <c r="F68" s="118" t="s">
        <v>96</v>
      </c>
      <c r="G68" s="118">
        <v>17</v>
      </c>
      <c r="H68" s="118" t="s">
        <v>96</v>
      </c>
      <c r="I68" s="118">
        <v>59</v>
      </c>
      <c r="J68" s="118">
        <v>18</v>
      </c>
      <c r="K68" s="118" t="s">
        <v>96</v>
      </c>
      <c r="L68" s="118">
        <v>14</v>
      </c>
      <c r="M68" s="118">
        <v>51</v>
      </c>
      <c r="N68" s="118">
        <v>0.8</v>
      </c>
      <c r="O68" s="118">
        <v>14</v>
      </c>
      <c r="P68" s="118">
        <v>20</v>
      </c>
      <c r="Q68" s="118">
        <v>62</v>
      </c>
      <c r="R68" s="118">
        <v>33</v>
      </c>
      <c r="S68" s="118">
        <v>12</v>
      </c>
      <c r="T68" s="118">
        <v>4.5999999999999996</v>
      </c>
      <c r="U68" s="118">
        <v>2.2000000000000002</v>
      </c>
      <c r="V68" s="118">
        <v>1.3</v>
      </c>
      <c r="W68" s="129">
        <v>4.3</v>
      </c>
      <c r="X68" s="159" t="s">
        <v>96</v>
      </c>
      <c r="Y68" s="158" t="s">
        <v>96</v>
      </c>
      <c r="Z68" s="21">
        <v>18</v>
      </c>
    </row>
    <row r="69" spans="1:26" x14ac:dyDescent="0.25">
      <c r="A69" s="9" t="s">
        <v>54</v>
      </c>
      <c r="B69" s="118">
        <v>4.2</v>
      </c>
      <c r="C69" s="118" t="s">
        <v>96</v>
      </c>
      <c r="D69" s="118">
        <v>5.0999999999999996</v>
      </c>
      <c r="E69" s="118">
        <v>11</v>
      </c>
      <c r="F69" s="118">
        <v>8.6999999999999993</v>
      </c>
      <c r="G69" s="118">
        <v>14</v>
      </c>
      <c r="H69" s="118" t="s">
        <v>96</v>
      </c>
      <c r="I69" s="118">
        <v>11</v>
      </c>
      <c r="J69" s="118">
        <v>11</v>
      </c>
      <c r="K69" s="118" t="s">
        <v>96</v>
      </c>
      <c r="L69" s="118">
        <v>0.8</v>
      </c>
      <c r="M69" s="118">
        <v>29</v>
      </c>
      <c r="N69" s="118">
        <v>1.6</v>
      </c>
      <c r="O69" s="118">
        <v>3.3</v>
      </c>
      <c r="P69" s="118">
        <v>1.5</v>
      </c>
      <c r="Q69" s="118">
        <v>6.8</v>
      </c>
      <c r="R69" s="118">
        <v>3.4</v>
      </c>
      <c r="S69" s="118">
        <v>0.6</v>
      </c>
      <c r="T69" s="118">
        <v>3.9</v>
      </c>
      <c r="U69" s="118">
        <v>5.2</v>
      </c>
      <c r="V69" s="118">
        <v>0.7</v>
      </c>
      <c r="W69" s="139" t="s">
        <v>96</v>
      </c>
      <c r="X69" s="159">
        <v>9.1999999999999993</v>
      </c>
      <c r="Y69" s="21">
        <v>14</v>
      </c>
      <c r="Z69" s="21">
        <v>32</v>
      </c>
    </row>
    <row r="70" spans="1:26" x14ac:dyDescent="0.25">
      <c r="A70" s="9" t="s">
        <v>55</v>
      </c>
      <c r="B70" s="118" t="s">
        <v>96</v>
      </c>
      <c r="C70" s="118">
        <v>42</v>
      </c>
      <c r="D70" s="118">
        <v>14</v>
      </c>
      <c r="E70" s="118">
        <v>20</v>
      </c>
      <c r="F70" s="118">
        <v>16</v>
      </c>
      <c r="G70" s="118">
        <v>3.3</v>
      </c>
      <c r="H70" s="118">
        <v>7.2</v>
      </c>
      <c r="I70" s="118">
        <v>18</v>
      </c>
      <c r="J70" s="118">
        <v>22</v>
      </c>
      <c r="K70" s="118">
        <v>20</v>
      </c>
      <c r="L70" s="118">
        <v>7.9</v>
      </c>
      <c r="M70" s="118">
        <v>29</v>
      </c>
      <c r="N70" s="118">
        <v>3.7</v>
      </c>
      <c r="O70" s="118">
        <v>11</v>
      </c>
      <c r="P70" s="118">
        <v>1.5</v>
      </c>
      <c r="Q70" s="118">
        <v>2.5</v>
      </c>
      <c r="R70" s="118">
        <v>8.6999999999999993</v>
      </c>
      <c r="S70" s="118">
        <v>9.3000000000000007</v>
      </c>
      <c r="T70" s="118">
        <v>4.7</v>
      </c>
      <c r="U70" s="118">
        <v>14</v>
      </c>
      <c r="V70" s="118">
        <v>11</v>
      </c>
      <c r="W70" s="21">
        <v>21</v>
      </c>
      <c r="X70" s="158">
        <v>44</v>
      </c>
      <c r="Y70" s="21">
        <v>57</v>
      </c>
      <c r="Z70" s="158" t="s">
        <v>96</v>
      </c>
    </row>
    <row r="71" spans="1:26" x14ac:dyDescent="0.25">
      <c r="A71" s="9" t="s">
        <v>56</v>
      </c>
      <c r="B71" s="118" t="s">
        <v>96</v>
      </c>
      <c r="C71" s="118" t="s">
        <v>96</v>
      </c>
      <c r="D71" s="118">
        <v>8.1999999999999993</v>
      </c>
      <c r="E71" s="118" t="s">
        <v>96</v>
      </c>
      <c r="F71" s="118">
        <v>17</v>
      </c>
      <c r="G71" s="118">
        <v>60</v>
      </c>
      <c r="H71" s="118" t="s">
        <v>96</v>
      </c>
      <c r="I71" s="118" t="s">
        <v>96</v>
      </c>
      <c r="J71" s="118">
        <v>17</v>
      </c>
      <c r="K71" s="118" t="s">
        <v>96</v>
      </c>
      <c r="L71" s="118" t="s">
        <v>96</v>
      </c>
      <c r="M71" s="118" t="s">
        <v>96</v>
      </c>
      <c r="N71" s="118">
        <v>2.8</v>
      </c>
      <c r="O71" s="118">
        <v>5.5</v>
      </c>
      <c r="P71" s="118" t="s">
        <v>96</v>
      </c>
      <c r="Q71" s="118">
        <v>20</v>
      </c>
      <c r="R71" s="118">
        <v>3.5</v>
      </c>
      <c r="S71" s="118">
        <v>52</v>
      </c>
      <c r="T71" s="118">
        <v>8.8000000000000007</v>
      </c>
      <c r="U71" s="118">
        <v>36</v>
      </c>
      <c r="V71" s="118">
        <v>43</v>
      </c>
      <c r="W71" s="21">
        <v>16</v>
      </c>
      <c r="X71" s="158" t="s">
        <v>96</v>
      </c>
      <c r="Y71" s="21">
        <v>25</v>
      </c>
      <c r="Z71" s="158" t="s">
        <v>96</v>
      </c>
    </row>
    <row r="72" spans="1:26" x14ac:dyDescent="0.25">
      <c r="A72" s="9" t="s">
        <v>57</v>
      </c>
      <c r="B72" s="118">
        <v>1.2</v>
      </c>
      <c r="C72" s="118">
        <v>5.8</v>
      </c>
      <c r="D72" s="118" t="s">
        <v>96</v>
      </c>
      <c r="E72" s="118">
        <v>6.2</v>
      </c>
      <c r="F72" s="118">
        <v>7.5</v>
      </c>
      <c r="G72" s="118">
        <v>25</v>
      </c>
      <c r="H72" s="118">
        <v>22</v>
      </c>
      <c r="I72" s="118">
        <v>14</v>
      </c>
      <c r="J72" s="118">
        <v>33</v>
      </c>
      <c r="K72" s="118">
        <v>20</v>
      </c>
      <c r="L72" s="118">
        <v>22</v>
      </c>
      <c r="M72" s="118" t="s">
        <v>96</v>
      </c>
      <c r="N72" s="129">
        <v>2</v>
      </c>
      <c r="O72" s="118" t="s">
        <v>96</v>
      </c>
      <c r="P72" s="118" t="s">
        <v>96</v>
      </c>
      <c r="Q72" s="118">
        <v>5.6</v>
      </c>
      <c r="R72" s="118">
        <v>7.8</v>
      </c>
      <c r="S72" s="118">
        <v>12</v>
      </c>
      <c r="T72" s="118">
        <v>7.4</v>
      </c>
      <c r="U72" s="118">
        <v>59</v>
      </c>
      <c r="V72" s="118">
        <v>4.7</v>
      </c>
      <c r="W72" s="139" t="s">
        <v>96</v>
      </c>
      <c r="X72" s="159" t="s">
        <v>96</v>
      </c>
      <c r="Y72" s="129">
        <v>4.3</v>
      </c>
      <c r="Z72" s="21">
        <v>56</v>
      </c>
    </row>
    <row r="73" spans="1:26" x14ac:dyDescent="0.25">
      <c r="A73" s="9" t="s">
        <v>58</v>
      </c>
      <c r="B73" s="118" t="s">
        <v>96</v>
      </c>
      <c r="C73" s="118">
        <v>25</v>
      </c>
      <c r="D73" s="118" t="s">
        <v>96</v>
      </c>
      <c r="E73" s="118">
        <v>4.5</v>
      </c>
      <c r="F73" s="118">
        <v>4.2</v>
      </c>
      <c r="G73" s="118">
        <v>0.3</v>
      </c>
      <c r="H73" s="118">
        <v>2.2999999999999998</v>
      </c>
      <c r="I73" s="129">
        <v>6</v>
      </c>
      <c r="J73" s="118">
        <v>7.8</v>
      </c>
      <c r="K73" s="118">
        <v>13</v>
      </c>
      <c r="L73" s="118">
        <v>1.2</v>
      </c>
      <c r="M73" s="129">
        <v>7</v>
      </c>
      <c r="N73" s="118">
        <v>5.0999999999999996</v>
      </c>
      <c r="O73" s="129">
        <v>2</v>
      </c>
      <c r="P73" s="118">
        <v>5.2</v>
      </c>
      <c r="Q73" s="118" t="s">
        <v>96</v>
      </c>
      <c r="R73" s="118">
        <v>1.2</v>
      </c>
      <c r="S73" s="118">
        <v>0.3</v>
      </c>
      <c r="T73" s="118">
        <v>0.3</v>
      </c>
      <c r="U73" s="118">
        <v>12</v>
      </c>
      <c r="V73" s="118">
        <v>21</v>
      </c>
      <c r="W73" s="139" t="s">
        <v>96</v>
      </c>
      <c r="X73" s="158">
        <v>35</v>
      </c>
      <c r="Y73" s="21">
        <v>63</v>
      </c>
      <c r="Z73" s="21">
        <v>46</v>
      </c>
    </row>
    <row r="74" spans="1:26" x14ac:dyDescent="0.25">
      <c r="A74" s="9" t="s">
        <v>59</v>
      </c>
      <c r="B74" s="118" t="s">
        <v>96</v>
      </c>
      <c r="C74" s="118">
        <v>2.1</v>
      </c>
      <c r="D74" s="118" t="s">
        <v>96</v>
      </c>
      <c r="E74" s="118" t="s">
        <v>96</v>
      </c>
      <c r="F74" s="118" t="s">
        <v>96</v>
      </c>
      <c r="G74" s="118">
        <v>10</v>
      </c>
      <c r="H74" s="118">
        <v>28</v>
      </c>
      <c r="I74" s="118">
        <v>16</v>
      </c>
      <c r="J74" s="118">
        <v>1.1000000000000001</v>
      </c>
      <c r="K74" s="118" t="s">
        <v>96</v>
      </c>
      <c r="L74" s="118" t="s">
        <v>96</v>
      </c>
      <c r="M74" s="118">
        <v>1.9</v>
      </c>
      <c r="N74" s="118">
        <v>4.7</v>
      </c>
      <c r="O74" s="118">
        <v>7.9</v>
      </c>
      <c r="P74" s="118">
        <v>2.4</v>
      </c>
      <c r="Q74" s="129">
        <v>2</v>
      </c>
      <c r="R74" s="118">
        <v>10</v>
      </c>
      <c r="S74" s="118">
        <v>33</v>
      </c>
      <c r="T74" s="118">
        <v>29</v>
      </c>
      <c r="U74" s="118">
        <v>36</v>
      </c>
      <c r="V74" s="118">
        <v>5.8</v>
      </c>
      <c r="W74" s="21">
        <v>21</v>
      </c>
      <c r="X74" s="158">
        <v>14</v>
      </c>
      <c r="Y74" s="21">
        <v>12</v>
      </c>
      <c r="Z74" s="129">
        <v>7.7</v>
      </c>
    </row>
    <row r="75" spans="1:26" ht="18" x14ac:dyDescent="0.25">
      <c r="A75" s="8" t="s">
        <v>136</v>
      </c>
      <c r="B75" s="120">
        <v>21</v>
      </c>
      <c r="C75" s="120">
        <v>22</v>
      </c>
      <c r="D75" s="120">
        <v>14</v>
      </c>
      <c r="E75" s="120">
        <v>12</v>
      </c>
      <c r="F75" s="120">
        <v>11</v>
      </c>
      <c r="G75" s="120">
        <v>19</v>
      </c>
      <c r="H75" s="120">
        <v>29</v>
      </c>
      <c r="I75" s="120">
        <v>44</v>
      </c>
      <c r="J75" s="120">
        <v>17</v>
      </c>
      <c r="K75" s="120">
        <v>15</v>
      </c>
      <c r="L75" s="120">
        <v>16</v>
      </c>
      <c r="M75" s="120">
        <v>8.1999999999999993</v>
      </c>
      <c r="N75" s="120">
        <v>12</v>
      </c>
      <c r="O75" s="120">
        <v>15</v>
      </c>
      <c r="P75" s="120">
        <v>10</v>
      </c>
      <c r="Q75" s="120">
        <v>17</v>
      </c>
      <c r="R75" s="120">
        <v>7.4</v>
      </c>
      <c r="S75" s="120">
        <v>19</v>
      </c>
      <c r="T75" s="120">
        <v>4.3</v>
      </c>
      <c r="U75" s="120">
        <v>7.2</v>
      </c>
      <c r="V75" s="120">
        <v>32</v>
      </c>
      <c r="W75" s="123">
        <v>9</v>
      </c>
      <c r="X75" s="157">
        <v>21</v>
      </c>
      <c r="Y75" s="22">
        <v>10</v>
      </c>
      <c r="Z75" s="22">
        <v>13</v>
      </c>
    </row>
    <row r="76" spans="1:26" x14ac:dyDescent="0.25">
      <c r="A76" s="9" t="s">
        <v>60</v>
      </c>
      <c r="B76" s="118" t="s">
        <v>96</v>
      </c>
      <c r="C76" s="118" t="s">
        <v>96</v>
      </c>
      <c r="D76" s="118" t="s">
        <v>96</v>
      </c>
      <c r="E76" s="118" t="s">
        <v>96</v>
      </c>
      <c r="F76" s="118">
        <v>10</v>
      </c>
      <c r="G76" s="118" t="s">
        <v>96</v>
      </c>
      <c r="H76" s="118" t="s">
        <v>96</v>
      </c>
      <c r="I76" s="118">
        <v>169</v>
      </c>
      <c r="J76" s="118" t="s">
        <v>96</v>
      </c>
      <c r="K76" s="118" t="s">
        <v>96</v>
      </c>
      <c r="L76" s="118" t="s">
        <v>96</v>
      </c>
      <c r="M76" s="118">
        <v>2.8</v>
      </c>
      <c r="N76" s="118" t="s">
        <v>96</v>
      </c>
      <c r="O76" s="118">
        <v>46</v>
      </c>
      <c r="P76" s="118" t="s">
        <v>96</v>
      </c>
      <c r="Q76" s="118">
        <v>2.1</v>
      </c>
      <c r="R76" s="118">
        <v>11</v>
      </c>
      <c r="S76" s="118">
        <v>10</v>
      </c>
      <c r="T76" s="118" t="s">
        <v>96</v>
      </c>
      <c r="U76" s="118">
        <v>6.2</v>
      </c>
      <c r="V76" s="118">
        <v>107</v>
      </c>
      <c r="W76" s="139" t="s">
        <v>96</v>
      </c>
      <c r="X76" s="158">
        <v>75</v>
      </c>
      <c r="Y76" s="158" t="s">
        <v>96</v>
      </c>
      <c r="Z76" s="158" t="s">
        <v>96</v>
      </c>
    </row>
    <row r="77" spans="1:26" x14ac:dyDescent="0.25">
      <c r="A77" s="9" t="s">
        <v>61</v>
      </c>
      <c r="B77" s="118">
        <v>31</v>
      </c>
      <c r="C77" s="118">
        <v>9.6</v>
      </c>
      <c r="D77" s="118">
        <v>27</v>
      </c>
      <c r="E77" s="118">
        <v>12</v>
      </c>
      <c r="F77" s="118">
        <v>15</v>
      </c>
      <c r="G77" s="118">
        <v>20</v>
      </c>
      <c r="H77" s="118">
        <v>50</v>
      </c>
      <c r="I77" s="118">
        <v>37</v>
      </c>
      <c r="J77" s="118">
        <v>34</v>
      </c>
      <c r="K77" s="118">
        <v>28</v>
      </c>
      <c r="L77" s="118">
        <v>4.5999999999999996</v>
      </c>
      <c r="M77" s="118">
        <v>0.2</v>
      </c>
      <c r="N77" s="129">
        <v>1</v>
      </c>
      <c r="O77" s="118">
        <v>4.4000000000000004</v>
      </c>
      <c r="P77" s="118">
        <v>6.7</v>
      </c>
      <c r="Q77" s="118">
        <v>21</v>
      </c>
      <c r="R77" s="118">
        <v>2.4</v>
      </c>
      <c r="S77" s="118">
        <v>32</v>
      </c>
      <c r="T77" s="118">
        <v>9.3000000000000007</v>
      </c>
      <c r="U77" s="118">
        <v>3.9</v>
      </c>
      <c r="V77" s="118">
        <v>37</v>
      </c>
      <c r="W77" s="139" t="s">
        <v>96</v>
      </c>
      <c r="X77" s="159">
        <v>2.1</v>
      </c>
      <c r="Y77" s="129">
        <v>7.1</v>
      </c>
      <c r="Z77" s="21">
        <v>28</v>
      </c>
    </row>
    <row r="78" spans="1:26" x14ac:dyDescent="0.25">
      <c r="A78" s="9" t="s">
        <v>62</v>
      </c>
      <c r="B78" s="118">
        <v>32</v>
      </c>
      <c r="C78" s="118">
        <v>66</v>
      </c>
      <c r="D78" s="118">
        <v>14</v>
      </c>
      <c r="E78" s="118">
        <v>29</v>
      </c>
      <c r="F78" s="118">
        <v>16</v>
      </c>
      <c r="G78" s="118">
        <v>6.5</v>
      </c>
      <c r="H78" s="118">
        <v>19</v>
      </c>
      <c r="I78" s="118">
        <v>46</v>
      </c>
      <c r="J78" s="118">
        <v>4.7</v>
      </c>
      <c r="K78" s="118">
        <v>10</v>
      </c>
      <c r="L78" s="118">
        <v>22</v>
      </c>
      <c r="M78" s="118">
        <v>16</v>
      </c>
      <c r="N78" s="118">
        <v>33</v>
      </c>
      <c r="O78" s="118">
        <v>34</v>
      </c>
      <c r="P78" s="118">
        <v>18</v>
      </c>
      <c r="Q78" s="118">
        <v>4.9000000000000004</v>
      </c>
      <c r="R78" s="118">
        <v>19</v>
      </c>
      <c r="S78" s="118">
        <v>10</v>
      </c>
      <c r="T78" s="118">
        <v>0.7</v>
      </c>
      <c r="U78" s="118">
        <v>17</v>
      </c>
      <c r="V78" s="118">
        <v>18</v>
      </c>
      <c r="W78" s="21">
        <v>27</v>
      </c>
      <c r="X78" s="158">
        <v>49</v>
      </c>
      <c r="Y78" s="21">
        <v>15</v>
      </c>
      <c r="Z78" s="129">
        <v>2.7</v>
      </c>
    </row>
    <row r="79" spans="1:26" x14ac:dyDescent="0.25">
      <c r="A79" s="4" t="s">
        <v>63</v>
      </c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21"/>
      <c r="W79" s="129"/>
      <c r="X79" s="159"/>
      <c r="Y79" s="129"/>
      <c r="Z79" s="129"/>
    </row>
    <row r="80" spans="1:26" ht="23.25" customHeight="1" x14ac:dyDescent="0.25">
      <c r="A80" s="14" t="s">
        <v>137</v>
      </c>
      <c r="B80" s="118">
        <v>52</v>
      </c>
      <c r="C80" s="118">
        <v>104</v>
      </c>
      <c r="D80" s="118">
        <v>19</v>
      </c>
      <c r="E80" s="118">
        <v>63</v>
      </c>
      <c r="F80" s="118">
        <v>36</v>
      </c>
      <c r="G80" s="118" t="s">
        <v>96</v>
      </c>
      <c r="H80" s="118">
        <v>37</v>
      </c>
      <c r="I80" s="118">
        <v>45</v>
      </c>
      <c r="J80" s="118">
        <v>11</v>
      </c>
      <c r="K80" s="118">
        <v>12</v>
      </c>
      <c r="L80" s="118">
        <v>35</v>
      </c>
      <c r="M80" s="118">
        <v>2.2999999999999998</v>
      </c>
      <c r="N80" s="118">
        <v>59</v>
      </c>
      <c r="O80" s="118">
        <v>34</v>
      </c>
      <c r="P80" s="118">
        <v>29</v>
      </c>
      <c r="Q80" s="118">
        <v>4.5999999999999996</v>
      </c>
      <c r="R80" s="118">
        <v>43</v>
      </c>
      <c r="S80" s="129">
        <v>4</v>
      </c>
      <c r="T80" s="118" t="s">
        <v>96</v>
      </c>
      <c r="U80" s="129">
        <v>6</v>
      </c>
      <c r="V80" s="118">
        <v>25</v>
      </c>
      <c r="W80" s="129">
        <v>9.6999999999999993</v>
      </c>
      <c r="X80" s="158">
        <v>14</v>
      </c>
      <c r="Y80" s="21">
        <v>23</v>
      </c>
      <c r="Z80" s="129">
        <v>5.9</v>
      </c>
    </row>
    <row r="81" spans="1:26" ht="19.5" x14ac:dyDescent="0.25">
      <c r="A81" s="14" t="s">
        <v>135</v>
      </c>
      <c r="B81" s="118">
        <v>4.8</v>
      </c>
      <c r="C81" s="118">
        <v>50</v>
      </c>
      <c r="D81" s="118">
        <v>18</v>
      </c>
      <c r="E81" s="129">
        <v>1</v>
      </c>
      <c r="F81" s="118" t="s">
        <v>96</v>
      </c>
      <c r="G81" s="118">
        <v>40</v>
      </c>
      <c r="H81" s="118" t="s">
        <v>96</v>
      </c>
      <c r="I81" s="118">
        <v>35</v>
      </c>
      <c r="J81" s="118" t="s">
        <v>96</v>
      </c>
      <c r="K81" s="118">
        <v>29</v>
      </c>
      <c r="L81" s="118" t="s">
        <v>96</v>
      </c>
      <c r="M81" s="118">
        <v>31</v>
      </c>
      <c r="N81" s="118">
        <v>43</v>
      </c>
      <c r="O81" s="118">
        <v>28</v>
      </c>
      <c r="P81" s="118">
        <v>33</v>
      </c>
      <c r="Q81" s="118" t="s">
        <v>96</v>
      </c>
      <c r="R81" s="118" t="s">
        <v>96</v>
      </c>
      <c r="S81" s="118">
        <v>59</v>
      </c>
      <c r="T81" s="118" t="s">
        <v>96</v>
      </c>
      <c r="U81" s="118">
        <v>15</v>
      </c>
      <c r="V81" s="139" t="s">
        <v>96</v>
      </c>
      <c r="W81" s="21">
        <v>39</v>
      </c>
      <c r="X81" s="158">
        <v>127</v>
      </c>
      <c r="Y81" s="158" t="s">
        <v>96</v>
      </c>
      <c r="Z81" s="158" t="s">
        <v>96</v>
      </c>
    </row>
    <row r="82" spans="1:26" ht="19.5" x14ac:dyDescent="0.25">
      <c r="A82" s="14" t="s">
        <v>87</v>
      </c>
      <c r="B82" s="118">
        <v>22</v>
      </c>
      <c r="C82" s="118">
        <v>33</v>
      </c>
      <c r="D82" s="118">
        <v>7.7</v>
      </c>
      <c r="E82" s="118">
        <v>3.8</v>
      </c>
      <c r="F82" s="118" t="s">
        <v>96</v>
      </c>
      <c r="G82" s="118">
        <v>0.8</v>
      </c>
      <c r="H82" s="118">
        <v>7.6</v>
      </c>
      <c r="I82" s="118">
        <v>51</v>
      </c>
      <c r="J82" s="118" t="s">
        <v>96</v>
      </c>
      <c r="K82" s="118">
        <v>0.8</v>
      </c>
      <c r="L82" s="118">
        <v>17</v>
      </c>
      <c r="M82" s="118">
        <v>26</v>
      </c>
      <c r="N82" s="118" t="s">
        <v>96</v>
      </c>
      <c r="O82" s="118">
        <v>36</v>
      </c>
      <c r="P82" s="118" t="s">
        <v>96</v>
      </c>
      <c r="Q82" s="118">
        <v>6.8</v>
      </c>
      <c r="R82" s="118" t="s">
        <v>96</v>
      </c>
      <c r="S82" s="118" t="s">
        <v>96</v>
      </c>
      <c r="T82" s="118">
        <v>1.6</v>
      </c>
      <c r="U82" s="118">
        <v>29</v>
      </c>
      <c r="V82" s="118">
        <v>15</v>
      </c>
      <c r="W82" s="21">
        <v>41</v>
      </c>
      <c r="X82" s="158">
        <v>61</v>
      </c>
      <c r="Y82" s="21">
        <v>11</v>
      </c>
      <c r="Z82" s="158" t="s">
        <v>96</v>
      </c>
    </row>
    <row r="83" spans="1:26" x14ac:dyDescent="0.25">
      <c r="A83" s="9" t="s">
        <v>65</v>
      </c>
      <c r="B83" s="129">
        <v>3</v>
      </c>
      <c r="C83" s="118">
        <v>3.9</v>
      </c>
      <c r="D83" s="118">
        <v>1.1000000000000001</v>
      </c>
      <c r="E83" s="118" t="s">
        <v>96</v>
      </c>
      <c r="F83" s="118">
        <v>2.8</v>
      </c>
      <c r="G83" s="118">
        <v>35</v>
      </c>
      <c r="H83" s="118">
        <v>22</v>
      </c>
      <c r="I83" s="118">
        <v>19</v>
      </c>
      <c r="J83" s="118">
        <v>13</v>
      </c>
      <c r="K83" s="118">
        <v>6.4</v>
      </c>
      <c r="L83" s="118">
        <v>27</v>
      </c>
      <c r="M83" s="118">
        <v>12</v>
      </c>
      <c r="N83" s="118">
        <v>8.6</v>
      </c>
      <c r="O83" s="118">
        <v>2.2000000000000002</v>
      </c>
      <c r="P83" s="118">
        <v>9.4</v>
      </c>
      <c r="Q83" s="118">
        <v>29</v>
      </c>
      <c r="R83" s="118" t="s">
        <v>96</v>
      </c>
      <c r="S83" s="118">
        <v>17</v>
      </c>
      <c r="T83" s="118">
        <v>2.9</v>
      </c>
      <c r="U83" s="118">
        <v>1</v>
      </c>
      <c r="V83" s="118">
        <v>24</v>
      </c>
      <c r="W83" s="129">
        <v>2.8</v>
      </c>
      <c r="X83" s="159">
        <v>0.6</v>
      </c>
      <c r="Y83" s="21">
        <v>12</v>
      </c>
      <c r="Z83" s="129">
        <v>8.4</v>
      </c>
    </row>
    <row r="84" spans="1:26" ht="18" x14ac:dyDescent="0.25">
      <c r="A84" s="8" t="s">
        <v>126</v>
      </c>
      <c r="B84" s="120">
        <v>14</v>
      </c>
      <c r="C84" s="120">
        <v>17</v>
      </c>
      <c r="D84" s="120">
        <v>15</v>
      </c>
      <c r="E84" s="120">
        <v>14</v>
      </c>
      <c r="F84" s="120">
        <v>10</v>
      </c>
      <c r="G84" s="120">
        <v>17</v>
      </c>
      <c r="H84" s="120">
        <v>9.6</v>
      </c>
      <c r="I84" s="120">
        <v>18</v>
      </c>
      <c r="J84" s="120">
        <v>26</v>
      </c>
      <c r="K84" s="120">
        <v>18</v>
      </c>
      <c r="L84" s="120">
        <v>19</v>
      </c>
      <c r="M84" s="120">
        <v>27</v>
      </c>
      <c r="N84" s="120">
        <v>14</v>
      </c>
      <c r="O84" s="120">
        <v>7.6</v>
      </c>
      <c r="P84" s="120">
        <v>7.3</v>
      </c>
      <c r="Q84" s="120">
        <v>15</v>
      </c>
      <c r="R84" s="120">
        <v>11</v>
      </c>
      <c r="S84" s="120">
        <v>9.8000000000000007</v>
      </c>
      <c r="T84" s="120">
        <v>17</v>
      </c>
      <c r="U84" s="120">
        <v>10</v>
      </c>
      <c r="V84" s="120">
        <v>18</v>
      </c>
      <c r="W84" s="22">
        <v>12</v>
      </c>
      <c r="X84" s="157">
        <v>29</v>
      </c>
      <c r="Y84" s="22">
        <v>41</v>
      </c>
      <c r="Z84" s="22">
        <v>42</v>
      </c>
    </row>
    <row r="85" spans="1:26" x14ac:dyDescent="0.25">
      <c r="A85" s="9" t="s">
        <v>66</v>
      </c>
      <c r="B85" s="118" t="s">
        <v>96</v>
      </c>
      <c r="C85" s="118" t="s">
        <v>96</v>
      </c>
      <c r="D85" s="118" t="s">
        <v>96</v>
      </c>
      <c r="E85" s="118">
        <v>15</v>
      </c>
      <c r="F85" s="118" t="s">
        <v>96</v>
      </c>
      <c r="G85" s="118" t="s">
        <v>96</v>
      </c>
      <c r="H85" s="118">
        <v>51</v>
      </c>
      <c r="I85" s="118">
        <v>25</v>
      </c>
      <c r="J85" s="118">
        <v>55</v>
      </c>
      <c r="K85" s="118">
        <v>8.3000000000000007</v>
      </c>
      <c r="L85" s="118">
        <v>146</v>
      </c>
      <c r="M85" s="118">
        <v>79</v>
      </c>
      <c r="N85" s="118" t="s">
        <v>96</v>
      </c>
      <c r="O85" s="118">
        <v>4.8</v>
      </c>
      <c r="P85" s="118">
        <v>30</v>
      </c>
      <c r="Q85" s="118">
        <v>57</v>
      </c>
      <c r="R85" s="118">
        <v>56</v>
      </c>
      <c r="S85" s="118">
        <v>33</v>
      </c>
      <c r="T85" s="118">
        <v>19</v>
      </c>
      <c r="U85" s="118">
        <v>90</v>
      </c>
      <c r="V85" s="118">
        <v>124</v>
      </c>
      <c r="W85" s="21">
        <v>95</v>
      </c>
      <c r="X85" s="158">
        <v>23</v>
      </c>
      <c r="Y85" s="21">
        <v>13</v>
      </c>
      <c r="Z85" s="21">
        <v>50</v>
      </c>
    </row>
    <row r="86" spans="1:26" x14ac:dyDescent="0.25">
      <c r="A86" s="9" t="s">
        <v>68</v>
      </c>
      <c r="B86" s="118" t="s">
        <v>96</v>
      </c>
      <c r="C86" s="118" t="s">
        <v>96</v>
      </c>
      <c r="D86" s="118">
        <v>65</v>
      </c>
      <c r="E86" s="118" t="s">
        <v>96</v>
      </c>
      <c r="F86" s="118" t="s">
        <v>96</v>
      </c>
      <c r="G86" s="118" t="s">
        <v>96</v>
      </c>
      <c r="H86" s="118">
        <v>6.6</v>
      </c>
      <c r="I86" s="118" t="s">
        <v>96</v>
      </c>
      <c r="J86" s="118" t="s">
        <v>96</v>
      </c>
      <c r="K86" s="118" t="s">
        <v>96</v>
      </c>
      <c r="L86" s="118">
        <v>32</v>
      </c>
      <c r="M86" s="118">
        <v>3.2</v>
      </c>
      <c r="N86" s="118" t="s">
        <v>96</v>
      </c>
      <c r="O86" s="118">
        <v>6.4</v>
      </c>
      <c r="P86" s="118">
        <v>6.1</v>
      </c>
      <c r="Q86" s="118" t="s">
        <v>96</v>
      </c>
      <c r="R86" s="118" t="s">
        <v>96</v>
      </c>
      <c r="S86" s="118">
        <v>9.3000000000000007</v>
      </c>
      <c r="T86" s="118">
        <v>31</v>
      </c>
      <c r="U86" s="118">
        <v>6.1</v>
      </c>
      <c r="V86" s="118">
        <v>132</v>
      </c>
      <c r="W86" s="21">
        <v>36</v>
      </c>
      <c r="X86" s="158">
        <v>183</v>
      </c>
      <c r="Y86" s="21">
        <v>33</v>
      </c>
      <c r="Z86" s="21">
        <v>41</v>
      </c>
    </row>
    <row r="87" spans="1:26" x14ac:dyDescent="0.25">
      <c r="A87" s="9" t="s">
        <v>69</v>
      </c>
      <c r="B87" s="118" t="s">
        <v>96</v>
      </c>
      <c r="C87" s="118" t="s">
        <v>96</v>
      </c>
      <c r="D87" s="118" t="s">
        <v>96</v>
      </c>
      <c r="E87" s="118" t="s">
        <v>96</v>
      </c>
      <c r="F87" s="118" t="s">
        <v>96</v>
      </c>
      <c r="G87" s="118" t="s">
        <v>96</v>
      </c>
      <c r="H87" s="118" t="s">
        <v>96</v>
      </c>
      <c r="I87" s="118">
        <v>126</v>
      </c>
      <c r="J87" s="118">
        <v>38</v>
      </c>
      <c r="K87" s="118" t="s">
        <v>96</v>
      </c>
      <c r="L87" s="118" t="s">
        <v>96</v>
      </c>
      <c r="M87" s="118" t="s">
        <v>96</v>
      </c>
      <c r="N87" s="118" t="s">
        <v>96</v>
      </c>
      <c r="O87" s="118" t="s">
        <v>96</v>
      </c>
      <c r="P87" s="118" t="s">
        <v>96</v>
      </c>
      <c r="Q87" s="118" t="s">
        <v>96</v>
      </c>
      <c r="R87" s="118">
        <v>7.4</v>
      </c>
      <c r="S87" s="118">
        <v>1.3</v>
      </c>
      <c r="T87" s="118">
        <v>13</v>
      </c>
      <c r="U87" s="118">
        <v>7.4</v>
      </c>
      <c r="V87" s="118">
        <v>67</v>
      </c>
      <c r="W87" s="21">
        <v>63</v>
      </c>
      <c r="X87" s="158" t="s">
        <v>96</v>
      </c>
      <c r="Y87" s="158" t="s">
        <v>96</v>
      </c>
      <c r="Z87" s="158" t="s">
        <v>96</v>
      </c>
    </row>
    <row r="88" spans="1:26" x14ac:dyDescent="0.25">
      <c r="A88" s="9" t="s">
        <v>70</v>
      </c>
      <c r="B88" s="118">
        <v>3.2</v>
      </c>
      <c r="C88" s="118">
        <v>50</v>
      </c>
      <c r="D88" s="118">
        <v>24</v>
      </c>
      <c r="E88" s="118">
        <v>33</v>
      </c>
      <c r="F88" s="118" t="s">
        <v>96</v>
      </c>
      <c r="G88" s="118">
        <v>8.6</v>
      </c>
      <c r="H88" s="118">
        <v>11</v>
      </c>
      <c r="I88" s="118">
        <v>7.1</v>
      </c>
      <c r="J88" s="118">
        <v>34</v>
      </c>
      <c r="K88" s="118">
        <v>41</v>
      </c>
      <c r="L88" s="118">
        <v>33</v>
      </c>
      <c r="M88" s="118">
        <v>2.9</v>
      </c>
      <c r="N88" s="118">
        <v>59</v>
      </c>
      <c r="O88" s="118">
        <v>13</v>
      </c>
      <c r="P88" s="118">
        <v>25</v>
      </c>
      <c r="Q88" s="118">
        <v>21</v>
      </c>
      <c r="R88" s="118">
        <v>14</v>
      </c>
      <c r="S88" s="118">
        <v>7.7</v>
      </c>
      <c r="T88" s="118">
        <v>2.7</v>
      </c>
      <c r="U88" s="118">
        <v>27</v>
      </c>
      <c r="V88" s="118">
        <v>17</v>
      </c>
      <c r="W88" s="21">
        <v>12</v>
      </c>
      <c r="X88" s="158">
        <v>15</v>
      </c>
      <c r="Y88" s="21">
        <v>83</v>
      </c>
      <c r="Z88" s="21">
        <v>48</v>
      </c>
    </row>
    <row r="89" spans="1:26" x14ac:dyDescent="0.25">
      <c r="A89" s="9" t="s">
        <v>72</v>
      </c>
      <c r="B89" s="118" t="s">
        <v>96</v>
      </c>
      <c r="C89" s="118">
        <v>45</v>
      </c>
      <c r="D89" s="118">
        <v>26</v>
      </c>
      <c r="E89" s="118" t="s">
        <v>96</v>
      </c>
      <c r="F89" s="118" t="s">
        <v>96</v>
      </c>
      <c r="G89" s="118">
        <v>26</v>
      </c>
      <c r="H89" s="118">
        <v>13</v>
      </c>
      <c r="I89" s="118" t="s">
        <v>96</v>
      </c>
      <c r="J89" s="118">
        <v>3.5</v>
      </c>
      <c r="K89" s="118">
        <v>13</v>
      </c>
      <c r="L89" s="118">
        <v>8.8000000000000007</v>
      </c>
      <c r="M89" s="118">
        <v>54</v>
      </c>
      <c r="N89" s="118">
        <v>0.5</v>
      </c>
      <c r="O89" s="118">
        <v>15</v>
      </c>
      <c r="P89" s="118">
        <v>0.8</v>
      </c>
      <c r="Q89" s="118">
        <v>44</v>
      </c>
      <c r="R89" s="118">
        <v>0.3</v>
      </c>
      <c r="S89" s="118">
        <v>1.7</v>
      </c>
      <c r="T89" s="118">
        <v>15</v>
      </c>
      <c r="U89" s="118">
        <v>2.8</v>
      </c>
      <c r="V89" s="139" t="s">
        <v>96</v>
      </c>
      <c r="W89" s="129">
        <v>3.5</v>
      </c>
      <c r="X89" s="158">
        <v>65</v>
      </c>
      <c r="Y89" s="21">
        <v>40</v>
      </c>
      <c r="Z89" s="21">
        <v>18</v>
      </c>
    </row>
    <row r="90" spans="1:26" x14ac:dyDescent="0.25">
      <c r="A90" s="9" t="s">
        <v>73</v>
      </c>
      <c r="B90" s="118">
        <v>46</v>
      </c>
      <c r="C90" s="118">
        <v>0.8</v>
      </c>
      <c r="D90" s="118" t="s">
        <v>96</v>
      </c>
      <c r="E90" s="118">
        <v>3.9</v>
      </c>
      <c r="F90" s="118" t="s">
        <v>96</v>
      </c>
      <c r="G90" s="129">
        <v>4</v>
      </c>
      <c r="H90" s="21" t="s">
        <v>96</v>
      </c>
      <c r="I90" s="129" t="s">
        <v>96</v>
      </c>
      <c r="J90" s="21">
        <v>35</v>
      </c>
      <c r="K90" s="21">
        <v>25</v>
      </c>
      <c r="L90" s="118">
        <v>8.6</v>
      </c>
      <c r="M90" s="118" t="s">
        <v>96</v>
      </c>
      <c r="N90" s="118" t="s">
        <v>96</v>
      </c>
      <c r="O90" s="118" t="s">
        <v>96</v>
      </c>
      <c r="P90" s="118">
        <v>4.0999999999999996</v>
      </c>
      <c r="Q90" s="118">
        <v>16</v>
      </c>
      <c r="R90" s="118">
        <v>11</v>
      </c>
      <c r="S90" s="118">
        <v>20</v>
      </c>
      <c r="T90" s="118">
        <v>13</v>
      </c>
      <c r="U90" s="118">
        <v>7.5</v>
      </c>
      <c r="V90" s="118">
        <v>20</v>
      </c>
      <c r="W90" s="21">
        <v>27</v>
      </c>
      <c r="X90" s="158" t="s">
        <v>96</v>
      </c>
      <c r="Y90" s="21">
        <v>17</v>
      </c>
      <c r="Z90" s="21">
        <v>13</v>
      </c>
    </row>
    <row r="91" spans="1:26" x14ac:dyDescent="0.25">
      <c r="A91" s="9" t="s">
        <v>74</v>
      </c>
      <c r="B91" s="118">
        <v>17</v>
      </c>
      <c r="C91" s="118">
        <v>7.5</v>
      </c>
      <c r="D91" s="118">
        <v>23</v>
      </c>
      <c r="E91" s="118">
        <v>15</v>
      </c>
      <c r="F91" s="118">
        <v>46</v>
      </c>
      <c r="G91" s="118">
        <v>42</v>
      </c>
      <c r="H91" s="118">
        <v>15</v>
      </c>
      <c r="I91" s="118">
        <v>45</v>
      </c>
      <c r="J91" s="118">
        <v>36</v>
      </c>
      <c r="K91" s="118">
        <v>10</v>
      </c>
      <c r="L91" s="118">
        <v>37</v>
      </c>
      <c r="M91" s="118">
        <v>16</v>
      </c>
      <c r="N91" s="118">
        <v>13</v>
      </c>
      <c r="O91" s="118">
        <v>8.1999999999999993</v>
      </c>
      <c r="P91" s="118">
        <v>8.6999999999999993</v>
      </c>
      <c r="Q91" s="118">
        <v>3.8</v>
      </c>
      <c r="R91" s="118">
        <v>19</v>
      </c>
      <c r="S91" s="118">
        <v>4.9000000000000004</v>
      </c>
      <c r="T91" s="118" t="s">
        <v>96</v>
      </c>
      <c r="U91" s="118">
        <v>2.7</v>
      </c>
      <c r="V91" s="118">
        <v>14</v>
      </c>
      <c r="W91" s="129">
        <v>1.2</v>
      </c>
      <c r="X91" s="158">
        <v>17</v>
      </c>
      <c r="Y91" s="21">
        <v>31</v>
      </c>
      <c r="Z91" s="21">
        <v>68</v>
      </c>
    </row>
    <row r="92" spans="1:26" x14ac:dyDescent="0.25">
      <c r="A92" s="9" t="s">
        <v>75</v>
      </c>
      <c r="B92" s="118">
        <v>29</v>
      </c>
      <c r="C92" s="118">
        <v>6.7</v>
      </c>
      <c r="D92" s="118">
        <v>6.3</v>
      </c>
      <c r="E92" s="118">
        <v>24</v>
      </c>
      <c r="F92" s="118">
        <v>3.7</v>
      </c>
      <c r="G92" s="118">
        <v>21</v>
      </c>
      <c r="H92" s="118">
        <v>1.5</v>
      </c>
      <c r="I92" s="118">
        <v>31</v>
      </c>
      <c r="J92" s="118">
        <v>14</v>
      </c>
      <c r="K92" s="118">
        <v>24</v>
      </c>
      <c r="L92" s="118" t="s">
        <v>96</v>
      </c>
      <c r="M92" s="118">
        <v>84</v>
      </c>
      <c r="N92" s="118">
        <v>13</v>
      </c>
      <c r="O92" s="118">
        <v>8.3000000000000007</v>
      </c>
      <c r="P92" s="118">
        <v>5.5</v>
      </c>
      <c r="Q92" s="118">
        <v>6.9</v>
      </c>
      <c r="R92" s="118">
        <v>13</v>
      </c>
      <c r="S92" s="118">
        <v>6.4</v>
      </c>
      <c r="T92" s="118">
        <v>14</v>
      </c>
      <c r="U92" s="118">
        <v>19</v>
      </c>
      <c r="V92" s="118">
        <v>28</v>
      </c>
      <c r="W92" s="21">
        <v>11</v>
      </c>
      <c r="X92" s="158">
        <v>58</v>
      </c>
      <c r="Y92" s="21">
        <v>83</v>
      </c>
      <c r="Z92" s="21">
        <v>92</v>
      </c>
    </row>
    <row r="93" spans="1:26" x14ac:dyDescent="0.25">
      <c r="A93" s="9" t="s">
        <v>76</v>
      </c>
      <c r="B93" s="118" t="s">
        <v>96</v>
      </c>
      <c r="C93" s="118" t="s">
        <v>96</v>
      </c>
      <c r="D93" s="118" t="s">
        <v>96</v>
      </c>
      <c r="E93" s="118">
        <v>3.5</v>
      </c>
      <c r="F93" s="118">
        <v>18</v>
      </c>
      <c r="G93" s="129">
        <v>2</v>
      </c>
      <c r="H93" s="21">
        <v>19</v>
      </c>
      <c r="I93" s="129">
        <v>7.5</v>
      </c>
      <c r="J93" s="21">
        <v>30</v>
      </c>
      <c r="K93" s="129" t="s">
        <v>96</v>
      </c>
      <c r="L93" s="118">
        <v>25</v>
      </c>
      <c r="M93" s="118">
        <v>6.3</v>
      </c>
      <c r="N93" s="118">
        <v>8.9</v>
      </c>
      <c r="O93" s="129">
        <v>2</v>
      </c>
      <c r="P93" s="118" t="s">
        <v>96</v>
      </c>
      <c r="Q93" s="118" t="s">
        <v>96</v>
      </c>
      <c r="R93" s="118">
        <v>5.0999999999999996</v>
      </c>
      <c r="S93" s="118">
        <v>0.8</v>
      </c>
      <c r="T93" s="118">
        <v>53</v>
      </c>
      <c r="U93" s="118" t="s">
        <v>96</v>
      </c>
      <c r="V93" s="139" t="s">
        <v>96</v>
      </c>
      <c r="W93" s="139" t="s">
        <v>96</v>
      </c>
      <c r="X93" s="159" t="s">
        <v>96</v>
      </c>
      <c r="Y93" s="129">
        <v>1.9</v>
      </c>
      <c r="Z93" s="21">
        <v>23</v>
      </c>
    </row>
    <row r="94" spans="1:26" x14ac:dyDescent="0.25">
      <c r="A94" s="9" t="s">
        <v>77</v>
      </c>
      <c r="B94" s="118" t="s">
        <v>96</v>
      </c>
      <c r="C94" s="118" t="s">
        <v>96</v>
      </c>
      <c r="D94" s="118">
        <v>24</v>
      </c>
      <c r="E94" s="118">
        <v>34</v>
      </c>
      <c r="F94" s="118" t="s">
        <v>96</v>
      </c>
      <c r="G94" s="118">
        <v>19</v>
      </c>
      <c r="H94" s="118">
        <v>4.9000000000000004</v>
      </c>
      <c r="I94" s="118">
        <v>5.9</v>
      </c>
      <c r="J94" s="118">
        <v>35</v>
      </c>
      <c r="K94" s="118">
        <v>7.7</v>
      </c>
      <c r="L94" s="118" t="s">
        <v>96</v>
      </c>
      <c r="M94" s="118" t="s">
        <v>96</v>
      </c>
      <c r="N94" s="118">
        <v>7.1</v>
      </c>
      <c r="O94" s="118">
        <v>3.7</v>
      </c>
      <c r="P94" s="118">
        <v>8.4</v>
      </c>
      <c r="Q94" s="118">
        <v>2.2999999999999998</v>
      </c>
      <c r="R94" s="118">
        <v>11</v>
      </c>
      <c r="S94" s="118">
        <v>50</v>
      </c>
      <c r="T94" s="118">
        <v>37</v>
      </c>
      <c r="U94" s="118" t="s">
        <v>96</v>
      </c>
      <c r="V94" s="139" t="s">
        <v>96</v>
      </c>
      <c r="W94" s="139" t="s">
        <v>96</v>
      </c>
      <c r="X94" s="159">
        <v>0.8</v>
      </c>
      <c r="Y94" s="21">
        <v>24</v>
      </c>
      <c r="Z94" s="21">
        <v>22</v>
      </c>
    </row>
    <row r="95" spans="1:26" ht="18" x14ac:dyDescent="0.25">
      <c r="A95" s="8" t="s">
        <v>139</v>
      </c>
      <c r="B95" s="120">
        <v>14</v>
      </c>
      <c r="C95" s="120">
        <v>8.9</v>
      </c>
      <c r="D95" s="120">
        <v>13</v>
      </c>
      <c r="E95" s="120">
        <v>23</v>
      </c>
      <c r="F95" s="120">
        <v>25</v>
      </c>
      <c r="G95" s="120">
        <v>7.8</v>
      </c>
      <c r="H95" s="120">
        <v>9.9</v>
      </c>
      <c r="I95" s="120">
        <v>28</v>
      </c>
      <c r="J95" s="120">
        <v>26</v>
      </c>
      <c r="K95" s="120">
        <v>19</v>
      </c>
      <c r="L95" s="120">
        <v>29</v>
      </c>
      <c r="M95" s="120">
        <v>18</v>
      </c>
      <c r="N95" s="120">
        <v>15</v>
      </c>
      <c r="O95" s="120">
        <v>24</v>
      </c>
      <c r="P95" s="120">
        <v>15</v>
      </c>
      <c r="Q95" s="120">
        <v>18</v>
      </c>
      <c r="R95" s="120">
        <v>18</v>
      </c>
      <c r="S95" s="120">
        <v>22</v>
      </c>
      <c r="T95" s="120">
        <v>8.9</v>
      </c>
      <c r="U95" s="120">
        <v>12</v>
      </c>
      <c r="V95" s="120">
        <v>25</v>
      </c>
      <c r="W95" s="123">
        <v>8.4</v>
      </c>
      <c r="X95" s="157">
        <v>15</v>
      </c>
      <c r="Y95" s="22">
        <v>12</v>
      </c>
      <c r="Z95" s="123">
        <v>9.8000000000000007</v>
      </c>
    </row>
    <row r="96" spans="1:26" x14ac:dyDescent="0.25">
      <c r="A96" s="9" t="s">
        <v>67</v>
      </c>
      <c r="B96" s="118">
        <v>5.4</v>
      </c>
      <c r="C96" s="120" t="s">
        <v>96</v>
      </c>
      <c r="D96" s="118">
        <v>2.5</v>
      </c>
      <c r="E96" s="120" t="s">
        <v>96</v>
      </c>
      <c r="F96" s="120" t="s">
        <v>96</v>
      </c>
      <c r="G96" s="118">
        <v>9.5</v>
      </c>
      <c r="H96" s="120" t="s">
        <v>96</v>
      </c>
      <c r="I96" s="118">
        <v>41</v>
      </c>
      <c r="J96" s="118">
        <v>21</v>
      </c>
      <c r="K96" s="118">
        <v>7.7</v>
      </c>
      <c r="L96" s="118">
        <v>52</v>
      </c>
      <c r="M96" s="118">
        <v>1.1000000000000001</v>
      </c>
      <c r="N96" s="118">
        <v>19</v>
      </c>
      <c r="O96" s="118">
        <v>59</v>
      </c>
      <c r="P96" s="118">
        <v>1.4</v>
      </c>
      <c r="Q96" s="118" t="s">
        <v>96</v>
      </c>
      <c r="R96" s="118">
        <v>3.1</v>
      </c>
      <c r="S96" s="118">
        <v>31</v>
      </c>
      <c r="T96" s="118">
        <v>27</v>
      </c>
      <c r="U96" s="118">
        <v>34</v>
      </c>
      <c r="V96" s="139" t="s">
        <v>96</v>
      </c>
      <c r="W96" s="21">
        <v>20</v>
      </c>
      <c r="X96" s="159" t="s">
        <v>96</v>
      </c>
      <c r="Y96" s="21">
        <v>34</v>
      </c>
      <c r="Z96" s="129">
        <v>5.0999999999999996</v>
      </c>
    </row>
    <row r="97" spans="1:26" x14ac:dyDescent="0.25">
      <c r="A97" s="9" t="s">
        <v>78</v>
      </c>
      <c r="B97" s="118">
        <v>2.6</v>
      </c>
      <c r="C97" s="118">
        <v>19</v>
      </c>
      <c r="D97" s="118">
        <v>5.7</v>
      </c>
      <c r="E97" s="118">
        <v>175</v>
      </c>
      <c r="F97" s="118">
        <v>4.2</v>
      </c>
      <c r="G97" s="118">
        <v>13</v>
      </c>
      <c r="H97" s="118">
        <v>27</v>
      </c>
      <c r="I97" s="118">
        <v>69</v>
      </c>
      <c r="J97" s="118">
        <v>87</v>
      </c>
      <c r="K97" s="118">
        <v>27</v>
      </c>
      <c r="L97" s="118" t="s">
        <v>96</v>
      </c>
      <c r="M97" s="118">
        <v>4.7</v>
      </c>
      <c r="N97" s="118">
        <v>69</v>
      </c>
      <c r="O97" s="118">
        <v>29</v>
      </c>
      <c r="P97" s="118">
        <v>52</v>
      </c>
      <c r="Q97" s="118">
        <v>65</v>
      </c>
      <c r="R97" s="118">
        <v>57</v>
      </c>
      <c r="S97" s="118">
        <v>25</v>
      </c>
      <c r="T97" s="118">
        <v>4.7</v>
      </c>
      <c r="U97" s="118">
        <v>4.5</v>
      </c>
      <c r="V97" s="118">
        <v>29</v>
      </c>
      <c r="W97" s="129">
        <v>3.2</v>
      </c>
      <c r="X97" s="158">
        <v>5</v>
      </c>
      <c r="Y97" s="21">
        <v>20</v>
      </c>
      <c r="Z97" s="129">
        <v>5.2</v>
      </c>
    </row>
    <row r="98" spans="1:26" x14ac:dyDescent="0.25">
      <c r="A98" s="9" t="s">
        <v>71</v>
      </c>
      <c r="B98" s="118">
        <v>51</v>
      </c>
      <c r="C98" s="118">
        <v>2.1</v>
      </c>
      <c r="D98" s="118" t="s">
        <v>96</v>
      </c>
      <c r="E98" s="118">
        <v>28</v>
      </c>
      <c r="F98" s="118">
        <v>1.8</v>
      </c>
      <c r="G98" s="118" t="s">
        <v>96</v>
      </c>
      <c r="H98" s="118">
        <v>37</v>
      </c>
      <c r="I98" s="118">
        <v>63</v>
      </c>
      <c r="J98" s="129">
        <v>9</v>
      </c>
      <c r="K98" s="118">
        <v>63</v>
      </c>
      <c r="L98" s="118">
        <v>47</v>
      </c>
      <c r="M98" s="118" t="s">
        <v>96</v>
      </c>
      <c r="N98" s="118" t="s">
        <v>96</v>
      </c>
      <c r="O98" s="118" t="s">
        <v>96</v>
      </c>
      <c r="P98" s="118">
        <v>2.2999999999999998</v>
      </c>
      <c r="Q98" s="118">
        <v>1.9</v>
      </c>
      <c r="R98" s="118">
        <v>1.9</v>
      </c>
      <c r="S98" s="118" t="s">
        <v>96</v>
      </c>
      <c r="T98" s="118" t="s">
        <v>96</v>
      </c>
      <c r="U98" s="118">
        <v>19</v>
      </c>
      <c r="V98" s="139" t="s">
        <v>96</v>
      </c>
      <c r="W98" s="129">
        <v>4</v>
      </c>
      <c r="X98" s="159" t="s">
        <v>96</v>
      </c>
      <c r="Y98" s="158" t="s">
        <v>96</v>
      </c>
      <c r="Z98" s="158" t="s">
        <v>96</v>
      </c>
    </row>
    <row r="99" spans="1:26" x14ac:dyDescent="0.25">
      <c r="A99" s="9" t="s">
        <v>79</v>
      </c>
      <c r="B99" s="118" t="s">
        <v>96</v>
      </c>
      <c r="C99" s="118" t="s">
        <v>96</v>
      </c>
      <c r="D99" s="118" t="s">
        <v>96</v>
      </c>
      <c r="E99" s="118" t="s">
        <v>96</v>
      </c>
      <c r="F99" s="118" t="s">
        <v>96</v>
      </c>
      <c r="G99" s="118" t="s">
        <v>96</v>
      </c>
      <c r="H99" s="118" t="s">
        <v>96</v>
      </c>
      <c r="I99" s="118">
        <v>61</v>
      </c>
      <c r="J99" s="118">
        <v>12</v>
      </c>
      <c r="K99" s="118">
        <v>6.2</v>
      </c>
      <c r="L99" s="118" t="s">
        <v>96</v>
      </c>
      <c r="M99" s="118" t="s">
        <v>96</v>
      </c>
      <c r="N99" s="118">
        <v>47</v>
      </c>
      <c r="O99" s="118" t="s">
        <v>96</v>
      </c>
      <c r="P99" s="118" t="s">
        <v>96</v>
      </c>
      <c r="Q99" s="118">
        <v>162</v>
      </c>
      <c r="R99" s="118">
        <v>28</v>
      </c>
      <c r="S99" s="118" t="s">
        <v>96</v>
      </c>
      <c r="T99" s="118" t="s">
        <v>96</v>
      </c>
      <c r="U99" s="118" t="s">
        <v>96</v>
      </c>
      <c r="V99" s="129">
        <v>6.8</v>
      </c>
      <c r="W99" s="129">
        <v>6.8</v>
      </c>
      <c r="X99" s="159" t="s">
        <v>96</v>
      </c>
      <c r="Y99" s="21">
        <v>29</v>
      </c>
      <c r="Z99" s="21">
        <v>14</v>
      </c>
    </row>
    <row r="100" spans="1:26" x14ac:dyDescent="0.25">
      <c r="A100" s="9" t="s">
        <v>80</v>
      </c>
      <c r="B100" s="118" t="s">
        <v>96</v>
      </c>
      <c r="C100" s="118">
        <v>9.5</v>
      </c>
      <c r="D100" s="118" t="s">
        <v>96</v>
      </c>
      <c r="E100" s="118" t="s">
        <v>96</v>
      </c>
      <c r="F100" s="118">
        <v>17</v>
      </c>
      <c r="G100" s="118">
        <v>8.9</v>
      </c>
      <c r="H100" s="118" t="s">
        <v>96</v>
      </c>
      <c r="I100" s="118" t="s">
        <v>96</v>
      </c>
      <c r="J100" s="118" t="s">
        <v>96</v>
      </c>
      <c r="K100" s="118" t="s">
        <v>96</v>
      </c>
      <c r="L100" s="118">
        <v>32</v>
      </c>
      <c r="M100" s="118">
        <v>21</v>
      </c>
      <c r="N100" s="118" t="s">
        <v>96</v>
      </c>
      <c r="O100" s="118">
        <v>31</v>
      </c>
      <c r="P100" s="118">
        <v>19</v>
      </c>
      <c r="Q100" s="118" t="s">
        <v>96</v>
      </c>
      <c r="R100" s="118" t="s">
        <v>96</v>
      </c>
      <c r="S100" s="118">
        <v>25</v>
      </c>
      <c r="T100" s="118" t="s">
        <v>96</v>
      </c>
      <c r="U100" s="129">
        <v>1</v>
      </c>
      <c r="V100" s="21">
        <v>61</v>
      </c>
      <c r="W100" s="139" t="s">
        <v>96</v>
      </c>
      <c r="X100" s="159" t="s">
        <v>96</v>
      </c>
      <c r="Y100" s="129">
        <v>1.2</v>
      </c>
      <c r="Z100" s="21">
        <v>17</v>
      </c>
    </row>
    <row r="101" spans="1:26" x14ac:dyDescent="0.25">
      <c r="A101" s="9" t="s">
        <v>130</v>
      </c>
      <c r="B101" s="118">
        <v>17</v>
      </c>
      <c r="C101" s="118">
        <v>21</v>
      </c>
      <c r="D101" s="118">
        <v>60</v>
      </c>
      <c r="E101" s="118" t="s">
        <v>96</v>
      </c>
      <c r="F101" s="118">
        <v>101</v>
      </c>
      <c r="G101" s="118">
        <v>3.6</v>
      </c>
      <c r="H101" s="118" t="s">
        <v>96</v>
      </c>
      <c r="I101" s="118">
        <v>15</v>
      </c>
      <c r="J101" s="118">
        <v>57</v>
      </c>
      <c r="K101" s="118">
        <v>4.7</v>
      </c>
      <c r="L101" s="118">
        <v>25</v>
      </c>
      <c r="M101" s="118" t="s">
        <v>96</v>
      </c>
      <c r="N101" s="118">
        <v>13</v>
      </c>
      <c r="O101" s="118">
        <v>5.6</v>
      </c>
      <c r="P101" s="118">
        <v>8.4</v>
      </c>
      <c r="Q101" s="118" t="s">
        <v>96</v>
      </c>
      <c r="R101" s="118" t="s">
        <v>96</v>
      </c>
      <c r="S101" s="118">
        <v>3.2</v>
      </c>
      <c r="T101" s="118">
        <v>3.8</v>
      </c>
      <c r="U101" s="118">
        <v>11</v>
      </c>
      <c r="V101" s="139" t="s">
        <v>96</v>
      </c>
      <c r="W101" s="139" t="s">
        <v>96</v>
      </c>
      <c r="X101" s="158">
        <v>39</v>
      </c>
      <c r="Y101" s="21">
        <v>16</v>
      </c>
      <c r="Z101" s="129">
        <v>9.8000000000000007</v>
      </c>
    </row>
    <row r="102" spans="1:26" x14ac:dyDescent="0.25">
      <c r="A102" s="9" t="s">
        <v>82</v>
      </c>
      <c r="B102" s="118">
        <v>16</v>
      </c>
      <c r="C102" s="118">
        <v>1.6</v>
      </c>
      <c r="D102" s="118">
        <v>26</v>
      </c>
      <c r="E102" s="118" t="s">
        <v>96</v>
      </c>
      <c r="F102" s="118" t="s">
        <v>96</v>
      </c>
      <c r="G102" s="118">
        <v>27</v>
      </c>
      <c r="H102" s="118">
        <v>18</v>
      </c>
      <c r="I102" s="118" t="s">
        <v>96</v>
      </c>
      <c r="J102" s="118" t="s">
        <v>96</v>
      </c>
      <c r="K102" s="118">
        <v>23</v>
      </c>
      <c r="L102" s="118">
        <v>55</v>
      </c>
      <c r="M102" s="118">
        <v>81</v>
      </c>
      <c r="N102" s="118">
        <v>8.6</v>
      </c>
      <c r="O102" s="118">
        <v>52</v>
      </c>
      <c r="P102" s="118" t="s">
        <v>96</v>
      </c>
      <c r="Q102" s="118" t="s">
        <v>96</v>
      </c>
      <c r="R102" s="118">
        <v>50</v>
      </c>
      <c r="S102" s="118" t="s">
        <v>96</v>
      </c>
      <c r="T102" s="118">
        <v>1.3</v>
      </c>
      <c r="U102" s="118">
        <v>1.3</v>
      </c>
      <c r="V102" s="118">
        <v>53</v>
      </c>
      <c r="W102" s="129">
        <v>4.3</v>
      </c>
      <c r="X102" s="159" t="s">
        <v>96</v>
      </c>
      <c r="Y102" s="158" t="s">
        <v>96</v>
      </c>
      <c r="Z102" s="158" t="s">
        <v>96</v>
      </c>
    </row>
    <row r="103" spans="1:26" x14ac:dyDescent="0.25">
      <c r="A103" s="9" t="s">
        <v>83</v>
      </c>
      <c r="B103" s="118" t="s">
        <v>96</v>
      </c>
      <c r="C103" s="118" t="s">
        <v>96</v>
      </c>
      <c r="D103" s="118" t="s">
        <v>96</v>
      </c>
      <c r="E103" s="118" t="s">
        <v>96</v>
      </c>
      <c r="F103" s="118" t="s">
        <v>96</v>
      </c>
      <c r="G103" s="118" t="s">
        <v>96</v>
      </c>
      <c r="H103" s="118" t="s">
        <v>96</v>
      </c>
      <c r="I103" s="118" t="s">
        <v>96</v>
      </c>
      <c r="J103" s="118" t="s">
        <v>96</v>
      </c>
      <c r="K103" s="118" t="s">
        <v>96</v>
      </c>
      <c r="L103" s="118">
        <v>6.3</v>
      </c>
      <c r="M103" s="118" t="s">
        <v>96</v>
      </c>
      <c r="N103" s="118" t="s">
        <v>96</v>
      </c>
      <c r="O103" s="118" t="s">
        <v>96</v>
      </c>
      <c r="P103" s="118" t="s">
        <v>96</v>
      </c>
      <c r="Q103" s="118">
        <v>21</v>
      </c>
      <c r="R103" s="118" t="s">
        <v>96</v>
      </c>
      <c r="S103" s="118">
        <v>3.5</v>
      </c>
      <c r="T103" s="118" t="s">
        <v>96</v>
      </c>
      <c r="U103" s="118" t="s">
        <v>96</v>
      </c>
      <c r="V103" s="139" t="s">
        <v>96</v>
      </c>
      <c r="W103" s="139" t="s">
        <v>96</v>
      </c>
      <c r="X103" s="159" t="s">
        <v>96</v>
      </c>
      <c r="Y103" s="21">
        <v>15</v>
      </c>
      <c r="Z103" s="158" t="s">
        <v>96</v>
      </c>
    </row>
    <row r="104" spans="1:26" x14ac:dyDescent="0.25">
      <c r="A104" s="9" t="s">
        <v>84</v>
      </c>
      <c r="B104" s="118">
        <v>41</v>
      </c>
      <c r="C104" s="118">
        <v>13</v>
      </c>
      <c r="D104" s="118" t="s">
        <v>96</v>
      </c>
      <c r="E104" s="118" t="s">
        <v>96</v>
      </c>
      <c r="F104" s="118">
        <v>2.2999999999999998</v>
      </c>
      <c r="G104" s="118" t="s">
        <v>96</v>
      </c>
      <c r="H104" s="118" t="s">
        <v>96</v>
      </c>
      <c r="I104" s="118">
        <v>37</v>
      </c>
      <c r="J104" s="118">
        <v>37</v>
      </c>
      <c r="K104" s="118">
        <v>60</v>
      </c>
      <c r="L104" s="118" t="s">
        <v>96</v>
      </c>
      <c r="M104" s="118">
        <v>81</v>
      </c>
      <c r="N104" s="118" t="s">
        <v>96</v>
      </c>
      <c r="O104" s="118">
        <v>5.0999999999999996</v>
      </c>
      <c r="P104" s="118">
        <v>36</v>
      </c>
      <c r="Q104" s="118">
        <v>21</v>
      </c>
      <c r="R104" s="118">
        <v>78</v>
      </c>
      <c r="S104" s="118">
        <v>147</v>
      </c>
      <c r="T104" s="118">
        <v>73</v>
      </c>
      <c r="U104" s="118">
        <v>53</v>
      </c>
      <c r="V104" s="21">
        <v>27</v>
      </c>
      <c r="W104" s="21">
        <v>75</v>
      </c>
      <c r="X104" s="158">
        <v>131</v>
      </c>
      <c r="Y104" s="21">
        <v>17</v>
      </c>
      <c r="Z104" s="21">
        <v>43</v>
      </c>
    </row>
    <row r="105" spans="1:26" ht="19.5" x14ac:dyDescent="0.25">
      <c r="A105" s="9" t="s">
        <v>85</v>
      </c>
      <c r="B105" s="118" t="s">
        <v>96</v>
      </c>
      <c r="C105" s="118" t="s">
        <v>96</v>
      </c>
      <c r="D105" s="118" t="s">
        <v>96</v>
      </c>
      <c r="E105" s="118" t="s">
        <v>96</v>
      </c>
      <c r="F105" s="118" t="s">
        <v>96</v>
      </c>
      <c r="G105" s="118" t="s">
        <v>96</v>
      </c>
      <c r="H105" s="118" t="s">
        <v>96</v>
      </c>
      <c r="I105" s="118" t="s">
        <v>96</v>
      </c>
      <c r="J105" s="118">
        <v>11</v>
      </c>
      <c r="K105" s="118" t="s">
        <v>96</v>
      </c>
      <c r="L105" s="118" t="s">
        <v>96</v>
      </c>
      <c r="M105" s="118" t="s">
        <v>96</v>
      </c>
      <c r="N105" s="118" t="s">
        <v>96</v>
      </c>
      <c r="O105" s="118" t="s">
        <v>96</v>
      </c>
      <c r="P105" s="118" t="s">
        <v>96</v>
      </c>
      <c r="Q105" s="118">
        <v>145</v>
      </c>
      <c r="R105" s="118" t="s">
        <v>96</v>
      </c>
      <c r="S105" s="118" t="s">
        <v>96</v>
      </c>
      <c r="T105" s="118" t="s">
        <v>96</v>
      </c>
      <c r="U105" s="118" t="s">
        <v>96</v>
      </c>
      <c r="V105" s="139" t="s">
        <v>96</v>
      </c>
      <c r="W105" s="139" t="s">
        <v>96</v>
      </c>
      <c r="X105" s="159" t="s">
        <v>96</v>
      </c>
      <c r="Y105" s="158" t="s">
        <v>96</v>
      </c>
      <c r="Z105" s="158" t="s">
        <v>96</v>
      </c>
    </row>
    <row r="106" spans="1:26" ht="19.5" x14ac:dyDescent="0.25">
      <c r="A106" s="9" t="s">
        <v>270</v>
      </c>
      <c r="B106" s="118" t="s">
        <v>96</v>
      </c>
      <c r="C106" s="118" t="s">
        <v>96</v>
      </c>
      <c r="D106" s="118" t="s">
        <v>96</v>
      </c>
      <c r="E106" s="118" t="s">
        <v>96</v>
      </c>
      <c r="F106" s="21">
        <v>67</v>
      </c>
      <c r="G106" s="129" t="s">
        <v>96</v>
      </c>
      <c r="H106" s="129">
        <v>5.3</v>
      </c>
      <c r="I106" s="129" t="s">
        <v>96</v>
      </c>
      <c r="J106" s="129" t="s">
        <v>96</v>
      </c>
      <c r="K106" s="129" t="s">
        <v>96</v>
      </c>
      <c r="L106" s="129">
        <v>2</v>
      </c>
      <c r="M106" s="129">
        <v>2</v>
      </c>
      <c r="N106" s="129">
        <v>2</v>
      </c>
      <c r="O106" s="129" t="s">
        <v>96</v>
      </c>
      <c r="P106" s="129">
        <v>2</v>
      </c>
      <c r="Q106" s="129">
        <v>1</v>
      </c>
      <c r="R106" s="118" t="s">
        <v>96</v>
      </c>
      <c r="S106" s="118" t="s">
        <v>96</v>
      </c>
      <c r="T106" s="118" t="s">
        <v>96</v>
      </c>
      <c r="U106" s="118" t="s">
        <v>96</v>
      </c>
      <c r="V106" s="129">
        <v>5</v>
      </c>
      <c r="W106" s="139" t="s">
        <v>96</v>
      </c>
      <c r="X106" s="159" t="s">
        <v>96</v>
      </c>
      <c r="Y106" s="158" t="s">
        <v>96</v>
      </c>
      <c r="Z106" s="158" t="s">
        <v>96</v>
      </c>
    </row>
    <row r="107" spans="1:26" x14ac:dyDescent="0.25">
      <c r="A107" s="216" t="s">
        <v>167</v>
      </c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5"/>
      <c r="T107" s="15"/>
      <c r="U107" s="94"/>
      <c r="Z107" s="12"/>
    </row>
    <row r="108" spans="1:26" ht="15.75" customHeight="1" thickBot="1" x14ac:dyDescent="0.3">
      <c r="A108" s="214" t="s">
        <v>271</v>
      </c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5"/>
      <c r="Y108" s="25"/>
      <c r="Z108" s="25"/>
    </row>
    <row r="109" spans="1:26" x14ac:dyDescent="0.25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Z109" s="12"/>
    </row>
    <row r="110" spans="1:26" x14ac:dyDescent="0.25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Z110" s="12"/>
    </row>
    <row r="111" spans="1:26" x14ac:dyDescent="0.25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Z111" s="12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141"/>
      <c r="N112" s="141"/>
      <c r="O112" s="141"/>
      <c r="P112" s="141"/>
      <c r="Q112" s="141"/>
      <c r="R112" s="141"/>
      <c r="S112" s="141"/>
    </row>
    <row r="113" spans="1:19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141"/>
      <c r="N113" s="141"/>
      <c r="O113" s="141"/>
      <c r="P113" s="141"/>
      <c r="Q113" s="141"/>
      <c r="R113" s="141"/>
      <c r="S113" s="141"/>
    </row>
    <row r="114" spans="1:19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141"/>
      <c r="N114" s="141"/>
      <c r="O114" s="141"/>
      <c r="P114" s="141"/>
      <c r="Q114" s="141"/>
      <c r="R114" s="141"/>
      <c r="S114" s="141"/>
    </row>
    <row r="115" spans="1:19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141"/>
      <c r="N115" s="141"/>
      <c r="O115" s="141"/>
      <c r="P115" s="141"/>
      <c r="Q115" s="141"/>
      <c r="R115" s="141"/>
      <c r="S115" s="141"/>
    </row>
    <row r="116" spans="1:19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141"/>
      <c r="N116" s="141"/>
      <c r="O116" s="141"/>
      <c r="P116" s="141"/>
      <c r="Q116" s="141"/>
      <c r="R116" s="141"/>
      <c r="S116" s="141"/>
    </row>
    <row r="117" spans="1:19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141"/>
      <c r="N117" s="141"/>
      <c r="O117" s="141"/>
      <c r="P117" s="141"/>
      <c r="Q117" s="141"/>
      <c r="R117" s="141"/>
      <c r="S117" s="141"/>
    </row>
    <row r="118" spans="1:19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141"/>
      <c r="N118" s="141"/>
      <c r="O118" s="141"/>
      <c r="P118" s="141"/>
      <c r="Q118" s="141"/>
      <c r="R118" s="141"/>
      <c r="S118" s="141"/>
    </row>
    <row r="119" spans="1:19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141"/>
      <c r="N119" s="141"/>
      <c r="O119" s="141"/>
      <c r="P119" s="141"/>
      <c r="Q119" s="141"/>
      <c r="R119" s="141"/>
      <c r="S119" s="141"/>
    </row>
    <row r="120" spans="1:19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141"/>
      <c r="N120" s="141"/>
      <c r="O120" s="141"/>
      <c r="P120" s="141"/>
      <c r="Q120" s="141"/>
      <c r="R120" s="141"/>
      <c r="S120" s="141"/>
    </row>
    <row r="121" spans="1:19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141"/>
      <c r="N121" s="141"/>
      <c r="O121" s="141"/>
      <c r="P121" s="141"/>
      <c r="Q121" s="141"/>
      <c r="R121" s="141"/>
      <c r="S121" s="141"/>
    </row>
    <row r="122" spans="1:19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141"/>
      <c r="N122" s="141"/>
      <c r="O122" s="141"/>
      <c r="P122" s="141"/>
      <c r="Q122" s="141"/>
      <c r="R122" s="141"/>
      <c r="S122" s="141"/>
    </row>
    <row r="123" spans="1:19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141"/>
      <c r="N123" s="141"/>
      <c r="O123" s="141"/>
      <c r="P123" s="141"/>
      <c r="Q123" s="141"/>
      <c r="R123" s="141"/>
      <c r="S123" s="141"/>
    </row>
    <row r="124" spans="1:19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41"/>
      <c r="N124" s="141"/>
      <c r="O124" s="141"/>
      <c r="P124" s="141"/>
      <c r="Q124" s="141"/>
      <c r="R124" s="141"/>
      <c r="S124" s="141"/>
    </row>
    <row r="125" spans="1:19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141"/>
      <c r="N125" s="141"/>
      <c r="O125" s="141"/>
      <c r="P125" s="141"/>
      <c r="Q125" s="141"/>
      <c r="R125" s="141"/>
      <c r="S125" s="141"/>
    </row>
    <row r="126" spans="1:19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141"/>
      <c r="N126" s="141"/>
      <c r="O126" s="141"/>
      <c r="P126" s="141"/>
      <c r="Q126" s="141"/>
      <c r="R126" s="141"/>
      <c r="S126" s="141"/>
    </row>
    <row r="127" spans="1:19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141"/>
      <c r="N127" s="141"/>
      <c r="O127" s="141"/>
      <c r="P127" s="141"/>
      <c r="Q127" s="141"/>
      <c r="R127" s="141"/>
      <c r="S127" s="141"/>
    </row>
    <row r="128" spans="1:19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141"/>
      <c r="N128" s="141"/>
      <c r="O128" s="141"/>
      <c r="P128" s="141"/>
      <c r="Q128" s="141"/>
      <c r="R128" s="141"/>
      <c r="S128" s="141"/>
    </row>
    <row r="129" spans="1:19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141"/>
      <c r="N129" s="141"/>
      <c r="O129" s="141"/>
      <c r="P129" s="141"/>
      <c r="Q129" s="141"/>
      <c r="R129" s="141"/>
      <c r="S129" s="141"/>
    </row>
    <row r="130" spans="1:19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141"/>
      <c r="N130" s="141"/>
      <c r="O130" s="141"/>
      <c r="P130" s="141"/>
      <c r="Q130" s="141"/>
      <c r="R130" s="141"/>
      <c r="S130" s="141"/>
    </row>
    <row r="131" spans="1:19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141"/>
      <c r="N131" s="141"/>
      <c r="O131" s="141"/>
      <c r="P131" s="141"/>
      <c r="Q131" s="141"/>
      <c r="R131" s="141"/>
      <c r="S131" s="141"/>
    </row>
    <row r="132" spans="1:19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141"/>
      <c r="N132" s="141"/>
      <c r="O132" s="141"/>
      <c r="P132" s="141"/>
      <c r="Q132" s="141"/>
      <c r="R132" s="141"/>
      <c r="S132" s="141"/>
    </row>
    <row r="133" spans="1:19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141"/>
      <c r="N133" s="141"/>
      <c r="O133" s="141"/>
      <c r="P133" s="141"/>
      <c r="Q133" s="141"/>
      <c r="R133" s="141"/>
      <c r="S133" s="141"/>
    </row>
    <row r="134" spans="1:19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141"/>
      <c r="N134" s="141"/>
      <c r="O134" s="141"/>
      <c r="P134" s="141"/>
      <c r="Q134" s="141"/>
      <c r="R134" s="141"/>
      <c r="S134" s="141"/>
    </row>
    <row r="135" spans="1:19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141"/>
      <c r="N135" s="141"/>
      <c r="O135" s="141"/>
      <c r="P135" s="141"/>
      <c r="Q135" s="141"/>
      <c r="R135" s="141"/>
      <c r="S135" s="141"/>
    </row>
    <row r="136" spans="1:19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141"/>
      <c r="N136" s="141"/>
      <c r="O136" s="141"/>
      <c r="P136" s="141"/>
      <c r="Q136" s="141"/>
      <c r="R136" s="141"/>
      <c r="S136" s="141"/>
    </row>
    <row r="137" spans="1:19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141"/>
      <c r="N137" s="141"/>
      <c r="O137" s="141"/>
      <c r="P137" s="141"/>
      <c r="Q137" s="141"/>
      <c r="R137" s="141"/>
      <c r="S137" s="141"/>
    </row>
    <row r="138" spans="1:19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141"/>
      <c r="N138" s="141"/>
      <c r="O138" s="141"/>
      <c r="P138" s="141"/>
      <c r="Q138" s="141"/>
      <c r="R138" s="141"/>
      <c r="S138" s="141"/>
    </row>
    <row r="139" spans="1:19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141"/>
      <c r="N139" s="141"/>
      <c r="O139" s="141"/>
      <c r="P139" s="141"/>
      <c r="Q139" s="141"/>
      <c r="R139" s="141"/>
      <c r="S139" s="141"/>
    </row>
    <row r="140" spans="1:19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141"/>
      <c r="N140" s="141"/>
      <c r="O140" s="141"/>
      <c r="P140" s="141"/>
      <c r="Q140" s="141"/>
      <c r="R140" s="141"/>
      <c r="S140" s="141"/>
    </row>
    <row r="141" spans="1:19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141"/>
      <c r="N141" s="141"/>
      <c r="O141" s="141"/>
      <c r="P141" s="141"/>
      <c r="Q141" s="141"/>
      <c r="R141" s="141"/>
      <c r="S141" s="141"/>
    </row>
    <row r="142" spans="1:19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41"/>
      <c r="N142" s="141"/>
      <c r="O142" s="141"/>
      <c r="P142" s="141"/>
      <c r="Q142" s="141"/>
      <c r="R142" s="141"/>
      <c r="S142" s="141"/>
    </row>
    <row r="143" spans="1:19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141"/>
      <c r="N143" s="141"/>
      <c r="O143" s="141"/>
      <c r="P143" s="141"/>
      <c r="Q143" s="141"/>
      <c r="R143" s="141"/>
      <c r="S143" s="141"/>
    </row>
    <row r="144" spans="1:19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141"/>
      <c r="N144" s="141"/>
      <c r="O144" s="141"/>
      <c r="P144" s="141"/>
      <c r="Q144" s="141"/>
      <c r="R144" s="141"/>
      <c r="S144" s="141"/>
    </row>
    <row r="145" spans="1:19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141"/>
      <c r="N145" s="141"/>
      <c r="O145" s="141"/>
      <c r="P145" s="141"/>
      <c r="Q145" s="141"/>
      <c r="R145" s="141"/>
      <c r="S145" s="141"/>
    </row>
    <row r="146" spans="1:19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141"/>
      <c r="N146" s="141"/>
      <c r="O146" s="141"/>
      <c r="P146" s="141"/>
      <c r="Q146" s="141"/>
      <c r="R146" s="141"/>
      <c r="S146" s="141"/>
    </row>
  </sheetData>
  <mergeCells count="5">
    <mergeCell ref="A107:R107"/>
    <mergeCell ref="A108:W108"/>
    <mergeCell ref="A2:Z2"/>
    <mergeCell ref="A3:Z3"/>
    <mergeCell ref="A4:Z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Раздел 14</vt:lpstr>
      <vt:lpstr>14.1.</vt:lpstr>
      <vt:lpstr>14.2.1.</vt:lpstr>
      <vt:lpstr>14.2.2.</vt:lpstr>
      <vt:lpstr>14.3.1.</vt:lpstr>
      <vt:lpstr>14.3.2.</vt:lpstr>
      <vt:lpstr>14.4.1.</vt:lpstr>
      <vt:lpstr>14.4.2.</vt:lpstr>
      <vt:lpstr>14.5.</vt:lpstr>
      <vt:lpstr>14.6.</vt:lpstr>
      <vt:lpstr>14.7.</vt:lpstr>
      <vt:lpstr>14.8.</vt:lpstr>
      <vt:lpstr>14.9.</vt:lpstr>
      <vt:lpstr>14.10.1.</vt:lpstr>
      <vt:lpstr>14.10.2.</vt:lpstr>
      <vt:lpstr>14.11.1.</vt:lpstr>
      <vt:lpstr>14.11.2.</vt:lpstr>
      <vt:lpstr>14.12.1.</vt:lpstr>
      <vt:lpstr>14.12.2.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2025-10-14T07:52:55Z</cp:lastPrinted>
  <dcterms:created xsi:type="dcterms:W3CDTF">2018-01-17T11:38:54Z</dcterms:created>
  <dcterms:modified xsi:type="dcterms:W3CDTF">2025-12-25T10:27:37Z</dcterms:modified>
</cp:coreProperties>
</file>